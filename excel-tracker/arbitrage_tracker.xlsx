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рт" sheetId="1" state="visible" r:id="rId3"/>
    <sheet name="Гео-калькулятор" sheetId="2" state="visible" r:id="rId4"/>
    <sheet name="Статистика" sheetId="3" state="visible" r:id="rId5"/>
    <sheet name="Журнал дій" sheetId="4" state="visible" r:id="rId6"/>
    <sheet name="Загальна по днях" sheetId="5" state="visible" r:id="rId7"/>
    <sheet name="Зведення по гео" sheetId="6" state="visible" r:id="rId8"/>
    <sheet name="Спенд без лідів" sheetId="7" state="visible" r:id="rId9"/>
    <sheet name="Креативи" sheetId="8" state="visible" r:id="rId10"/>
    <sheet name="Списки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Скільки партнерка платить за 1 апрувнутий (підтверджений) лід.</t>
        </r>
      </text>
    </comment>
    <comment ref="E6" authorId="0">
      <text>
        <r>
          <rPr>
            <sz val="10"/>
            <rFont val="Arial"/>
            <family val="2"/>
          </rPr>
          <t xml:space="preserve">Очікуваний % апруву. Фактичний апрув видно на аркуші «Зведення по гео».</t>
        </r>
      </text>
    </comment>
    <comment ref="F6" authorId="0">
      <text>
        <r>
          <rPr>
            <sz val="10"/>
            <rFont val="Arial"/>
            <family val="2"/>
          </rPr>
          <t xml:space="preserve">Скільки хочете заробити понад спенд. 30% = на кожні $100 спенду $30 чистого профіту.</t>
        </r>
      </text>
    </comment>
    <comment ref="G6" authorId="0">
      <text>
        <r>
          <rPr>
            <sz val="10"/>
            <rFont val="Arial"/>
            <family val="2"/>
          </rPr>
          <t xml:space="preserve">Яка частка кліків по посиланню стає лідами (конверсія ленда/преленда).</t>
        </r>
      </text>
    </comment>
    <comment ref="H6" authorId="0">
      <text>
        <r>
          <rPr>
            <sz val="10"/>
            <rFont val="Arial"/>
            <family val="2"/>
          </rPr>
          <t xml:space="preserve">CTR по посиланню (link CTR) з рекламного кабінету.</t>
        </r>
      </text>
    </comment>
    <comment ref="I6" authorId="0">
      <text>
        <r>
          <rPr>
            <sz val="10"/>
            <rFont val="Arial"/>
            <family val="2"/>
          </rPr>
          <t xml:space="preserve">Earnings per lead — скільки в середньому приносить 1 лід = Виплата × % апруву.</t>
        </r>
      </text>
    </comment>
    <comment ref="K6" authorId="0">
      <text>
        <r>
          <rPr>
            <sz val="10"/>
            <rFont val="Arial"/>
            <family val="2"/>
          </rPr>
          <t xml:space="preserve">Головна цифра: ліміт CPL, при якому виходить цільовий ROI = EPL ÷ (1 + ROI).</t>
        </r>
      </text>
    </comment>
    <comment ref="O6" authorId="0">
      <text>
        <r>
          <rPr>
            <sz val="10"/>
            <rFont val="Arial"/>
            <family val="2"/>
          </rPr>
          <t xml:space="preserve">Поки адсет відкрутив без лідів менше цієї суми — шанс, що він нормальний, ще вище порогу «Рано судити». Пороги — на аркуші «Спенд без лідів».</t>
        </r>
      </text>
    </comment>
    <comment ref="P6" authorId="0">
      <text>
        <r>
          <rPr>
            <sz val="10"/>
            <rFont val="Arial"/>
            <family val="2"/>
          </rPr>
          <t xml:space="preserve">Якщо адсет відкрутив стільки і не дав жодного ліда — шанс, що він нормальний, нижче порогу «Під питанням». Вимикайте.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Рядок-приклад — замініть своїми даними.</t>
        </r>
      </text>
    </comment>
    <comment ref="I6" authorId="0">
      <text>
        <r>
          <rPr>
            <sz val="10"/>
            <rFont val="Arial"/>
            <family val="2"/>
          </rPr>
          <t xml:space="preserve">Залиште порожнім, поки ПП не віддала апруви. Тоді Апруви* = Ліди × план % апруву.</t>
        </r>
      </text>
    </comment>
    <comment ref="P6" authorId="0">
      <text>
        <r>
          <rPr>
            <sz val="10"/>
            <rFont val="Arial"/>
            <family val="2"/>
          </rPr>
          <t xml:space="preserve">CPL ÷ Max CPL. ≤100% — в цілі (зелений), до 130% — жовтий, вище — червоний.</t>
        </r>
      </text>
    </comment>
    <comment ref="Q6" authorId="0">
      <text>
        <r>
          <rPr>
            <sz val="10"/>
            <rFont val="Arial"/>
            <family val="2"/>
          </rPr>
          <t xml:space="preserve">Факт, якщо внесені апруви, інакше прогноз: Ліди × % апруву (план) з калькулятора.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Рядок-приклад — замініть своїми даними.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Порожньо = з 1-го числа місяця, в якому останній день у «Статистика» (показує весь місяць). Вкажете дату — покаже 31 день від неї.</t>
        </r>
      </text>
    </comment>
    <comment ref="H10" authorId="0">
      <text>
        <r>
          <rPr>
            <sz val="10"/>
            <rFont val="Arial"/>
            <family val="2"/>
          </rPr>
          <t xml:space="preserve">Факт там, де внесені апруви, і прогноз за планом апруву там, де ще ні.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7" authorId="0">
      <text>
        <r>
          <rPr>
            <sz val="10"/>
            <rFont val="Arial"/>
            <family val="2"/>
          </rPr>
          <t xml:space="preserve">Апруви ÷ ліди тільки по днях, де апруви вже внесені. Якщо факт стабільно нижче плану — оновіть план у калькуляторі, бо Max CPL зараз завищений.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Рядок-приклад — замініть своїми даними.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Рядок-приклад — замініть своїми даними.</t>
        </r>
      </text>
    </comment>
  </commentList>
</comments>
</file>

<file path=xl/sharedStrings.xml><?xml version="1.0" encoding="utf-8"?>
<sst xmlns="http://schemas.openxmlformats.org/spreadsheetml/2006/main" count="335" uniqueCount="258">
  <si>
    <t xml:space="preserve">Трекер арбітражу · Nutra / CPA</t>
  </si>
  <si>
    <t xml:space="preserve">Ліміти по гео, щоденна статистика, журнал дій і рішення «вимикати чи чекати» — все рахується автоматично.</t>
  </si>
  <si>
    <t xml:space="preserve">ЯК КОРИСТУВАТИСЯ</t>
  </si>
  <si>
    <t xml:space="preserve">«Гео-калькулятор» — по кожному гео внесіть виплату за апрув, план % апруву, цільовий ROI, CR і CTR. EPL, Max CPL, Max CPC, Max CPM і Max ціна апруву порахуються самі.</t>
  </si>
  <si>
    <t xml:space="preserve">«Статистика» — щодня 1 рядок на гео (або гео × кампанія): спенд, покази, кліки, ліди. Апруви — коли прийдуть від ПП; до того дохід рахується прогнозно за планом апруву.</t>
  </si>
  <si>
    <t xml:space="preserve">«Журнал дій» — кожну зміну (запуск, бюджет, креатив, преленд, вимкнення) одним рядком. CPL, ROI і ліди за N днів до та після підтягнуться самі + авто-оцінка «покращило / погіршило».</t>
  </si>
  <si>
    <t xml:space="preserve">«Загальна по днях» і «Зведення по гео» — заповнюються самі. Змінюйте «Початок періоду» або «Від–До», щоб дивитися інший місяць чи тиждень.</t>
  </si>
  <si>
    <t xml:space="preserve">«Спенд без лідів» — таблиця рішень зі скріну + перевірка конкретних адсетів (і коли ліди вже є).</t>
  </si>
  <si>
    <t xml:space="preserve">«Креативи» — трекер тестів креативів з автоматичним вердиктом «масштабувати / в цілі / вимикати».</t>
  </si>
  <si>
    <t xml:space="preserve">ПОЗНАЧЕННЯ</t>
  </si>
  <si>
    <t xml:space="preserve">28.00</t>
  </si>
  <si>
    <t xml:space="preserve">Сині клітинки — вводите ви.</t>
  </si>
  <si>
    <t xml:space="preserve">11.20</t>
  </si>
  <si>
    <t xml:space="preserve">Білий текст на темному — формула. Не перезаписуйте.</t>
  </si>
  <si>
    <t xml:space="preserve">Масштабувати</t>
  </si>
  <si>
    <t xml:space="preserve">Сильно краще цілі — можна масштабувати.</t>
  </si>
  <si>
    <t xml:space="preserve">В цілі</t>
  </si>
  <si>
    <t xml:space="preserve">CPL ≤ Max CPL — тримати.</t>
  </si>
  <si>
    <t xml:space="preserve">Рано судити</t>
  </si>
  <si>
    <t xml:space="preserve">Даних ще замало для висновку.</t>
  </si>
  <si>
    <t xml:space="preserve">Під питанням</t>
  </si>
  <si>
    <t xml:space="preserve">Дивіться уважно — рішення найближчим часом.</t>
  </si>
  <si>
    <t xml:space="preserve">Вимикати</t>
  </si>
  <si>
    <t xml:space="preserve">Статистично адсет / креатив не в цілі.</t>
  </si>
  <si>
    <t xml:space="preserve">Давно треба було</t>
  </si>
  <si>
    <t xml:space="preserve">Мали вимкнути раніше — гроші вже злиті.</t>
  </si>
  <si>
    <t xml:space="preserve">ГОЛОВНІ ФОРМУЛИ</t>
  </si>
  <si>
    <t xml:space="preserve">EPL</t>
  </si>
  <si>
    <t xml:space="preserve">Виплата × % апруву</t>
  </si>
  <si>
    <t xml:space="preserve">Скільки в середньому заробляєте з 1 ліда.</t>
  </si>
  <si>
    <t xml:space="preserve">Max CPL</t>
  </si>
  <si>
    <t xml:space="preserve">EPL ÷ (1 + цільовий ROI)</t>
  </si>
  <si>
    <t xml:space="preserve">Ліміт CPL для цільового ROI. Беззбиток = EPL.</t>
  </si>
  <si>
    <t xml:space="preserve">Max ціна апруву</t>
  </si>
  <si>
    <t xml:space="preserve">Виплата ÷ (1 + цільовий ROI)</t>
  </si>
  <si>
    <t xml:space="preserve">Скільки можна витратити на 1 апрув.</t>
  </si>
  <si>
    <t xml:space="preserve">Max CPC</t>
  </si>
  <si>
    <t xml:space="preserve">Max CPL × CR</t>
  </si>
  <si>
    <t xml:space="preserve">Максимальна ціна кліка.</t>
  </si>
  <si>
    <t xml:space="preserve">Max CPM</t>
  </si>
  <si>
    <t xml:space="preserve">Max CPC × CTR × 1000</t>
  </si>
  <si>
    <t xml:space="preserve">Максимальна ціна 1000 показів.</t>
  </si>
  <si>
    <t xml:space="preserve">Ціна апруву</t>
  </si>
  <si>
    <t xml:space="preserve">Спенд ÷ Апруви</t>
  </si>
  <si>
    <t xml:space="preserve">Скільки фактично коштує 1 апрув.</t>
  </si>
  <si>
    <t xml:space="preserve">ROI</t>
  </si>
  <si>
    <t xml:space="preserve">(Дохід − Спенд) ÷ Спенд</t>
  </si>
  <si>
    <t xml:space="preserve">Окупність.</t>
  </si>
  <si>
    <t xml:space="preserve">P(0 лідів)</t>
  </si>
  <si>
    <t xml:space="preserve">e^(−Спенд ÷ Max CPL)</t>
  </si>
  <si>
    <t xml:space="preserve">Шанс, що нормальний адсет не дав лідів.</t>
  </si>
  <si>
    <t xml:space="preserve">АРКУШІ</t>
  </si>
  <si>
    <t xml:space="preserve">Гео-калькулятор</t>
  </si>
  <si>
    <t xml:space="preserve">налаштування гео й ліміти</t>
  </si>
  <si>
    <t xml:space="preserve">Статистика</t>
  </si>
  <si>
    <t xml:space="preserve">щоденне введення цифр</t>
  </si>
  <si>
    <t xml:space="preserve">Журнал дій</t>
  </si>
  <si>
    <t xml:space="preserve">що робили і що це дало</t>
  </si>
  <si>
    <t xml:space="preserve">Загальна по днях</t>
  </si>
  <si>
    <t xml:space="preserve">всі гео разом по днях + графік</t>
  </si>
  <si>
    <t xml:space="preserve">Зведення по гео</t>
  </si>
  <si>
    <t xml:space="preserve">підсумок і статус кожного гео</t>
  </si>
  <si>
    <t xml:space="preserve">Спенд без лідів</t>
  </si>
  <si>
    <t xml:space="preserve">вимикати чи чекати</t>
  </si>
  <si>
    <t xml:space="preserve">Креативи</t>
  </si>
  <si>
    <t xml:space="preserve">тести креативів</t>
  </si>
  <si>
    <t xml:space="preserve">Списки</t>
  </si>
  <si>
    <t xml:space="preserve">значення випадаючих списків</t>
  </si>
  <si>
    <t xml:space="preserve">У «Статистика», «Журнал дій», «Креативи» і в перевірці адсетів — по одному рядку-прикладу. Замініть їх своїми даними. Гео в калькуляторі — теж приклад, впишіть свої.</t>
  </si>
  <si>
    <t xml:space="preserve">Сині клітинки — дані по офферу. Все праворуч рахується саме і використовується на всіх інших аркушах.</t>
  </si>
  <si>
    <t xml:space="preserve">ВХІДНІ ДАНІ — ЗАПОВНЮЄТЕ ВИ</t>
  </si>
  <si>
    <t xml:space="preserve">РОЗРАХУНОК — АВТОМАТИЧНО</t>
  </si>
  <si>
    <t xml:space="preserve">Гео</t>
  </si>
  <si>
    <t xml:space="preserve">Країна / оффер</t>
  </si>
  <si>
    <t xml:space="preserve">Виплата за апрув, $</t>
  </si>
  <si>
    <t xml:space="preserve">% апруву (план)</t>
  </si>
  <si>
    <t xml:space="preserve">Цільовий ROI</t>
  </si>
  <si>
    <t xml:space="preserve">CR клік → лід</t>
  </si>
  <si>
    <t xml:space="preserve">CTR</t>
  </si>
  <si>
    <t xml:space="preserve">EPL, $</t>
  </si>
  <si>
    <t xml:space="preserve">CPL беззбитку, $</t>
  </si>
  <si>
    <t xml:space="preserve">Max CPL, $</t>
  </si>
  <si>
    <t xml:space="preserve">Max ціна апруву, $</t>
  </si>
  <si>
    <t xml:space="preserve">Max CPC, $</t>
  </si>
  <si>
    <t xml:space="preserve">Max CPM, $</t>
  </si>
  <si>
    <t xml:space="preserve">Не судити до, $</t>
  </si>
  <si>
    <t xml:space="preserve">Вимикати після
(0 лідів), $</t>
  </si>
  <si>
    <t xml:space="preserve">Нотатки</t>
  </si>
  <si>
    <t xml:space="preserve">PL</t>
  </si>
  <si>
    <t xml:space="preserve">Польща · суглоби</t>
  </si>
  <si>
    <t xml:space="preserve">RO</t>
  </si>
  <si>
    <t xml:space="preserve">Румунія · діабет</t>
  </si>
  <si>
    <t xml:space="preserve">IT</t>
  </si>
  <si>
    <t xml:space="preserve">Італія · схуднення</t>
  </si>
  <si>
    <t xml:space="preserve">ES</t>
  </si>
  <si>
    <t xml:space="preserve">Іспанія · потенція</t>
  </si>
  <si>
    <t xml:space="preserve">CZ</t>
  </si>
  <si>
    <t xml:space="preserve">Чехія · тиск</t>
  </si>
  <si>
    <t xml:space="preserve">тест з 06.10</t>
  </si>
  <si>
    <t xml:space="preserve">BG</t>
  </si>
  <si>
    <t xml:space="preserve">Болгарія · суглоби</t>
  </si>
  <si>
    <t xml:space="preserve">GR</t>
  </si>
  <si>
    <t xml:space="preserve">Греція · простатит</t>
  </si>
  <si>
    <t xml:space="preserve">ЯК РАХУЄТЬСЯ</t>
  </si>
  <si>
    <t xml:space="preserve">CPL беззбитку</t>
  </si>
  <si>
    <t xml:space="preserve">дорівнює EPL</t>
  </si>
  <si>
    <t xml:space="preserve">Якщо CPL вищий — працюєте в мінус.</t>
  </si>
  <si>
    <t xml:space="preserve">Ліміт CPL, при якому виходить ваш цільовий ROI.</t>
  </si>
  <si>
    <t xml:space="preserve">Максимальна ціна кліка при вашій конверсії ленда.</t>
  </si>
  <si>
    <t xml:space="preserve">Максимальна ціна 1000 показів при вашому CTR.</t>
  </si>
  <si>
    <t xml:space="preserve">Не судити до</t>
  </si>
  <si>
    <t xml:space="preserve">−ln(поріг «Рано судити») × Max CPL</t>
  </si>
  <si>
    <t xml:space="preserve">При 30% ≈ 1.2 × Max CPL.</t>
  </si>
  <si>
    <t xml:space="preserve">Вимикати після</t>
  </si>
  <si>
    <t xml:space="preserve">−ln(поріг «Під питанням») × Max CPL</t>
  </si>
  <si>
    <t xml:space="preserve">При 10% ≈ 2.3 × Max CPL без жодного ліда.</t>
  </si>
  <si>
    <t xml:space="preserve">Щоденна статистика</t>
  </si>
  <si>
    <t xml:space="preserve">1 рядок = день × гео (можна × кампанія). Апруви вносьте, коли прийдуть від ПП — до того дохід рахується прогнозно за планом апруву з калькулятора.</t>
  </si>
  <si>
    <t xml:space="preserve">ВВОДИТЕ ВИ</t>
  </si>
  <si>
    <t xml:space="preserve">ТРАФІК — АВТО</t>
  </si>
  <si>
    <t xml:space="preserve">ГРОШІ — АВТО</t>
  </si>
  <si>
    <t xml:space="preserve">Дата</t>
  </si>
  <si>
    <t xml:space="preserve">Кампанія / адсет</t>
  </si>
  <si>
    <t xml:space="preserve">Спенд, $</t>
  </si>
  <si>
    <t xml:space="preserve">Покази</t>
  </si>
  <si>
    <t xml:space="preserve">Кліки</t>
  </si>
  <si>
    <t xml:space="preserve">Ліди</t>
  </si>
  <si>
    <t xml:space="preserve">Апруви (факт)</t>
  </si>
  <si>
    <t xml:space="preserve">CPC, $</t>
  </si>
  <si>
    <t xml:space="preserve">CPM, $</t>
  </si>
  <si>
    <t xml:space="preserve">CR</t>
  </si>
  <si>
    <t xml:space="preserve">CPL, $</t>
  </si>
  <si>
    <t xml:space="preserve">CPL / Max</t>
  </si>
  <si>
    <t xml:space="preserve">Апруви*</t>
  </si>
  <si>
    <t xml:space="preserve">% апруву</t>
  </si>
  <si>
    <t xml:space="preserve">Ціна апруву, $</t>
  </si>
  <si>
    <t xml:space="preserve">Дохід, $</t>
  </si>
  <si>
    <t xml:space="preserve">Профіт, $</t>
  </si>
  <si>
    <t xml:space="preserve">Дані</t>
  </si>
  <si>
    <t xml:space="preserve">PL | суглоби | CBO-1</t>
  </si>
  <si>
    <t xml:space="preserve">Кожна зміна = 1 рядок. Метрики за N днів ДО і ПІСЛЯ дії підтягуються зі «Статистики» самі — видно, що до чого призвело.</t>
  </si>
  <si>
    <t xml:space="preserve">Вікно, днів</t>
  </si>
  <si>
    <t xml:space="preserve">Поріг зміни CPL</t>
  </si>
  <si>
    <t xml:space="preserve">ДО = N днів перед датою дії, ПІСЛЯ = N днів після (день дії не рахується). Дані — по гео (і по кампанії, якщо вказана і так само записана в «Статистиці»). Порожнє гео = всі гео.</t>
  </si>
  <si>
    <t xml:space="preserve">ЩО ЗРОБИЛИ — ЗАПОВНЮЄТЕ ВИ</t>
  </si>
  <si>
    <t xml:space="preserve">ЩО ЦЕ ДАЛО — АВТОМАТИЧНО</t>
  </si>
  <si>
    <t xml:space="preserve">ВИСНОВОК</t>
  </si>
  <si>
    <t xml:space="preserve">№</t>
  </si>
  <si>
    <t xml:space="preserve">Тип дії</t>
  </si>
  <si>
    <t xml:space="preserve">Що зроблено</t>
  </si>
  <si>
    <t xml:space="preserve">Гіпотеза — чому</t>
  </si>
  <si>
    <t xml:space="preserve">CPL до, $</t>
  </si>
  <si>
    <t xml:space="preserve">CPL після, $</t>
  </si>
  <si>
    <t xml:space="preserve">Δ CPL</t>
  </si>
  <si>
    <t xml:space="preserve">ROI до</t>
  </si>
  <si>
    <t xml:space="preserve">ROI після</t>
  </si>
  <si>
    <t xml:space="preserve">Лідів/день до</t>
  </si>
  <si>
    <t xml:space="preserve">Лідів/день після</t>
  </si>
  <si>
    <t xml:space="preserve">Авто-оцінка</t>
  </si>
  <si>
    <t xml:space="preserve">Висновок / наступний крок</t>
  </si>
  <si>
    <t xml:space="preserve">Спенд до</t>
  </si>
  <si>
    <t xml:space="preserve">Ліди до</t>
  </si>
  <si>
    <t xml:space="preserve">Дохід до</t>
  </si>
  <si>
    <t xml:space="preserve">Спенд після</t>
  </si>
  <si>
    <t xml:space="preserve">Ліди після</t>
  </si>
  <si>
    <t xml:space="preserve">Дохід після</t>
  </si>
  <si>
    <t xml:space="preserve">Новий преленд / ленд</t>
  </si>
  <si>
    <t xml:space="preserve">Замінив преленд на новий (історія лікаря)</t>
  </si>
  <si>
    <t xml:space="preserve">Старий преленд: CR 4%, CPL вище Max</t>
  </si>
  <si>
    <t xml:space="preserve">Преленд робочий — лишаємо, тестуємо його на IT</t>
  </si>
  <si>
    <t xml:space="preserve">Загальна статистика по днях</t>
  </si>
  <si>
    <t xml:space="preserve">Всі гео разом, рахується зі «Статистики». За замовчуванням — місяць останнього дня з даними.</t>
  </si>
  <si>
    <t xml:space="preserve">СПЕНД</t>
  </si>
  <si>
    <t xml:space="preserve">ДОХІД</t>
  </si>
  <si>
    <t xml:space="preserve">ПРОФІТ</t>
  </si>
  <si>
    <t xml:space="preserve">ЛІДИ</t>
  </si>
  <si>
    <t xml:space="preserve">CPL</t>
  </si>
  <si>
    <t xml:space="preserve">АПРУВИ*</t>
  </si>
  <si>
    <t xml:space="preserve">ЦІНА АПРУВУ</t>
  </si>
  <si>
    <t xml:space="preserve">Початок періоду</t>
  </si>
  <si>
    <t xml:space="preserve">порожньо = поточний місяць з даних; дата = 31 день від неї</t>
  </si>
  <si>
    <t xml:space="preserve">Період:</t>
  </si>
  <si>
    <t xml:space="preserve">—</t>
  </si>
  <si>
    <t xml:space="preserve">День</t>
  </si>
  <si>
    <t xml:space="preserve">Профіт наростаючим, $</t>
  </si>
  <si>
    <t xml:space="preserve">СПЕНД vs ДОХІД ПО ДНЯХ + ПРОФІТ НАРОСТАЮЧИМ</t>
  </si>
  <si>
    <t xml:space="preserve">Підсумок по кожному гео за обраний період. План vs факт по апруву, статус гео.</t>
  </si>
  <si>
    <t xml:space="preserve">Від</t>
  </si>
  <si>
    <t xml:space="preserve">До</t>
  </si>
  <si>
    <t xml:space="preserve">порожньо = весь час. Напр. вкажіть останні 7 днів, щоб бачити свіжу картину.</t>
  </si>
  <si>
    <t xml:space="preserve">ГЕО</t>
  </si>
  <si>
    <t xml:space="preserve">ТРАФІК</t>
  </si>
  <si>
    <t xml:space="preserve">ГРОШІ</t>
  </si>
  <si>
    <t xml:space="preserve">АПРУВ І СТАТУС</t>
  </si>
  <si>
    <t xml:space="preserve">Оффер</t>
  </si>
  <si>
    <t xml:space="preserve">Ціль ROI</t>
  </si>
  <si>
    <t xml:space="preserve">% апруву факт</t>
  </si>
  <si>
    <t xml:space="preserve">% апруву план</t>
  </si>
  <si>
    <t xml:space="preserve">Статус</t>
  </si>
  <si>
    <t xml:space="preserve">Разом</t>
  </si>
  <si>
    <t xml:space="preserve">Апруви* — факт, де внесено, і прогноз за планом, де ще ні. % апруву факт червоний, якщо на 10%+ нижче плану.</t>
  </si>
  <si>
    <t xml:space="preserve">СПЕНД vs ДОХІД ПО ГЕО</t>
  </si>
  <si>
    <t xml:space="preserve">Спенд без лідів: вимикати чи чекати?</t>
  </si>
  <si>
    <t xml:space="preserve">Скільки адсет може відкрутити без лідів, поки це ще нормальна випадковість, а не поганий адсет.</t>
  </si>
  <si>
    <t xml:space="preserve">ПОРОГИ ВЕРДИКТУ (можна змінювати)</t>
  </si>
  <si>
    <t xml:space="preserve">P(0 лідів) = e^(−Спенд ÷ Max CPL)</t>
  </si>
  <si>
    <t xml:space="preserve">«Рано судити», якщо шанс ≥</t>
  </si>
  <si>
    <t xml:space="preserve">Ймовірність, що адсет, який насправді в цілі, не дав жодного ліда при такому спенді. У Excel: =EXP(-Спенд/MaxCPL). Max CPL кожного гео береться з «Гео-калькулятор».</t>
  </si>
  <si>
    <t xml:space="preserve">«Під питанням», якщо шанс ≥</t>
  </si>
  <si>
    <t xml:space="preserve">«Вимикати», якщо шанс ≥</t>
  </si>
  <si>
    <t xml:space="preserve">Нижче — «Давно треба було»</t>
  </si>
  <si>
    <t xml:space="preserve">ТАБЛИЦЯ РІШЕНЬ</t>
  </si>
  <si>
    <t xml:space="preserve">СКІЛЬКИ ЦЕ В $ ДЛЯ ВАШИХ ГЕО (множник × Max CPL гео)</t>
  </si>
  <si>
    <t xml:space="preserve">Витрачено без лідів</t>
  </si>
  <si>
    <t xml:space="preserve">Шанс, що адсет насправді нормальний</t>
  </si>
  <si>
    <t xml:space="preserve">Що робити</t>
  </si>
  <si>
    <t xml:space="preserve">Множники в синіх клітинках можна змінити — все перерахується.</t>
  </si>
  <si>
    <t xml:space="preserve">ПЕРЕВІРКА АДСЕТІВ — вкажіть гео, спенд і кількість лідів</t>
  </si>
  <si>
    <t xml:space="preserve">Працює і коли ліди вже є: рахується шанс, що нормальний адсет дав би стільки або менше лідів (розподіл Пуассона, λ = Спенд ÷ Max CPL). Для 0 лідів це та сама формула e^(−λ). Якщо CPL вже ≤ Max CPL — вердикт «В цілі».</t>
  </si>
  <si>
    <t xml:space="preserve">Адсет / назва</t>
  </si>
  <si>
    <t xml:space="preserve">Лідів</t>
  </si>
  <si>
    <t xml:space="preserve">Очікувано лідів (λ)</t>
  </si>
  <si>
    <t xml:space="preserve">CPL факт, $</t>
  </si>
  <si>
    <t xml:space="preserve">Шанс, що нормальний</t>
  </si>
  <si>
    <t xml:space="preserve">Вердикт</t>
  </si>
  <si>
    <t xml:space="preserve">PL | 35-55 Ж | LAL 3%</t>
  </si>
  <si>
    <t xml:space="preserve">Тест креативів</t>
  </si>
  <si>
    <t xml:space="preserve">Кожен креатив — рядок. Вердикт рахується так само, як у «Спенд без лідів», плюс сигнал на масштабування.</t>
  </si>
  <si>
    <t xml:space="preserve">Масштабувати, якщо CPL ≤</t>
  </si>
  <si>
    <t xml:space="preserve">від Max CPL  і лідів ≥</t>
  </si>
  <si>
    <t xml:space="preserve">КРЕАТИВ І ЦИФРИ — ЗАПОВНЮЄТЕ ВИ</t>
  </si>
  <si>
    <t xml:space="preserve">АНАЛІЗ — АВТОМАТИЧНО</t>
  </si>
  <si>
    <t xml:space="preserve">ID</t>
  </si>
  <si>
    <t xml:space="preserve">Запуск</t>
  </si>
  <si>
    <t xml:space="preserve">Підхід / кут</t>
  </si>
  <si>
    <t xml:space="preserve">Формат</t>
  </si>
  <si>
    <t xml:space="preserve">Хук / опис</t>
  </si>
  <si>
    <t xml:space="preserve">Шанс, що норм.</t>
  </si>
  <si>
    <t xml:space="preserve">IT-01</t>
  </si>
  <si>
    <t xml:space="preserve">Біль / страх</t>
  </si>
  <si>
    <t xml:space="preserve">Статика</t>
  </si>
  <si>
    <t xml:space="preserve">«Лікар попереджає: ...»</t>
  </si>
  <si>
    <t xml:space="preserve">Типи дій (Журнал дій)</t>
  </si>
  <si>
    <t xml:space="preserve">Формати (Креативи)</t>
  </si>
  <si>
    <t xml:space="preserve">Відео</t>
  </si>
  <si>
    <t xml:space="preserve">Вимкнення</t>
  </si>
  <si>
    <t xml:space="preserve">UGC</t>
  </si>
  <si>
    <t xml:space="preserve">Збільшення бюджету</t>
  </si>
  <si>
    <t xml:space="preserve">Зменшення бюджету</t>
  </si>
  <si>
    <t xml:space="preserve">Карусель</t>
  </si>
  <si>
    <t xml:space="preserve">Новий креатив</t>
  </si>
  <si>
    <t xml:space="preserve">Слайд-шоу</t>
  </si>
  <si>
    <t xml:space="preserve">Інше</t>
  </si>
  <si>
    <t xml:space="preserve">Зміна таргету / аудиторії</t>
  </si>
  <si>
    <t xml:space="preserve">Зміна ставки / стратегії</t>
  </si>
  <si>
    <t xml:space="preserve">Дублювання</t>
  </si>
  <si>
    <t xml:space="preserve">Новий акаунт / BM</t>
  </si>
  <si>
    <t xml:space="preserve">Зміна оффера / ПП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</si>
</sst>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\$#,##0.00"/>
    <numFmt numFmtId="166" formatCode="0%"/>
    <numFmt numFmtId="167" formatCode="0.0%"/>
    <numFmt numFmtId="168" formatCode="\$#,##0.00;&quot;-$&quot;#,##0.00;\–"/>
    <numFmt numFmtId="169" formatCode="dd\.mm\.yyyy"/>
    <numFmt numFmtId="170" formatCode="#,##0"/>
    <numFmt numFmtId="171" formatCode="0.0%;\-0.0%;\–"/>
    <numFmt numFmtId="172" formatCode="0%;\-0%;\–"/>
    <numFmt numFmtId="173" formatCode="#,##0.0;\-#,##0.0;\–"/>
    <numFmt numFmtId="174" formatCode="&quot;+$&quot;#,##0.00;&quot;-$&quot;#,##0.00;\–"/>
    <numFmt numFmtId="175" formatCode="\+0%;\-0%;0%"/>
    <numFmt numFmtId="176" formatCode="0"/>
    <numFmt numFmtId="177" formatCode="General"/>
    <numFmt numFmtId="178" formatCode="\$#,##0;&quot;-$&quot;#,##0;\–"/>
    <numFmt numFmtId="179" formatCode="&quot;+$&quot;#,##0;&quot;-$&quot;#,##0;\–"/>
    <numFmt numFmtId="180" formatCode="#,##0;\-#,##0;\–"/>
    <numFmt numFmtId="181" formatCode="\$#,##0"/>
    <numFmt numFmtId="182" formatCode="0.0&quot; × Max CPL&quot;"/>
    <numFmt numFmtId="183" formatCode="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E6E9F2"/>
      <name val="Arial"/>
      <family val="0"/>
      <charset val="1"/>
    </font>
    <font>
      <b val="true"/>
      <sz val="20"/>
      <color rgb="FFE6E9F2"/>
      <name val="Arial"/>
      <family val="0"/>
      <charset val="1"/>
    </font>
    <font>
      <sz val="10"/>
      <color rgb="FF8A93B0"/>
      <name val="Arial"/>
      <family val="0"/>
      <charset val="1"/>
    </font>
    <font>
      <b val="true"/>
      <sz val="9"/>
      <color rgb="FF8B9CFF"/>
      <name val="Arial"/>
      <family val="0"/>
      <charset val="1"/>
    </font>
    <font>
      <b val="true"/>
      <sz val="10"/>
      <color rgb="FF0E1220"/>
      <name val="Arial"/>
      <family val="0"/>
      <charset val="1"/>
    </font>
    <font>
      <sz val="10"/>
      <color rgb="FF7DB3FF"/>
      <name val="Arial"/>
      <family val="0"/>
      <charset val="1"/>
    </font>
    <font>
      <sz val="9"/>
      <color rgb="FF8A93B0"/>
      <name val="Arial"/>
      <family val="0"/>
      <charset val="1"/>
    </font>
    <font>
      <b val="true"/>
      <sz val="9"/>
      <color rgb="FF0E1220"/>
      <name val="Arial"/>
      <family val="0"/>
      <charset val="1"/>
    </font>
    <font>
      <b val="true"/>
      <sz val="9"/>
      <color rgb="FF34D399"/>
      <name val="Arial"/>
      <family val="0"/>
      <charset val="1"/>
    </font>
    <font>
      <b val="true"/>
      <sz val="9"/>
      <color rgb="FFA5B4FC"/>
      <name val="Arial"/>
      <family val="0"/>
      <charset val="1"/>
    </font>
    <font>
      <b val="true"/>
      <sz val="9"/>
      <color rgb="FFFBBF24"/>
      <name val="Arial"/>
      <family val="0"/>
      <charset val="1"/>
    </font>
    <font>
      <b val="true"/>
      <sz val="9"/>
      <color rgb="FFF8717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E6E9F2"/>
      <name val="Arial"/>
      <family val="0"/>
      <charset val="1"/>
    </font>
    <font>
      <sz val="10"/>
      <color rgb="FF8B9CFF"/>
      <name val="Consolas"/>
      <family val="0"/>
      <charset val="1"/>
    </font>
    <font>
      <b val="true"/>
      <u val="single"/>
      <sz val="10"/>
      <color rgb="FF7DB3FF"/>
      <name val="Arial"/>
      <family val="0"/>
      <charset val="1"/>
    </font>
    <font>
      <b val="true"/>
      <sz val="18"/>
      <color rgb="FFE6E9F2"/>
      <name val="Arial"/>
      <family val="0"/>
      <charset val="1"/>
    </font>
    <font>
      <b val="true"/>
      <sz val="8"/>
      <color rgb="FF8B9CFF"/>
      <name val="Arial"/>
      <family val="0"/>
      <charset val="1"/>
    </font>
    <font>
      <b val="true"/>
      <sz val="8"/>
      <color rgb="FF34D399"/>
      <name val="Arial"/>
      <family val="0"/>
      <charset val="1"/>
    </font>
    <font>
      <b val="true"/>
      <sz val="9"/>
      <color rgb="FFC3CAE0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9"/>
      <color rgb="FFE6E9F2"/>
      <name val="Arial"/>
      <family val="0"/>
      <charset val="1"/>
    </font>
    <font>
      <sz val="9"/>
      <color rgb="FF8B9CFF"/>
      <name val="Consolas"/>
      <family val="0"/>
      <charset val="1"/>
    </font>
    <font>
      <sz val="10"/>
      <name val="Arial"/>
      <family val="2"/>
    </font>
    <font>
      <sz val="8"/>
      <color rgb="FF4A5272"/>
      <name val="Arial"/>
      <family val="0"/>
      <charset val="1"/>
    </font>
    <font>
      <b val="true"/>
      <sz val="8"/>
      <color rgb="FFFBBF24"/>
      <name val="Arial"/>
      <family val="0"/>
      <charset val="1"/>
    </font>
    <font>
      <b val="true"/>
      <sz val="8"/>
      <color rgb="FF8A93B0"/>
      <name val="Arial"/>
      <family val="0"/>
      <charset val="1"/>
    </font>
    <font>
      <sz val="8"/>
      <color rgb="FF8A93B0"/>
      <name val="Arial"/>
      <family val="0"/>
      <charset val="1"/>
    </font>
    <font>
      <b val="true"/>
      <sz val="15"/>
      <color rgb="FFE6E9F2"/>
      <name val="Arial"/>
      <family val="0"/>
      <charset val="1"/>
    </font>
    <font>
      <sz val="8"/>
      <color rgb="FF8A93B0"/>
      <name val="Arial"/>
      <family val="2"/>
    </font>
    <font>
      <sz val="9"/>
      <color rgb="FFE6E9F2"/>
      <name val="Arial"/>
      <family val="2"/>
    </font>
    <font>
      <b val="true"/>
      <sz val="14"/>
      <color rgb="FFE6E9F2"/>
      <name val="Consolas"/>
      <family val="0"/>
      <charset val="1"/>
    </font>
    <font>
      <sz val="9"/>
      <color rgb="FFE6E9F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E1220"/>
        <bgColor rgb="FF161B2E"/>
      </patternFill>
    </fill>
    <fill>
      <patternFill patternType="solid">
        <fgColor rgb="FF8B9CFF"/>
        <bgColor rgb="FF7DB3FF"/>
      </patternFill>
    </fill>
    <fill>
      <patternFill patternType="solid">
        <fgColor rgb="FF16243F"/>
        <bgColor rgb="FF1F2640"/>
      </patternFill>
    </fill>
    <fill>
      <patternFill patternType="solid">
        <fgColor rgb="FF161B2E"/>
        <bgColor rgb="FF16243F"/>
      </patternFill>
    </fill>
    <fill>
      <patternFill patternType="solid">
        <fgColor rgb="FF34D399"/>
        <bgColor rgb="FF2DD4BF"/>
      </patternFill>
    </fill>
    <fill>
      <patternFill patternType="solid">
        <fgColor rgb="FF0F2E25"/>
        <bgColor rgb="FF16243F"/>
      </patternFill>
    </fill>
    <fill>
      <patternFill patternType="solid">
        <fgColor rgb="FF232A4A"/>
        <bgColor rgb="FF1F2640"/>
      </patternFill>
    </fill>
    <fill>
      <patternFill patternType="solid">
        <fgColor rgb="FF3A2E0E"/>
        <bgColor rgb="FF3D171B"/>
      </patternFill>
    </fill>
    <fill>
      <patternFill patternType="solid">
        <fgColor rgb="FF3D171B"/>
        <bgColor rgb="FF3A2E0E"/>
      </patternFill>
    </fill>
    <fill>
      <patternFill patternType="solid">
        <fgColor rgb="FF991B1B"/>
        <bgColor rgb="FF800000"/>
      </patternFill>
    </fill>
    <fill>
      <patternFill patternType="solid">
        <fgColor rgb="FF1F2640"/>
        <bgColor rgb="FF232A4A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A3252"/>
      </bottom>
      <diagonal/>
    </border>
    <border diagonalUp="false" diagonalDown="false">
      <left/>
      <right/>
      <top style="medium">
        <color rgb="FF8B9CFF"/>
      </top>
      <bottom/>
      <diagonal/>
    </border>
    <border diagonalUp="false" diagonalDown="false">
      <left/>
      <right/>
      <top style="medium">
        <color rgb="FF34D399"/>
      </top>
      <bottom/>
      <diagonal/>
    </border>
    <border diagonalUp="false" diagonalDown="false">
      <left/>
      <right/>
      <top/>
      <bottom style="medium">
        <color rgb="FF8B9CFF"/>
      </bottom>
      <diagonal/>
    </border>
    <border diagonalUp="false" diagonalDown="false">
      <left/>
      <right/>
      <top style="medium">
        <color rgb="FFFBBF24"/>
      </top>
      <bottom/>
      <diagonal/>
    </border>
    <border diagonalUp="false" diagonalDown="false">
      <left style="thick">
        <color rgb="FF0E1220"/>
      </left>
      <right style="thick">
        <color rgb="FF0E1220"/>
      </right>
      <top style="medium">
        <color rgb="FF8B9CFF"/>
      </top>
      <bottom/>
      <diagonal/>
    </border>
    <border diagonalUp="false" diagonalDown="false">
      <left style="thick">
        <color rgb="FF0E1220"/>
      </left>
      <right style="thick">
        <color rgb="FF0E122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9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2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3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b val="1"/>
        <color rgb="FF34D399"/>
      </font>
      <fill>
        <patternFill>
          <bgColor rgb="FF0F2E25"/>
        </patternFill>
      </fill>
    </dxf>
    <dxf>
      <font>
        <b val="1"/>
        <color rgb="FFFBBF24"/>
      </font>
      <fill>
        <patternFill>
          <bgColor rgb="FF3A2E0E"/>
        </patternFill>
      </fill>
    </dxf>
    <dxf>
      <font>
        <b val="1"/>
        <color rgb="FFF87171"/>
      </font>
      <fill>
        <patternFill>
          <bgColor rgb="FF3D171B"/>
        </patternFill>
      </fill>
    </dxf>
    <dxf>
      <font>
        <color rgb="FFF87171"/>
      </font>
    </dxf>
    <dxf>
      <font>
        <color rgb="FF34D399"/>
      </font>
    </dxf>
    <dxf>
      <font>
        <color rgb="FF8A93B0"/>
      </font>
    </dxf>
    <dxf>
      <font>
        <b val="1"/>
        <color rgb="FF34D399"/>
      </font>
    </dxf>
    <dxf>
      <font>
        <b val="1"/>
        <color rgb="FFF87171"/>
      </font>
    </dxf>
    <dxf>
      <font>
        <b val="1"/>
        <color rgb="FFA5B4FC"/>
      </font>
      <fill>
        <patternFill>
          <bgColor rgb="FF232A4A"/>
        </patternFill>
      </fill>
    </dxf>
    <dxf>
      <font>
        <b val="1"/>
        <color rgb="FF8A93B0"/>
      </font>
    </dxf>
    <dxf>
      <font>
        <b val="1"/>
        <color rgb="FF8B9CFF"/>
      </font>
    </dxf>
    <dxf>
      <font>
        <color rgb="FF4A5272"/>
      </font>
    </dxf>
    <dxf>
      <font>
        <color rgb="FF8B9CFF"/>
      </font>
    </dxf>
    <dxf>
      <font>
        <b val="1"/>
        <color rgb="FF0E1220"/>
      </font>
      <fill>
        <patternFill>
          <bgColor rgb="FF34D399"/>
        </patternFill>
      </fill>
    </dxf>
    <dxf>
      <font>
        <b val="1"/>
        <color rgb="FF4A5272"/>
      </font>
    </dxf>
    <dxf>
      <font>
        <b val="1"/>
        <color rgb="FFFFFFFF"/>
      </font>
      <fill>
        <patternFill>
          <bgColor rgb="FF991B1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F2640"/>
      <rgbColor rgb="FF008000"/>
      <rgbColor rgb="FF0E1220"/>
      <rgbColor rgb="FF808000"/>
      <rgbColor rgb="FF800080"/>
      <rgbColor rgb="FF008080"/>
      <rgbColor rgb="FF7DB3FF"/>
      <rgbColor rgb="FF5B6CFF"/>
      <rgbColor rgb="FF8B9CFF"/>
      <rgbColor rgb="FF993366"/>
      <rgbColor rgb="FFFFFFCC"/>
      <rgbColor rgb="FFE6E9F2"/>
      <rgbColor rgb="FF3D171B"/>
      <rgbColor rgb="FFF87171"/>
      <rgbColor rgb="FF0066CC"/>
      <rgbColor rgb="FFC3CAE0"/>
      <rgbColor rgb="FF161B2E"/>
      <rgbColor rgb="FFFF00FF"/>
      <rgbColor rgb="FFFFFF00"/>
      <rgbColor rgb="FF00FFFF"/>
      <rgbColor rgb="FF800080"/>
      <rgbColor rgb="FF800000"/>
      <rgbColor rgb="FF008080"/>
      <rgbColor rgb="FF0000FF"/>
      <rgbColor rgb="FF34D399"/>
      <rgbColor rgb="FFCCFFFF"/>
      <rgbColor rgb="FFCCFFCC"/>
      <rgbColor rgb="FFFFFF99"/>
      <rgbColor rgb="FFA5B4FC"/>
      <rgbColor rgb="FFFF99CC"/>
      <rgbColor rgb="FFCC99FF"/>
      <rgbColor rgb="FFFFCC99"/>
      <rgbColor rgb="FF3B82F6"/>
      <rgbColor rgb="FF2DD4BF"/>
      <rgbColor rgb="FF99CC00"/>
      <rgbColor rgb="FFFBBF24"/>
      <rgbColor rgb="FFFF9900"/>
      <rgbColor rgb="FFFF6600"/>
      <rgbColor rgb="FF4A5272"/>
      <rgbColor rgb="FF8A93B0"/>
      <rgbColor rgb="FF16243F"/>
      <rgbColor rgb="FF339966"/>
      <rgbColor rgb="FF0F2E25"/>
      <rgbColor rgb="FF3A2E0E"/>
      <rgbColor rgb="FF991B1B"/>
      <rgbColor rgb="FF993366"/>
      <rgbColor rgb="FF232A4A"/>
      <rgbColor rgb="FF2A32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'Загальна по днях'!D10</c:f>
              <c:strCache>
                <c:ptCount val="1"/>
                <c:pt idx="0">
                  <c:v>Спенд, $</c:v>
                </c:pt>
              </c:strCache>
            </c:strRef>
          </c:tx>
          <c:spPr>
            <a:solidFill>
              <a:srgbClr val="5b6c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'Загальна по днях'!$B$11:$B$41</c:f>
              <c:strCache>
                <c:ptCount val="31"/>
                <c:pt idx="0">
                  <c:v>01.10.2026</c:v>
                </c:pt>
                <c:pt idx="1">
                  <c:v>02.10.2026</c:v>
                </c:pt>
                <c:pt idx="2">
                  <c:v>03.10.2026</c:v>
                </c:pt>
                <c:pt idx="3">
                  <c:v>04.10.2026</c:v>
                </c:pt>
                <c:pt idx="4">
                  <c:v>05.10.2026</c:v>
                </c:pt>
                <c:pt idx="5">
                  <c:v>06.10.2026</c:v>
                </c:pt>
                <c:pt idx="6">
                  <c:v>07.10.2026</c:v>
                </c:pt>
                <c:pt idx="7">
                  <c:v>08.10.2026</c:v>
                </c:pt>
                <c:pt idx="8">
                  <c:v>09.10.2026</c:v>
                </c:pt>
                <c:pt idx="9">
                  <c:v>10.10.2026</c:v>
                </c:pt>
                <c:pt idx="10">
                  <c:v>11.10.2026</c:v>
                </c:pt>
                <c:pt idx="11">
                  <c:v>12.10.2026</c:v>
                </c:pt>
                <c:pt idx="12">
                  <c:v>13.10.2026</c:v>
                </c:pt>
                <c:pt idx="13">
                  <c:v>14.10.2026</c:v>
                </c:pt>
                <c:pt idx="14">
                  <c:v>15.10.2026</c:v>
                </c:pt>
                <c:pt idx="15">
                  <c:v>16.10.2026</c:v>
                </c:pt>
                <c:pt idx="16">
                  <c:v>17.10.2026</c:v>
                </c:pt>
                <c:pt idx="17">
                  <c:v>18.10.2026</c:v>
                </c:pt>
                <c:pt idx="18">
                  <c:v>19.10.2026</c:v>
                </c:pt>
                <c:pt idx="19">
                  <c:v>20.10.2026</c:v>
                </c:pt>
                <c:pt idx="20">
                  <c:v>21.10.2026</c:v>
                </c:pt>
                <c:pt idx="21">
                  <c:v>22.10.2026</c:v>
                </c:pt>
                <c:pt idx="22">
                  <c:v>23.10.2026</c:v>
                </c:pt>
                <c:pt idx="23">
                  <c:v>24.10.2026</c:v>
                </c:pt>
                <c:pt idx="24">
                  <c:v>25.10.2026</c:v>
                </c:pt>
                <c:pt idx="25">
                  <c:v>26.10.2026</c:v>
                </c:pt>
                <c:pt idx="26">
                  <c:v>27.10.2026</c:v>
                </c:pt>
                <c:pt idx="27">
                  <c:v>28.10.2026</c:v>
                </c:pt>
                <c:pt idx="28">
                  <c:v>29.10.2026</c:v>
                </c:pt>
                <c:pt idx="29">
                  <c:v>30.10.2026</c:v>
                </c:pt>
                <c:pt idx="30">
                  <c:v>31.10.2026</c:v>
                </c:pt>
              </c:strCache>
            </c:strRef>
          </c:cat>
          <c:val>
            <c:numRef>
              <c:f>'Загальна по днях'!$D$11:$D$41</c:f>
              <c:numCache>
                <c:formatCode>\$#,##0.00;"-$"#,##0.00;\–</c:formatCode>
                <c:ptCount val="31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'Загальна по днях'!I10</c:f>
              <c:strCache>
                <c:ptCount val="1"/>
                <c:pt idx="0">
                  <c:v>Дохід, $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'Загальна по днях'!$B$11:$B$41</c:f>
              <c:strCache>
                <c:ptCount val="31"/>
                <c:pt idx="0">
                  <c:v>01.10.2026</c:v>
                </c:pt>
                <c:pt idx="1">
                  <c:v>02.10.2026</c:v>
                </c:pt>
                <c:pt idx="2">
                  <c:v>03.10.2026</c:v>
                </c:pt>
                <c:pt idx="3">
                  <c:v>04.10.2026</c:v>
                </c:pt>
                <c:pt idx="4">
                  <c:v>05.10.2026</c:v>
                </c:pt>
                <c:pt idx="5">
                  <c:v>06.10.2026</c:v>
                </c:pt>
                <c:pt idx="6">
                  <c:v>07.10.2026</c:v>
                </c:pt>
                <c:pt idx="7">
                  <c:v>08.10.2026</c:v>
                </c:pt>
                <c:pt idx="8">
                  <c:v>09.10.2026</c:v>
                </c:pt>
                <c:pt idx="9">
                  <c:v>10.10.2026</c:v>
                </c:pt>
                <c:pt idx="10">
                  <c:v>11.10.2026</c:v>
                </c:pt>
                <c:pt idx="11">
                  <c:v>12.10.2026</c:v>
                </c:pt>
                <c:pt idx="12">
                  <c:v>13.10.2026</c:v>
                </c:pt>
                <c:pt idx="13">
                  <c:v>14.10.2026</c:v>
                </c:pt>
                <c:pt idx="14">
                  <c:v>15.10.2026</c:v>
                </c:pt>
                <c:pt idx="15">
                  <c:v>16.10.2026</c:v>
                </c:pt>
                <c:pt idx="16">
                  <c:v>17.10.2026</c:v>
                </c:pt>
                <c:pt idx="17">
                  <c:v>18.10.2026</c:v>
                </c:pt>
                <c:pt idx="18">
                  <c:v>19.10.2026</c:v>
                </c:pt>
                <c:pt idx="19">
                  <c:v>20.10.2026</c:v>
                </c:pt>
                <c:pt idx="20">
                  <c:v>21.10.2026</c:v>
                </c:pt>
                <c:pt idx="21">
                  <c:v>22.10.2026</c:v>
                </c:pt>
                <c:pt idx="22">
                  <c:v>23.10.2026</c:v>
                </c:pt>
                <c:pt idx="23">
                  <c:v>24.10.2026</c:v>
                </c:pt>
                <c:pt idx="24">
                  <c:v>25.10.2026</c:v>
                </c:pt>
                <c:pt idx="25">
                  <c:v>26.10.2026</c:v>
                </c:pt>
                <c:pt idx="26">
                  <c:v>27.10.2026</c:v>
                </c:pt>
                <c:pt idx="27">
                  <c:v>28.10.2026</c:v>
                </c:pt>
                <c:pt idx="28">
                  <c:v>29.10.2026</c:v>
                </c:pt>
                <c:pt idx="29">
                  <c:v>30.10.2026</c:v>
                </c:pt>
                <c:pt idx="30">
                  <c:v>31.10.2026</c:v>
                </c:pt>
              </c:strCache>
            </c:strRef>
          </c:cat>
          <c:val>
            <c:numRef>
              <c:f>'Загальна по днях'!$I$11:$I$41</c:f>
              <c:numCache>
                <c:formatCode>\$#,##0.00;"-$"#,##0.00;\–</c:formatCode>
                <c:ptCount val="31"/>
                <c:pt idx="0">
                  <c:v>224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5162358"/>
        <c:axId val="50152604"/>
      </c:barChart>
      <c:lineChart>
        <c:grouping val="standard"/>
        <c:varyColors val="0"/>
        <c:ser>
          <c:idx val="2"/>
          <c:order val="2"/>
          <c:tx>
            <c:strRef>
              <c:f>'Загальна по днях'!R10</c:f>
              <c:strCache>
                <c:ptCount val="1"/>
                <c:pt idx="0">
                  <c:v>Профіт наростаючим, $</c:v>
                </c:pt>
              </c:strCache>
            </c:strRef>
          </c:tx>
          <c:spPr>
            <a:solidFill>
              <a:srgbClr val="fbbf24"/>
            </a:solidFill>
            <a:ln w="28440">
              <a:solidFill>
                <a:srgbClr val="fbbf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'Загальна по днях'!$B$11:$B$41</c:f>
              <c:strCache>
                <c:ptCount val="31"/>
                <c:pt idx="0">
                  <c:v>01.10.2026</c:v>
                </c:pt>
                <c:pt idx="1">
                  <c:v>02.10.2026</c:v>
                </c:pt>
                <c:pt idx="2">
                  <c:v>03.10.2026</c:v>
                </c:pt>
                <c:pt idx="3">
                  <c:v>04.10.2026</c:v>
                </c:pt>
                <c:pt idx="4">
                  <c:v>05.10.2026</c:v>
                </c:pt>
                <c:pt idx="5">
                  <c:v>06.10.2026</c:v>
                </c:pt>
                <c:pt idx="6">
                  <c:v>07.10.2026</c:v>
                </c:pt>
                <c:pt idx="7">
                  <c:v>08.10.2026</c:v>
                </c:pt>
                <c:pt idx="8">
                  <c:v>09.10.2026</c:v>
                </c:pt>
                <c:pt idx="9">
                  <c:v>10.10.2026</c:v>
                </c:pt>
                <c:pt idx="10">
                  <c:v>11.10.2026</c:v>
                </c:pt>
                <c:pt idx="11">
                  <c:v>12.10.2026</c:v>
                </c:pt>
                <c:pt idx="12">
                  <c:v>13.10.2026</c:v>
                </c:pt>
                <c:pt idx="13">
                  <c:v>14.10.2026</c:v>
                </c:pt>
                <c:pt idx="14">
                  <c:v>15.10.2026</c:v>
                </c:pt>
                <c:pt idx="15">
                  <c:v>16.10.2026</c:v>
                </c:pt>
                <c:pt idx="16">
                  <c:v>17.10.2026</c:v>
                </c:pt>
                <c:pt idx="17">
                  <c:v>18.10.2026</c:v>
                </c:pt>
                <c:pt idx="18">
                  <c:v>19.10.2026</c:v>
                </c:pt>
                <c:pt idx="19">
                  <c:v>20.10.2026</c:v>
                </c:pt>
                <c:pt idx="20">
                  <c:v>21.10.2026</c:v>
                </c:pt>
                <c:pt idx="21">
                  <c:v>22.10.2026</c:v>
                </c:pt>
                <c:pt idx="22">
                  <c:v>23.10.2026</c:v>
                </c:pt>
                <c:pt idx="23">
                  <c:v>24.10.2026</c:v>
                </c:pt>
                <c:pt idx="24">
                  <c:v>25.10.2026</c:v>
                </c:pt>
                <c:pt idx="25">
                  <c:v>26.10.2026</c:v>
                </c:pt>
                <c:pt idx="26">
                  <c:v>27.10.2026</c:v>
                </c:pt>
                <c:pt idx="27">
                  <c:v>28.10.2026</c:v>
                </c:pt>
                <c:pt idx="28">
                  <c:v>29.10.2026</c:v>
                </c:pt>
                <c:pt idx="29">
                  <c:v>30.10.2026</c:v>
                </c:pt>
                <c:pt idx="30">
                  <c:v>31.10.2026</c:v>
                </c:pt>
              </c:strCache>
            </c:strRef>
          </c:cat>
          <c:val>
            <c:numRef>
              <c:f>'Загальна по днях'!$R$11:$R$41</c:f>
              <c:numCache>
                <c:formatCode>"+$"#,##0.00;"-$"#,##0.00;\–</c:formatCode>
                <c:ptCount val="31"/>
                <c:pt idx="0">
                  <c:v>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461207"/>
        <c:axId val="25563242"/>
      </c:lineChart>
      <c:catAx>
        <c:axId val="15162358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50152604"/>
        <c:crosses val="autoZero"/>
        <c:auto val="1"/>
        <c:lblAlgn val="ctr"/>
        <c:lblOffset val="100"/>
        <c:noMultiLvlLbl val="0"/>
      </c:catAx>
      <c:valAx>
        <c:axId val="50152604"/>
        <c:scaling>
          <c:orientation val="minMax"/>
        </c:scaling>
        <c:delete val="0"/>
        <c:axPos val="l"/>
        <c:majorGridlines>
          <c:spPr>
            <a:ln w="9360">
              <a:solidFill>
                <a:srgbClr val="2a3252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15162358"/>
        <c:crosses val="autoZero"/>
        <c:crossBetween val="between"/>
      </c:valAx>
      <c:catAx>
        <c:axId val="77461207"/>
        <c:scaling>
          <c:orientation val="minMax"/>
        </c:scaling>
        <c:delete val="0"/>
        <c:axPos val="t"/>
        <c:numFmt formatCode="dd\.mm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25563242"/>
        <c:crosses val="autoZero"/>
        <c:auto val="1"/>
        <c:lblAlgn val="ctr"/>
        <c:lblOffset val="100"/>
        <c:noMultiLvlLbl val="0"/>
      </c:catAx>
      <c:valAx>
        <c:axId val="25563242"/>
        <c:scaling>
          <c:orientation val="minMax"/>
        </c:scaling>
        <c:delete val="0"/>
        <c:axPos val="r"/>
        <c:numFmt formatCode="\$#,##0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77461207"/>
        <c:crosses val="max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6e9f2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1b2e"/>
    </a:solidFill>
    <a:ln w="9360">
      <a:solidFill>
        <a:srgbClr val="2a3252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'Зведення по гео'!D7</c:f>
              <c:strCache>
                <c:ptCount val="1"/>
                <c:pt idx="0">
                  <c:v>Спенд, $</c:v>
                </c:pt>
              </c:strCache>
            </c:strRef>
          </c:tx>
          <c:spPr>
            <a:solidFill>
              <a:srgbClr val="5b6c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'Зведення по гео'!$B$8:$B$14</c:f>
              <c:strCache>
                <c:ptCount val="7"/>
                <c:pt idx="0">
                  <c:v>PL</c:v>
                </c:pt>
                <c:pt idx="1">
                  <c:v>RO</c:v>
                </c:pt>
                <c:pt idx="2">
                  <c:v>IT</c:v>
                </c:pt>
                <c:pt idx="3">
                  <c:v>ES</c:v>
                </c:pt>
                <c:pt idx="4">
                  <c:v>CZ</c:v>
                </c:pt>
                <c:pt idx="5">
                  <c:v>BG</c:v>
                </c:pt>
                <c:pt idx="6">
                  <c:v>GR</c:v>
                </c:pt>
              </c:strCache>
            </c:strRef>
          </c:cat>
          <c:val>
            <c:numRef>
              <c:f>'Зведення по гео'!$D$8:$D$14</c:f>
              <c:numCache>
                <c:formatCode>\$#,##0.00;"-$"#,##0.00;\–</c:formatCode>
                <c:ptCount val="7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'Зведення по гео'!N7</c:f>
              <c:strCache>
                <c:ptCount val="1"/>
                <c:pt idx="0">
                  <c:v>Дохід, $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'Зведення по гео'!$B$8:$B$14</c:f>
              <c:strCache>
                <c:ptCount val="7"/>
                <c:pt idx="0">
                  <c:v>PL</c:v>
                </c:pt>
                <c:pt idx="1">
                  <c:v>RO</c:v>
                </c:pt>
                <c:pt idx="2">
                  <c:v>IT</c:v>
                </c:pt>
                <c:pt idx="3">
                  <c:v>ES</c:v>
                </c:pt>
                <c:pt idx="4">
                  <c:v>CZ</c:v>
                </c:pt>
                <c:pt idx="5">
                  <c:v>BG</c:v>
                </c:pt>
                <c:pt idx="6">
                  <c:v>GR</c:v>
                </c:pt>
              </c:strCache>
            </c:strRef>
          </c:cat>
          <c:val>
            <c:numRef>
              <c:f>'Зведення по гео'!$N$8:$N$14</c:f>
              <c:numCache>
                <c:formatCode>\$#,##0.00;"-$"#,##0.00;\–</c:formatCode>
                <c:ptCount val="7"/>
                <c:pt idx="0">
                  <c:v>224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80"/>
        <c:overlap val="0"/>
        <c:axId val="2812393"/>
        <c:axId val="3357854"/>
      </c:barChart>
      <c:catAx>
        <c:axId val="2812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3357854"/>
        <c:crosses val="autoZero"/>
        <c:auto val="1"/>
        <c:lblAlgn val="ctr"/>
        <c:lblOffset val="100"/>
        <c:noMultiLvlLbl val="0"/>
      </c:catAx>
      <c:valAx>
        <c:axId val="3357854"/>
        <c:scaling>
          <c:orientation val="minMax"/>
        </c:scaling>
        <c:delete val="0"/>
        <c:axPos val="l"/>
        <c:majorGridlines>
          <c:spPr>
            <a:ln w="9360">
              <a:solidFill>
                <a:srgbClr val="2a3252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2a325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8a93b0"/>
                </a:solidFill>
                <a:latin typeface="Arial"/>
              </a:defRPr>
            </a:pPr>
          </a:p>
        </c:txPr>
        <c:crossAx val="2812393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6e9f2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1b2e"/>
    </a:solidFill>
    <a:ln w="9360">
      <a:solidFill>
        <a:srgbClr val="2a3252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44</xdr:row>
      <xdr:rowOff>0</xdr:rowOff>
    </xdr:from>
    <xdr:to>
      <xdr:col>17</xdr:col>
      <xdr:colOff>727560</xdr:colOff>
      <xdr:row>61</xdr:row>
      <xdr:rowOff>1080</xdr:rowOff>
    </xdr:to>
    <xdr:graphicFrame>
      <xdr:nvGraphicFramePr>
        <xdr:cNvPr id="0" name="Chart 1"/>
        <xdr:cNvGraphicFramePr/>
      </xdr:nvGraphicFramePr>
      <xdr:xfrm>
        <a:off x="176400" y="9763200"/>
        <a:ext cx="111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11</xdr:col>
      <xdr:colOff>377640</xdr:colOff>
      <xdr:row>33</xdr:row>
      <xdr:rowOff>22320</xdr:rowOff>
    </xdr:to>
    <xdr:graphicFrame>
      <xdr:nvGraphicFramePr>
        <xdr:cNvPr id="1" name="Chart 1"/>
        <xdr:cNvGraphicFramePr/>
      </xdr:nvGraphicFramePr>
      <xdr:xfrm>
        <a:off x="176400" y="46292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BF24"/>
    <pageSetUpPr fitToPage="true"/>
  </sheetPr>
  <dimension ref="A1:P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14" min="5" style="0" width="1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1.75" hidden="false" customHeight="true" outlineLevel="0" collapsed="false">
      <c r="A5" s="1"/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customFormat="false" ht="31.5" hidden="false" customHeight="true" outlineLevel="0" collapsed="false">
      <c r="A6" s="1"/>
      <c r="B6" s="6" t="n">
        <v>1</v>
      </c>
      <c r="C6" s="7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"/>
      <c r="P6" s="1"/>
    </row>
    <row r="7" customFormat="false" ht="31.5" hidden="false" customHeight="true" outlineLevel="0" collapsed="false">
      <c r="A7" s="1"/>
      <c r="B7" s="6" t="n">
        <v>2</v>
      </c>
      <c r="C7" s="7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"/>
      <c r="P7" s="1"/>
    </row>
    <row r="8" customFormat="false" ht="31.5" hidden="false" customHeight="true" outlineLevel="0" collapsed="false">
      <c r="A8" s="1"/>
      <c r="B8" s="6" t="n">
        <v>3</v>
      </c>
      <c r="C8" s="7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"/>
      <c r="P8" s="1"/>
    </row>
    <row r="9" customFormat="false" ht="31.5" hidden="false" customHeight="true" outlineLevel="0" collapsed="false">
      <c r="A9" s="1"/>
      <c r="B9" s="6" t="n">
        <v>4</v>
      </c>
      <c r="C9" s="7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"/>
      <c r="P9" s="1"/>
    </row>
    <row r="10" customFormat="false" ht="31.5" hidden="false" customHeight="true" outlineLevel="0" collapsed="false">
      <c r="A10" s="1"/>
      <c r="B10" s="6" t="n">
        <v>5</v>
      </c>
      <c r="C10" s="7" t="s">
        <v>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"/>
      <c r="P10" s="1"/>
    </row>
    <row r="11" customFormat="false" ht="31.5" hidden="false" customHeight="true" outlineLevel="0" collapsed="false">
      <c r="A11" s="1"/>
      <c r="B11" s="6" t="n">
        <v>6</v>
      </c>
      <c r="C11" s="7" t="s">
        <v>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"/>
      <c r="P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21.75" hidden="false" customHeight="true" outlineLevel="0" collapsed="false">
      <c r="A13" s="1"/>
      <c r="B13" s="4" t="s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</row>
    <row r="14" customFormat="false" ht="19.5" hidden="false" customHeight="true" outlineLevel="0" collapsed="false">
      <c r="A14" s="1"/>
      <c r="B14" s="1"/>
      <c r="C14" s="8" t="s">
        <v>10</v>
      </c>
      <c r="D14" s="8"/>
      <c r="E14" s="9" t="s">
        <v>11</v>
      </c>
      <c r="F14" s="9"/>
      <c r="G14" s="9"/>
      <c r="H14" s="9"/>
      <c r="I14" s="9"/>
      <c r="J14" s="9"/>
      <c r="K14" s="9"/>
      <c r="L14" s="9"/>
      <c r="M14" s="9"/>
      <c r="N14" s="9"/>
      <c r="O14" s="1"/>
      <c r="P14" s="1"/>
    </row>
    <row r="15" customFormat="false" ht="19.5" hidden="false" customHeight="true" outlineLevel="0" collapsed="false">
      <c r="A15" s="1"/>
      <c r="B15" s="1"/>
      <c r="C15" s="10" t="s">
        <v>12</v>
      </c>
      <c r="D15" s="10"/>
      <c r="E15" s="9" t="s">
        <v>13</v>
      </c>
      <c r="F15" s="9"/>
      <c r="G15" s="9"/>
      <c r="H15" s="9"/>
      <c r="I15" s="9"/>
      <c r="J15" s="9"/>
      <c r="K15" s="9"/>
      <c r="L15" s="9"/>
      <c r="M15" s="9"/>
      <c r="N15" s="9"/>
      <c r="O15" s="1"/>
      <c r="P15" s="1"/>
    </row>
    <row r="16" customFormat="false" ht="19.5" hidden="false" customHeight="true" outlineLevel="0" collapsed="false">
      <c r="A16" s="1"/>
      <c r="B16" s="1"/>
      <c r="C16" s="11" t="s">
        <v>14</v>
      </c>
      <c r="D16" s="11"/>
      <c r="E16" s="9" t="s">
        <v>15</v>
      </c>
      <c r="F16" s="9"/>
      <c r="G16" s="9"/>
      <c r="H16" s="9"/>
      <c r="I16" s="9"/>
      <c r="J16" s="9"/>
      <c r="K16" s="9"/>
      <c r="L16" s="9"/>
      <c r="M16" s="9"/>
      <c r="N16" s="9"/>
      <c r="O16" s="1"/>
      <c r="P16" s="1"/>
    </row>
    <row r="17" customFormat="false" ht="19.5" hidden="false" customHeight="true" outlineLevel="0" collapsed="false">
      <c r="A17" s="1"/>
      <c r="B17" s="1"/>
      <c r="C17" s="12" t="s">
        <v>16</v>
      </c>
      <c r="D17" s="12"/>
      <c r="E17" s="9" t="s">
        <v>17</v>
      </c>
      <c r="F17" s="9"/>
      <c r="G17" s="9"/>
      <c r="H17" s="9"/>
      <c r="I17" s="9"/>
      <c r="J17" s="9"/>
      <c r="K17" s="9"/>
      <c r="L17" s="9"/>
      <c r="M17" s="9"/>
      <c r="N17" s="9"/>
      <c r="O17" s="1"/>
      <c r="P17" s="1"/>
    </row>
    <row r="18" customFormat="false" ht="19.5" hidden="false" customHeight="true" outlineLevel="0" collapsed="false">
      <c r="A18" s="1"/>
      <c r="B18" s="1"/>
      <c r="C18" s="13" t="s">
        <v>18</v>
      </c>
      <c r="D18" s="13"/>
      <c r="E18" s="9" t="s">
        <v>19</v>
      </c>
      <c r="F18" s="9"/>
      <c r="G18" s="9"/>
      <c r="H18" s="9"/>
      <c r="I18" s="9"/>
      <c r="J18" s="9"/>
      <c r="K18" s="9"/>
      <c r="L18" s="9"/>
      <c r="M18" s="9"/>
      <c r="N18" s="9"/>
      <c r="O18" s="1"/>
      <c r="P18" s="1"/>
    </row>
    <row r="19" customFormat="false" ht="19.5" hidden="false" customHeight="true" outlineLevel="0" collapsed="false">
      <c r="A19" s="1"/>
      <c r="B19" s="1"/>
      <c r="C19" s="14" t="s">
        <v>20</v>
      </c>
      <c r="D19" s="14"/>
      <c r="E19" s="9" t="s">
        <v>21</v>
      </c>
      <c r="F19" s="9"/>
      <c r="G19" s="9"/>
      <c r="H19" s="9"/>
      <c r="I19" s="9"/>
      <c r="J19" s="9"/>
      <c r="K19" s="9"/>
      <c r="L19" s="9"/>
      <c r="M19" s="9"/>
      <c r="N19" s="9"/>
      <c r="O19" s="1"/>
      <c r="P19" s="1"/>
    </row>
    <row r="20" customFormat="false" ht="19.5" hidden="false" customHeight="true" outlineLevel="0" collapsed="false">
      <c r="A20" s="1"/>
      <c r="B20" s="1"/>
      <c r="C20" s="15" t="s">
        <v>22</v>
      </c>
      <c r="D20" s="15"/>
      <c r="E20" s="9" t="s">
        <v>23</v>
      </c>
      <c r="F20" s="9"/>
      <c r="G20" s="9"/>
      <c r="H20" s="9"/>
      <c r="I20" s="9"/>
      <c r="J20" s="9"/>
      <c r="K20" s="9"/>
      <c r="L20" s="9"/>
      <c r="M20" s="9"/>
      <c r="N20" s="9"/>
      <c r="O20" s="1"/>
      <c r="P20" s="1"/>
    </row>
    <row r="21" customFormat="false" ht="19.5" hidden="false" customHeight="true" outlineLevel="0" collapsed="false">
      <c r="A21" s="1"/>
      <c r="B21" s="1"/>
      <c r="C21" s="16" t="s">
        <v>24</v>
      </c>
      <c r="D21" s="16"/>
      <c r="E21" s="9" t="s">
        <v>25</v>
      </c>
      <c r="F21" s="9"/>
      <c r="G21" s="9"/>
      <c r="H21" s="9"/>
      <c r="I21" s="9"/>
      <c r="J21" s="9"/>
      <c r="K21" s="9"/>
      <c r="L21" s="9"/>
      <c r="M21" s="9"/>
      <c r="N21" s="9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1.75" hidden="false" customHeight="true" outlineLevel="0" collapsed="false">
      <c r="A23" s="1"/>
      <c r="B23" s="4" t="s">
        <v>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"/>
      <c r="P23" s="1"/>
    </row>
    <row r="24" customFormat="false" ht="18.75" hidden="false" customHeight="true" outlineLevel="0" collapsed="false">
      <c r="A24" s="1"/>
      <c r="B24" s="1"/>
      <c r="C24" s="17" t="s">
        <v>27</v>
      </c>
      <c r="D24" s="17"/>
      <c r="E24" s="18" t="s">
        <v>28</v>
      </c>
      <c r="F24" s="18"/>
      <c r="G24" s="18"/>
      <c r="H24" s="18"/>
      <c r="I24" s="19" t="s">
        <v>29</v>
      </c>
      <c r="J24" s="19"/>
      <c r="K24" s="19"/>
      <c r="L24" s="19"/>
      <c r="M24" s="19"/>
      <c r="N24" s="19"/>
      <c r="O24" s="1"/>
      <c r="P24" s="1"/>
    </row>
    <row r="25" customFormat="false" ht="18.75" hidden="false" customHeight="true" outlineLevel="0" collapsed="false">
      <c r="A25" s="1"/>
      <c r="B25" s="1"/>
      <c r="C25" s="17" t="s">
        <v>30</v>
      </c>
      <c r="D25" s="17"/>
      <c r="E25" s="18" t="s">
        <v>31</v>
      </c>
      <c r="F25" s="18"/>
      <c r="G25" s="18"/>
      <c r="H25" s="18"/>
      <c r="I25" s="19" t="s">
        <v>32</v>
      </c>
      <c r="J25" s="19"/>
      <c r="K25" s="19"/>
      <c r="L25" s="19"/>
      <c r="M25" s="19"/>
      <c r="N25" s="19"/>
      <c r="O25" s="1"/>
      <c r="P25" s="1"/>
    </row>
    <row r="26" customFormat="false" ht="18.75" hidden="false" customHeight="true" outlineLevel="0" collapsed="false">
      <c r="A26" s="1"/>
      <c r="B26" s="1"/>
      <c r="C26" s="17" t="s">
        <v>33</v>
      </c>
      <c r="D26" s="17"/>
      <c r="E26" s="18" t="s">
        <v>34</v>
      </c>
      <c r="F26" s="18"/>
      <c r="G26" s="18"/>
      <c r="H26" s="18"/>
      <c r="I26" s="19" t="s">
        <v>35</v>
      </c>
      <c r="J26" s="19"/>
      <c r="K26" s="19"/>
      <c r="L26" s="19"/>
      <c r="M26" s="19"/>
      <c r="N26" s="19"/>
      <c r="O26" s="1"/>
      <c r="P26" s="1"/>
    </row>
    <row r="27" customFormat="false" ht="18.75" hidden="false" customHeight="true" outlineLevel="0" collapsed="false">
      <c r="A27" s="1"/>
      <c r="B27" s="1"/>
      <c r="C27" s="17" t="s">
        <v>36</v>
      </c>
      <c r="D27" s="17"/>
      <c r="E27" s="18" t="s">
        <v>37</v>
      </c>
      <c r="F27" s="18"/>
      <c r="G27" s="18"/>
      <c r="H27" s="18"/>
      <c r="I27" s="19" t="s">
        <v>38</v>
      </c>
      <c r="J27" s="19"/>
      <c r="K27" s="19"/>
      <c r="L27" s="19"/>
      <c r="M27" s="19"/>
      <c r="N27" s="19"/>
      <c r="O27" s="1"/>
      <c r="P27" s="1"/>
    </row>
    <row r="28" customFormat="false" ht="18.75" hidden="false" customHeight="true" outlineLevel="0" collapsed="false">
      <c r="A28" s="1"/>
      <c r="B28" s="1"/>
      <c r="C28" s="17" t="s">
        <v>39</v>
      </c>
      <c r="D28" s="17"/>
      <c r="E28" s="18" t="s">
        <v>40</v>
      </c>
      <c r="F28" s="18"/>
      <c r="G28" s="18"/>
      <c r="H28" s="18"/>
      <c r="I28" s="19" t="s">
        <v>41</v>
      </c>
      <c r="J28" s="19"/>
      <c r="K28" s="19"/>
      <c r="L28" s="19"/>
      <c r="M28" s="19"/>
      <c r="N28" s="19"/>
      <c r="O28" s="1"/>
      <c r="P28" s="1"/>
    </row>
    <row r="29" customFormat="false" ht="18.75" hidden="false" customHeight="true" outlineLevel="0" collapsed="false">
      <c r="A29" s="1"/>
      <c r="B29" s="1"/>
      <c r="C29" s="17" t="s">
        <v>42</v>
      </c>
      <c r="D29" s="17"/>
      <c r="E29" s="18" t="s">
        <v>43</v>
      </c>
      <c r="F29" s="18"/>
      <c r="G29" s="18"/>
      <c r="H29" s="18"/>
      <c r="I29" s="19" t="s">
        <v>44</v>
      </c>
      <c r="J29" s="19"/>
      <c r="K29" s="19"/>
      <c r="L29" s="19"/>
      <c r="M29" s="19"/>
      <c r="N29" s="19"/>
      <c r="O29" s="1"/>
      <c r="P29" s="1"/>
    </row>
    <row r="30" customFormat="false" ht="18.75" hidden="false" customHeight="true" outlineLevel="0" collapsed="false">
      <c r="A30" s="1"/>
      <c r="B30" s="1"/>
      <c r="C30" s="17" t="s">
        <v>45</v>
      </c>
      <c r="D30" s="17"/>
      <c r="E30" s="18" t="s">
        <v>46</v>
      </c>
      <c r="F30" s="18"/>
      <c r="G30" s="18"/>
      <c r="H30" s="18"/>
      <c r="I30" s="19" t="s">
        <v>47</v>
      </c>
      <c r="J30" s="19"/>
      <c r="K30" s="19"/>
      <c r="L30" s="19"/>
      <c r="M30" s="19"/>
      <c r="N30" s="19"/>
      <c r="O30" s="1"/>
      <c r="P30" s="1"/>
    </row>
    <row r="31" customFormat="false" ht="18.75" hidden="false" customHeight="true" outlineLevel="0" collapsed="false">
      <c r="A31" s="1"/>
      <c r="B31" s="1"/>
      <c r="C31" s="17" t="s">
        <v>48</v>
      </c>
      <c r="D31" s="17"/>
      <c r="E31" s="18" t="s">
        <v>49</v>
      </c>
      <c r="F31" s="18"/>
      <c r="G31" s="18"/>
      <c r="H31" s="18"/>
      <c r="I31" s="19" t="s">
        <v>50</v>
      </c>
      <c r="J31" s="19"/>
      <c r="K31" s="19"/>
      <c r="L31" s="19"/>
      <c r="M31" s="19"/>
      <c r="N31" s="19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21.75" hidden="false" customHeight="true" outlineLevel="0" collapsed="false">
      <c r="A33" s="1"/>
      <c r="B33" s="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"/>
      <c r="P33" s="1"/>
    </row>
    <row r="34" customFormat="false" ht="18.75" hidden="false" customHeight="true" outlineLevel="0" collapsed="false">
      <c r="A34" s="1"/>
      <c r="B34" s="1"/>
      <c r="C34" s="20" t="s">
        <v>52</v>
      </c>
      <c r="D34" s="20"/>
      <c r="E34" s="19" t="s">
        <v>53</v>
      </c>
      <c r="F34" s="19"/>
      <c r="G34" s="19"/>
      <c r="H34" s="19"/>
      <c r="I34" s="19"/>
      <c r="J34" s="19"/>
      <c r="K34" s="19"/>
      <c r="L34" s="19"/>
      <c r="M34" s="19"/>
      <c r="N34" s="19"/>
      <c r="O34" s="1"/>
      <c r="P34" s="1"/>
    </row>
    <row r="35" customFormat="false" ht="18.75" hidden="false" customHeight="true" outlineLevel="0" collapsed="false">
      <c r="A35" s="1"/>
      <c r="B35" s="1"/>
      <c r="C35" s="20" t="s">
        <v>54</v>
      </c>
      <c r="D35" s="20"/>
      <c r="E35" s="19" t="s">
        <v>55</v>
      </c>
      <c r="F35" s="19"/>
      <c r="G35" s="19"/>
      <c r="H35" s="19"/>
      <c r="I35" s="19"/>
      <c r="J35" s="19"/>
      <c r="K35" s="19"/>
      <c r="L35" s="19"/>
      <c r="M35" s="19"/>
      <c r="N35" s="19"/>
      <c r="O35" s="1"/>
      <c r="P35" s="1"/>
    </row>
    <row r="36" customFormat="false" ht="18.75" hidden="false" customHeight="true" outlineLevel="0" collapsed="false">
      <c r="A36" s="1"/>
      <c r="B36" s="1"/>
      <c r="C36" s="20" t="s">
        <v>56</v>
      </c>
      <c r="D36" s="20"/>
      <c r="E36" s="19" t="s">
        <v>57</v>
      </c>
      <c r="F36" s="19"/>
      <c r="G36" s="19"/>
      <c r="H36" s="19"/>
      <c r="I36" s="19"/>
      <c r="J36" s="19"/>
      <c r="K36" s="19"/>
      <c r="L36" s="19"/>
      <c r="M36" s="19"/>
      <c r="N36" s="19"/>
      <c r="O36" s="1"/>
      <c r="P36" s="1"/>
    </row>
    <row r="37" customFormat="false" ht="18.75" hidden="false" customHeight="true" outlineLevel="0" collapsed="false">
      <c r="A37" s="1"/>
      <c r="B37" s="1"/>
      <c r="C37" s="20" t="s">
        <v>58</v>
      </c>
      <c r="D37" s="20"/>
      <c r="E37" s="19" t="s">
        <v>59</v>
      </c>
      <c r="F37" s="19"/>
      <c r="G37" s="19"/>
      <c r="H37" s="19"/>
      <c r="I37" s="19"/>
      <c r="J37" s="19"/>
      <c r="K37" s="19"/>
      <c r="L37" s="19"/>
      <c r="M37" s="19"/>
      <c r="N37" s="19"/>
      <c r="O37" s="1"/>
      <c r="P37" s="1"/>
    </row>
    <row r="38" customFormat="false" ht="18.75" hidden="false" customHeight="true" outlineLevel="0" collapsed="false">
      <c r="A38" s="1"/>
      <c r="B38" s="1"/>
      <c r="C38" s="20" t="s">
        <v>60</v>
      </c>
      <c r="D38" s="20"/>
      <c r="E38" s="19" t="s">
        <v>61</v>
      </c>
      <c r="F38" s="19"/>
      <c r="G38" s="19"/>
      <c r="H38" s="19"/>
      <c r="I38" s="19"/>
      <c r="J38" s="19"/>
      <c r="K38" s="19"/>
      <c r="L38" s="19"/>
      <c r="M38" s="19"/>
      <c r="N38" s="19"/>
      <c r="O38" s="1"/>
      <c r="P38" s="1"/>
    </row>
    <row r="39" customFormat="false" ht="18.75" hidden="false" customHeight="true" outlineLevel="0" collapsed="false">
      <c r="A39" s="1"/>
      <c r="B39" s="1"/>
      <c r="C39" s="20" t="s">
        <v>62</v>
      </c>
      <c r="D39" s="20"/>
      <c r="E39" s="19" t="s">
        <v>63</v>
      </c>
      <c r="F39" s="19"/>
      <c r="G39" s="19"/>
      <c r="H39" s="19"/>
      <c r="I39" s="19"/>
      <c r="J39" s="19"/>
      <c r="K39" s="19"/>
      <c r="L39" s="19"/>
      <c r="M39" s="19"/>
      <c r="N39" s="19"/>
      <c r="O39" s="1"/>
      <c r="P39" s="1"/>
    </row>
    <row r="40" customFormat="false" ht="18.75" hidden="false" customHeight="true" outlineLevel="0" collapsed="false">
      <c r="A40" s="1"/>
      <c r="B40" s="1"/>
      <c r="C40" s="20" t="s">
        <v>64</v>
      </c>
      <c r="D40" s="20"/>
      <c r="E40" s="19" t="s">
        <v>65</v>
      </c>
      <c r="F40" s="19"/>
      <c r="G40" s="19"/>
      <c r="H40" s="19"/>
      <c r="I40" s="19"/>
      <c r="J40" s="19"/>
      <c r="K40" s="19"/>
      <c r="L40" s="19"/>
      <c r="M40" s="19"/>
      <c r="N40" s="19"/>
      <c r="O40" s="1"/>
      <c r="P40" s="1"/>
    </row>
    <row r="41" customFormat="false" ht="18.75" hidden="false" customHeight="true" outlineLevel="0" collapsed="false">
      <c r="A41" s="1"/>
      <c r="B41" s="1"/>
      <c r="C41" s="20" t="s">
        <v>66</v>
      </c>
      <c r="D41" s="20"/>
      <c r="E41" s="19" t="s">
        <v>67</v>
      </c>
      <c r="F41" s="19"/>
      <c r="G41" s="19"/>
      <c r="H41" s="19"/>
      <c r="I41" s="19"/>
      <c r="J41" s="19"/>
      <c r="K41" s="19"/>
      <c r="L41" s="19"/>
      <c r="M41" s="19"/>
      <c r="N41" s="19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true" outlineLevel="0" collapsed="false">
      <c r="A43" s="1"/>
      <c r="B43" s="21" t="s">
        <v>68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1"/>
      <c r="P43" s="1"/>
    </row>
    <row r="44" customFormat="false" ht="15" hidden="false" customHeight="false" outlineLevel="0" collapsed="false">
      <c r="A44" s="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mergeCells count="63">
    <mergeCell ref="C6:N6"/>
    <mergeCell ref="C7:N7"/>
    <mergeCell ref="C8:N8"/>
    <mergeCell ref="C9:N9"/>
    <mergeCell ref="C10:N10"/>
    <mergeCell ref="C11:N11"/>
    <mergeCell ref="C14:D14"/>
    <mergeCell ref="E14:N14"/>
    <mergeCell ref="C15:D15"/>
    <mergeCell ref="E15:N15"/>
    <mergeCell ref="C16:D16"/>
    <mergeCell ref="E16:N16"/>
    <mergeCell ref="C17:D17"/>
    <mergeCell ref="E17:N17"/>
    <mergeCell ref="C18:D18"/>
    <mergeCell ref="E18:N18"/>
    <mergeCell ref="C19:D19"/>
    <mergeCell ref="E19:N19"/>
    <mergeCell ref="C20:D20"/>
    <mergeCell ref="E20:N20"/>
    <mergeCell ref="C21:D21"/>
    <mergeCell ref="E21:N21"/>
    <mergeCell ref="C24:D24"/>
    <mergeCell ref="E24:H24"/>
    <mergeCell ref="I24:N24"/>
    <mergeCell ref="C25:D25"/>
    <mergeCell ref="E25:H25"/>
    <mergeCell ref="I25:N25"/>
    <mergeCell ref="C26:D26"/>
    <mergeCell ref="E26:H26"/>
    <mergeCell ref="I26:N26"/>
    <mergeCell ref="C27:D27"/>
    <mergeCell ref="E27:H27"/>
    <mergeCell ref="I27:N27"/>
    <mergeCell ref="C28:D28"/>
    <mergeCell ref="E28:H28"/>
    <mergeCell ref="I28:N28"/>
    <mergeCell ref="C29:D29"/>
    <mergeCell ref="E29:H29"/>
    <mergeCell ref="I29:N29"/>
    <mergeCell ref="C30:D30"/>
    <mergeCell ref="E30:H30"/>
    <mergeCell ref="I30:N30"/>
    <mergeCell ref="C31:D31"/>
    <mergeCell ref="E31:H31"/>
    <mergeCell ref="I31:N31"/>
    <mergeCell ref="C34:D34"/>
    <mergeCell ref="E34:N34"/>
    <mergeCell ref="C35:D35"/>
    <mergeCell ref="E35:N35"/>
    <mergeCell ref="C36:D36"/>
    <mergeCell ref="E36:N36"/>
    <mergeCell ref="C37:D37"/>
    <mergeCell ref="E37:N37"/>
    <mergeCell ref="C38:D38"/>
    <mergeCell ref="E38:N38"/>
    <mergeCell ref="C39:D39"/>
    <mergeCell ref="E39:N39"/>
    <mergeCell ref="C40:D40"/>
    <mergeCell ref="E40:N40"/>
    <mergeCell ref="C41:D41"/>
    <mergeCell ref="E41:N41"/>
    <mergeCell ref="B43:N44"/>
  </mergeCells>
  <hyperlinks>
    <hyperlink ref="C34" location="'Гео-калькулятор'!A1" display="Гео-калькулятор"/>
    <hyperlink ref="C35" location="'Статистика'!A1" display="Статистика"/>
    <hyperlink ref="C36" location="'Журнал дій'!A1" display="Журнал дій"/>
    <hyperlink ref="C37" location="'Загальна по днях'!A1" display="Загальна по днях"/>
    <hyperlink ref="C38" location="'Зведення по гео'!A1" display="Зведення по гео"/>
    <hyperlink ref="C39" location="'Спенд без лідів'!A1" display="Спенд без лідів"/>
    <hyperlink ref="C40" location="'Креативи'!A1" display="Креативи"/>
    <hyperlink ref="C41" location="'Списки'!A1" display="Списк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9CFF"/>
    <pageSetUpPr fitToPage="true"/>
  </sheetPr>
  <dimension ref="A1:A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2" min="10" style="0" width="1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3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52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8" hidden="false" customHeight="true" outlineLevel="0" collapsed="false">
      <c r="A5" s="1"/>
      <c r="B5" s="23" t="s">
        <v>70</v>
      </c>
      <c r="C5" s="23"/>
      <c r="D5" s="23"/>
      <c r="E5" s="23"/>
      <c r="F5" s="23"/>
      <c r="G5" s="23"/>
      <c r="H5" s="23"/>
      <c r="I5" s="24" t="s">
        <v>71</v>
      </c>
      <c r="J5" s="24"/>
      <c r="K5" s="24"/>
      <c r="L5" s="24"/>
      <c r="M5" s="24"/>
      <c r="N5" s="24"/>
      <c r="O5" s="24"/>
      <c r="P5" s="24"/>
      <c r="Q5" s="2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43.5" hidden="false" customHeight="true" outlineLevel="0" collapsed="false">
      <c r="A6" s="1"/>
      <c r="B6" s="25" t="s">
        <v>72</v>
      </c>
      <c r="C6" s="25" t="s">
        <v>73</v>
      </c>
      <c r="D6" s="25" t="s">
        <v>74</v>
      </c>
      <c r="E6" s="25" t="s">
        <v>75</v>
      </c>
      <c r="F6" s="25" t="s">
        <v>76</v>
      </c>
      <c r="G6" s="25" t="s">
        <v>77</v>
      </c>
      <c r="H6" s="25" t="s">
        <v>78</v>
      </c>
      <c r="I6" s="25" t="s">
        <v>79</v>
      </c>
      <c r="J6" s="25" t="s">
        <v>80</v>
      </c>
      <c r="K6" s="25" t="s">
        <v>81</v>
      </c>
      <c r="L6" s="25" t="s">
        <v>82</v>
      </c>
      <c r="M6" s="25" t="s">
        <v>83</v>
      </c>
      <c r="N6" s="25" t="s">
        <v>84</v>
      </c>
      <c r="O6" s="25" t="s">
        <v>85</v>
      </c>
      <c r="P6" s="25" t="s">
        <v>86</v>
      </c>
      <c r="Q6" s="25" t="s">
        <v>87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9.5" hidden="false" customHeight="true" outlineLevel="0" collapsed="false">
      <c r="A7" s="1"/>
      <c r="B7" s="8" t="s">
        <v>88</v>
      </c>
      <c r="C7" s="26" t="s">
        <v>89</v>
      </c>
      <c r="D7" s="27" t="n">
        <v>28</v>
      </c>
      <c r="E7" s="28" t="n">
        <v>0.4</v>
      </c>
      <c r="F7" s="28" t="n">
        <v>0.3</v>
      </c>
      <c r="G7" s="29" t="n">
        <v>0.05</v>
      </c>
      <c r="H7" s="29" t="n">
        <v>0.02</v>
      </c>
      <c r="I7" s="30" t="n">
        <f aca="false">IF(OR($D7="",$E7=""),"",$D7*$E7)</f>
        <v>11.2</v>
      </c>
      <c r="J7" s="30" t="n">
        <f aca="false">IF(I7="","",I7)</f>
        <v>11.2</v>
      </c>
      <c r="K7" s="31" t="n">
        <f aca="false">IF(I7="","",I7/(1+N($F7)))</f>
        <v>8.61538461538462</v>
      </c>
      <c r="L7" s="30" t="n">
        <f aca="false">IF($D7="","",$D7/(1+N($F7)))</f>
        <v>21.5384615384615</v>
      </c>
      <c r="M7" s="30" t="n">
        <f aca="false">IF(OR(K7="",$G7=""),"",K7*$G7)</f>
        <v>0.430769230769231</v>
      </c>
      <c r="N7" s="30" t="n">
        <f aca="false">IF(OR(M7="",$H7=""),"",M7*$H7*1000)</f>
        <v>8.61538461538462</v>
      </c>
      <c r="O7" s="30" t="n">
        <f aca="false">IF(K7="","",-LN('Спенд без лідів'!$H$5)*K7)</f>
        <v>10.3726887757311</v>
      </c>
      <c r="P7" s="30" t="n">
        <f aca="false">IF(K7="","",-LN('Спенд без лідів'!$H$6)*K7)</f>
        <v>19.8376561857949</v>
      </c>
      <c r="Q7" s="26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9.5" hidden="false" customHeight="true" outlineLevel="0" collapsed="false">
      <c r="A8" s="1"/>
      <c r="B8" s="8" t="s">
        <v>90</v>
      </c>
      <c r="C8" s="26" t="s">
        <v>91</v>
      </c>
      <c r="D8" s="27" t="n">
        <v>22</v>
      </c>
      <c r="E8" s="28" t="n">
        <v>0.45</v>
      </c>
      <c r="F8" s="28" t="n">
        <v>0.3</v>
      </c>
      <c r="G8" s="29" t="n">
        <v>0.055</v>
      </c>
      <c r="H8" s="29" t="n">
        <v>0.02</v>
      </c>
      <c r="I8" s="30" t="n">
        <f aca="false">IF(OR($D8="",$E8=""),"",$D8*$E8)</f>
        <v>9.9</v>
      </c>
      <c r="J8" s="30" t="n">
        <f aca="false">IF(I8="","",I8)</f>
        <v>9.9</v>
      </c>
      <c r="K8" s="31" t="n">
        <f aca="false">IF(I8="","",I8/(1+N($F8)))</f>
        <v>7.61538461538462</v>
      </c>
      <c r="L8" s="30" t="n">
        <f aca="false">IF($D8="","",$D8/(1+N($F8)))</f>
        <v>16.9230769230769</v>
      </c>
      <c r="M8" s="30" t="n">
        <f aca="false">IF(OR(K8="",$G8=""),"",K8*$G8)</f>
        <v>0.418846153846154</v>
      </c>
      <c r="N8" s="30" t="n">
        <f aca="false">IF(OR(M8="",$H8=""),"",M8*$H8*1000)</f>
        <v>8.37692307692308</v>
      </c>
      <c r="O8" s="30" t="n">
        <f aca="false">IF(K8="","",-LN('Спенд без лідів'!$H$5)*K8)</f>
        <v>9.16871597140521</v>
      </c>
      <c r="P8" s="30" t="n">
        <f aca="false">IF(K8="","",-LN('Спенд без лідів'!$H$6)*K8)</f>
        <v>17.5350710928008</v>
      </c>
      <c r="Q8" s="2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9.5" hidden="false" customHeight="true" outlineLevel="0" collapsed="false">
      <c r="A9" s="1"/>
      <c r="B9" s="8" t="s">
        <v>92</v>
      </c>
      <c r="C9" s="26" t="s">
        <v>93</v>
      </c>
      <c r="D9" s="27" t="n">
        <v>35</v>
      </c>
      <c r="E9" s="28" t="n">
        <v>0.35</v>
      </c>
      <c r="F9" s="28" t="n">
        <v>0.3</v>
      </c>
      <c r="G9" s="29" t="n">
        <v>0.05</v>
      </c>
      <c r="H9" s="29" t="n">
        <v>0.02</v>
      </c>
      <c r="I9" s="30" t="n">
        <f aca="false">IF(OR($D9="",$E9=""),"",$D9*$E9)</f>
        <v>12.25</v>
      </c>
      <c r="J9" s="30" t="n">
        <f aca="false">IF(I9="","",I9)</f>
        <v>12.25</v>
      </c>
      <c r="K9" s="31" t="n">
        <f aca="false">IF(I9="","",I9/(1+N($F9)))</f>
        <v>9.42307692307692</v>
      </c>
      <c r="L9" s="30" t="n">
        <f aca="false">IF($D9="","",$D9/(1+N($F9)))</f>
        <v>26.9230769230769</v>
      </c>
      <c r="M9" s="30" t="n">
        <f aca="false">IF(OR(K9="",$G9=""),"",K9*$G9)</f>
        <v>0.471153846153846</v>
      </c>
      <c r="N9" s="30" t="n">
        <f aca="false">IF(OR(M9="",$H9=""),"",M9*$H9*1000)</f>
        <v>9.42307692307693</v>
      </c>
      <c r="O9" s="30" t="n">
        <f aca="false">IF(K9="","",-LN('Спенд без лідів'!$H$5)*K9)</f>
        <v>11.3451283484559</v>
      </c>
      <c r="P9" s="30" t="n">
        <f aca="false">IF(K9="","",-LN('Спенд без лідів'!$H$6)*K9)</f>
        <v>21.6974364532131</v>
      </c>
      <c r="Q9" s="26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9.5" hidden="false" customHeight="true" outlineLevel="0" collapsed="false">
      <c r="A10" s="1"/>
      <c r="B10" s="8" t="s">
        <v>94</v>
      </c>
      <c r="C10" s="26" t="s">
        <v>95</v>
      </c>
      <c r="D10" s="27" t="n">
        <v>33</v>
      </c>
      <c r="E10" s="28" t="n">
        <v>0.38</v>
      </c>
      <c r="F10" s="28" t="n">
        <v>0.3</v>
      </c>
      <c r="G10" s="29" t="n">
        <v>0.055</v>
      </c>
      <c r="H10" s="29" t="n">
        <v>0.018</v>
      </c>
      <c r="I10" s="30" t="n">
        <f aca="false">IF(OR($D10="",$E10=""),"",$D10*$E10)</f>
        <v>12.54</v>
      </c>
      <c r="J10" s="30" t="n">
        <f aca="false">IF(I10="","",I10)</f>
        <v>12.54</v>
      </c>
      <c r="K10" s="31" t="n">
        <f aca="false">IF(I10="","",I10/(1+N($F10)))</f>
        <v>9.64615384615385</v>
      </c>
      <c r="L10" s="30" t="n">
        <f aca="false">IF($D10="","",$D10/(1+N($F10)))</f>
        <v>25.3846153846154</v>
      </c>
      <c r="M10" s="30" t="n">
        <f aca="false">IF(OR(K10="",$G10=""),"",K10*$G10)</f>
        <v>0.530538461538462</v>
      </c>
      <c r="N10" s="30" t="n">
        <f aca="false">IF(OR(M10="",$H10=""),"",M10*$H10*1000)</f>
        <v>9.54969230769231</v>
      </c>
      <c r="O10" s="30" t="n">
        <f aca="false">IF(K10="","",-LN('Спенд без лідів'!$H$5)*K10)</f>
        <v>11.6137068971133</v>
      </c>
      <c r="P10" s="30" t="n">
        <f aca="false">IF(K10="","",-LN('Спенд без лідів'!$H$6)*K10)</f>
        <v>22.211090050881</v>
      </c>
      <c r="Q10" s="26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9.5" hidden="false" customHeight="true" outlineLevel="0" collapsed="false">
      <c r="A11" s="1"/>
      <c r="B11" s="8" t="s">
        <v>96</v>
      </c>
      <c r="C11" s="26" t="s">
        <v>97</v>
      </c>
      <c r="D11" s="27" t="n">
        <v>26</v>
      </c>
      <c r="E11" s="28" t="n">
        <v>0.4</v>
      </c>
      <c r="F11" s="28" t="n">
        <v>0.3</v>
      </c>
      <c r="G11" s="29" t="n">
        <v>0.05</v>
      </c>
      <c r="H11" s="29" t="n">
        <v>0.019</v>
      </c>
      <c r="I11" s="30" t="n">
        <f aca="false">IF(OR($D11="",$E11=""),"",$D11*$E11)</f>
        <v>10.4</v>
      </c>
      <c r="J11" s="30" t="n">
        <f aca="false">IF(I11="","",I11)</f>
        <v>10.4</v>
      </c>
      <c r="K11" s="31" t="n">
        <f aca="false">IF(I11="","",I11/(1+N($F11)))</f>
        <v>8</v>
      </c>
      <c r="L11" s="30" t="n">
        <f aca="false">IF($D11="","",$D11/(1+N($F11)))</f>
        <v>20</v>
      </c>
      <c r="M11" s="30" t="n">
        <f aca="false">IF(OR(K11="",$G11=""),"",K11*$G11)</f>
        <v>0.4</v>
      </c>
      <c r="N11" s="30" t="n">
        <f aca="false">IF(OR(M11="",$H11=""),"",M11*$H11*1000)</f>
        <v>7.6</v>
      </c>
      <c r="O11" s="30" t="n">
        <f aca="false">IF(K11="","",-LN('Спенд без лідів'!$H$5)*K11)</f>
        <v>9.63178243460749</v>
      </c>
      <c r="P11" s="30" t="n">
        <f aca="false">IF(K11="","",-LN('Спенд без лідів'!$H$6)*K11)</f>
        <v>18.4206807439524</v>
      </c>
      <c r="Q11" s="26" t="s">
        <v>98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9.5" hidden="false" customHeight="true" outlineLevel="0" collapsed="false">
      <c r="A12" s="1"/>
      <c r="B12" s="8" t="s">
        <v>99</v>
      </c>
      <c r="C12" s="26" t="s">
        <v>100</v>
      </c>
      <c r="D12" s="27" t="n">
        <v>20</v>
      </c>
      <c r="E12" s="28" t="n">
        <v>0.42</v>
      </c>
      <c r="F12" s="28" t="n">
        <v>0.3</v>
      </c>
      <c r="G12" s="29" t="n">
        <v>0.06</v>
      </c>
      <c r="H12" s="29" t="n">
        <v>0.024</v>
      </c>
      <c r="I12" s="30" t="n">
        <f aca="false">IF(OR($D12="",$E12=""),"",$D12*$E12)</f>
        <v>8.4</v>
      </c>
      <c r="J12" s="30" t="n">
        <f aca="false">IF(I12="","",I12)</f>
        <v>8.4</v>
      </c>
      <c r="K12" s="31" t="n">
        <f aca="false">IF(I12="","",I12/(1+N($F12)))</f>
        <v>6.46153846153846</v>
      </c>
      <c r="L12" s="30" t="n">
        <f aca="false">IF($D12="","",$D12/(1+N($F12)))</f>
        <v>15.3846153846154</v>
      </c>
      <c r="M12" s="30" t="n">
        <f aca="false">IF(OR(K12="",$G12=""),"",K12*$G12)</f>
        <v>0.387692307692308</v>
      </c>
      <c r="N12" s="30" t="n">
        <f aca="false">IF(OR(M12="",$H12=""),"",M12*$H12*1000)</f>
        <v>9.30461538461538</v>
      </c>
      <c r="O12" s="30" t="n">
        <f aca="false">IF(K12="","",-LN('Спенд без лідів'!$H$5)*K12)</f>
        <v>7.77951658179836</v>
      </c>
      <c r="P12" s="30" t="n">
        <f aca="false">IF(K12="","",-LN('Спенд без лідів'!$H$6)*K12)</f>
        <v>14.8782421393461</v>
      </c>
      <c r="Q12" s="26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9.5" hidden="false" customHeight="true" outlineLevel="0" collapsed="false">
      <c r="A13" s="1"/>
      <c r="B13" s="8" t="s">
        <v>101</v>
      </c>
      <c r="C13" s="26" t="s">
        <v>102</v>
      </c>
      <c r="D13" s="27" t="n">
        <v>27</v>
      </c>
      <c r="E13" s="28" t="n">
        <v>0.43</v>
      </c>
      <c r="F13" s="28" t="n">
        <v>0.3</v>
      </c>
      <c r="G13" s="29" t="n">
        <v>0.055</v>
      </c>
      <c r="H13" s="29" t="n">
        <v>0.021</v>
      </c>
      <c r="I13" s="30" t="n">
        <f aca="false">IF(OR($D13="",$E13=""),"",$D13*$E13)</f>
        <v>11.61</v>
      </c>
      <c r="J13" s="30" t="n">
        <f aca="false">IF(I13="","",I13)</f>
        <v>11.61</v>
      </c>
      <c r="K13" s="31" t="n">
        <f aca="false">IF(I13="","",I13/(1+N($F13)))</f>
        <v>8.93076923076923</v>
      </c>
      <c r="L13" s="30" t="n">
        <f aca="false">IF($D13="","",$D13/(1+N($F13)))</f>
        <v>20.7692307692308</v>
      </c>
      <c r="M13" s="30" t="n">
        <f aca="false">IF(OR(K13="",$G13=""),"",K13*$G13)</f>
        <v>0.491192307692308</v>
      </c>
      <c r="N13" s="30" t="n">
        <f aca="false">IF(OR(M13="",$H13=""),"",M13*$H13*1000)</f>
        <v>10.3150384615385</v>
      </c>
      <c r="O13" s="30" t="n">
        <f aca="false">IF(K13="","",-LN('Спенд без лідів'!$H$5)*K13)</f>
        <v>10.752403275557</v>
      </c>
      <c r="P13" s="30" t="n">
        <f aca="false">IF(K13="","",-LN('Спенд без лідів'!$H$6)*K13)</f>
        <v>20.5638560997391</v>
      </c>
      <c r="Q13" s="26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32" t="s">
        <v>103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33" t="s">
        <v>27</v>
      </c>
      <c r="C17" s="33"/>
      <c r="D17" s="34" t="s">
        <v>28</v>
      </c>
      <c r="E17" s="34"/>
      <c r="F17" s="34"/>
      <c r="G17" s="34"/>
      <c r="H17" s="34"/>
      <c r="I17" s="19" t="s">
        <v>29</v>
      </c>
      <c r="J17" s="19"/>
      <c r="K17" s="19"/>
      <c r="L17" s="19"/>
      <c r="M17" s="19"/>
      <c r="N17" s="19"/>
      <c r="O17" s="19"/>
      <c r="P17" s="19"/>
      <c r="Q17" s="1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33" t="s">
        <v>104</v>
      </c>
      <c r="C18" s="33"/>
      <c r="D18" s="34" t="s">
        <v>105</v>
      </c>
      <c r="E18" s="34"/>
      <c r="F18" s="34"/>
      <c r="G18" s="34"/>
      <c r="H18" s="34"/>
      <c r="I18" s="19" t="s">
        <v>106</v>
      </c>
      <c r="J18" s="19"/>
      <c r="K18" s="19"/>
      <c r="L18" s="19"/>
      <c r="M18" s="19"/>
      <c r="N18" s="19"/>
      <c r="O18" s="19"/>
      <c r="P18" s="19"/>
      <c r="Q18" s="19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33" t="s">
        <v>30</v>
      </c>
      <c r="C19" s="33"/>
      <c r="D19" s="34" t="s">
        <v>31</v>
      </c>
      <c r="E19" s="34"/>
      <c r="F19" s="34"/>
      <c r="G19" s="34"/>
      <c r="H19" s="34"/>
      <c r="I19" s="19" t="s">
        <v>107</v>
      </c>
      <c r="J19" s="19"/>
      <c r="K19" s="19"/>
      <c r="L19" s="19"/>
      <c r="M19" s="19"/>
      <c r="N19" s="19"/>
      <c r="O19" s="19"/>
      <c r="P19" s="19"/>
      <c r="Q19" s="1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33" t="s">
        <v>33</v>
      </c>
      <c r="C20" s="33"/>
      <c r="D20" s="34" t="s">
        <v>34</v>
      </c>
      <c r="E20" s="34"/>
      <c r="F20" s="34"/>
      <c r="G20" s="34"/>
      <c r="H20" s="34"/>
      <c r="I20" s="19" t="s">
        <v>35</v>
      </c>
      <c r="J20" s="19"/>
      <c r="K20" s="19"/>
      <c r="L20" s="19"/>
      <c r="M20" s="19"/>
      <c r="N20" s="19"/>
      <c r="O20" s="19"/>
      <c r="P20" s="19"/>
      <c r="Q20" s="1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33" t="s">
        <v>36</v>
      </c>
      <c r="C21" s="33"/>
      <c r="D21" s="34" t="s">
        <v>37</v>
      </c>
      <c r="E21" s="34"/>
      <c r="F21" s="34"/>
      <c r="G21" s="34"/>
      <c r="H21" s="34"/>
      <c r="I21" s="19" t="s">
        <v>108</v>
      </c>
      <c r="J21" s="19"/>
      <c r="K21" s="19"/>
      <c r="L21" s="19"/>
      <c r="M21" s="19"/>
      <c r="N21" s="19"/>
      <c r="O21" s="19"/>
      <c r="P21" s="19"/>
      <c r="Q21" s="1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33" t="s">
        <v>39</v>
      </c>
      <c r="C22" s="33"/>
      <c r="D22" s="34" t="s">
        <v>40</v>
      </c>
      <c r="E22" s="34"/>
      <c r="F22" s="34"/>
      <c r="G22" s="34"/>
      <c r="H22" s="34"/>
      <c r="I22" s="19" t="s">
        <v>109</v>
      </c>
      <c r="J22" s="19"/>
      <c r="K22" s="19"/>
      <c r="L22" s="19"/>
      <c r="M22" s="19"/>
      <c r="N22" s="19"/>
      <c r="O22" s="19"/>
      <c r="P22" s="19"/>
      <c r="Q22" s="19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33" t="s">
        <v>110</v>
      </c>
      <c r="C23" s="33"/>
      <c r="D23" s="34" t="s">
        <v>111</v>
      </c>
      <c r="E23" s="34"/>
      <c r="F23" s="34"/>
      <c r="G23" s="34"/>
      <c r="H23" s="34"/>
      <c r="I23" s="19" t="s">
        <v>112</v>
      </c>
      <c r="J23" s="19"/>
      <c r="K23" s="19"/>
      <c r="L23" s="19"/>
      <c r="M23" s="19"/>
      <c r="N23" s="19"/>
      <c r="O23" s="19"/>
      <c r="P23" s="19"/>
      <c r="Q23" s="1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33" t="s">
        <v>113</v>
      </c>
      <c r="C24" s="33"/>
      <c r="D24" s="34" t="s">
        <v>114</v>
      </c>
      <c r="E24" s="34"/>
      <c r="F24" s="34"/>
      <c r="G24" s="34"/>
      <c r="H24" s="34"/>
      <c r="I24" s="19" t="s">
        <v>115</v>
      </c>
      <c r="J24" s="19"/>
      <c r="K24" s="19"/>
      <c r="L24" s="19"/>
      <c r="M24" s="19"/>
      <c r="N24" s="19"/>
      <c r="O24" s="19"/>
      <c r="P24" s="19"/>
      <c r="Q24" s="19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</sheetData>
  <mergeCells count="26">
    <mergeCell ref="B5:H5"/>
    <mergeCell ref="I5:P5"/>
    <mergeCell ref="B17:C17"/>
    <mergeCell ref="D17:H17"/>
    <mergeCell ref="I17:Q17"/>
    <mergeCell ref="B18:C18"/>
    <mergeCell ref="D18:H18"/>
    <mergeCell ref="I18:Q18"/>
    <mergeCell ref="B19:C19"/>
    <mergeCell ref="D19:H19"/>
    <mergeCell ref="I19:Q19"/>
    <mergeCell ref="B20:C20"/>
    <mergeCell ref="D20:H20"/>
    <mergeCell ref="I20:Q20"/>
    <mergeCell ref="B21:C21"/>
    <mergeCell ref="D21:H21"/>
    <mergeCell ref="I21:Q21"/>
    <mergeCell ref="B22:C22"/>
    <mergeCell ref="D22:H22"/>
    <mergeCell ref="I22:Q22"/>
    <mergeCell ref="B23:C23"/>
    <mergeCell ref="D23:H23"/>
    <mergeCell ref="I23:Q23"/>
    <mergeCell ref="B24:C24"/>
    <mergeCell ref="D24:H24"/>
    <mergeCell ref="I24:Q24"/>
  </mergeCells>
  <dataValidations count="3">
    <dataValidation allowBlank="true" error="Введіть відсоток, напр. 40%." errorStyle="stop" errorTitle="Перевірте значення" operator="between" showDropDown="false" showErrorMessage="true" showInputMessage="false" sqref="E7:E13" type="decimal">
      <formula1>0</formula1>
      <formula2>1</formula2>
    </dataValidation>
    <dataValidation allowBlank="true" error="Введіть відсоток, напр. 5%." errorStyle="stop" errorTitle="Перевірте значення" operator="between" showDropDown="false" showErrorMessage="true" showInputMessage="false" sqref="G7:H13" type="decimal">
      <formula1>0</formula1>
      <formula2>1</formula2>
    </dataValidation>
    <dataValidation allowBlank="true" error="Введіть відсоток, напр. 30%." errorStyle="stop" errorTitle="Перевірте значення" operator="between" showDropDown="false" showErrorMessage="true" showInputMessage="false" sqref="F7:F13" type="decimal">
      <formula1>-0.99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AD10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8" min="14" style="0" width="9"/>
    <col collapsed="false" customWidth="true" hidden="false" outlineLevel="0" max="19" min="19" style="0" width="10"/>
    <col collapsed="false" customWidth="true" hidden="false" outlineLevel="0" max="21" min="20" style="0" width="11"/>
    <col collapsed="false" customWidth="true" hidden="false" outlineLevel="0" max="22" min="22" style="0" width="9"/>
    <col collapsed="false" customWidth="true" hidden="false" outlineLevel="0" max="23" min="23" style="0" width="1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8" hidden="false" customHeight="true" outlineLevel="0" collapsed="false">
      <c r="A5" s="1"/>
      <c r="B5" s="23" t="s">
        <v>118</v>
      </c>
      <c r="C5" s="23"/>
      <c r="D5" s="23"/>
      <c r="E5" s="23"/>
      <c r="F5" s="23"/>
      <c r="G5" s="23"/>
      <c r="H5" s="23"/>
      <c r="I5" s="23"/>
      <c r="J5" s="24" t="s">
        <v>119</v>
      </c>
      <c r="K5" s="24"/>
      <c r="L5" s="24"/>
      <c r="M5" s="24"/>
      <c r="N5" s="24"/>
      <c r="O5" s="24"/>
      <c r="P5" s="24"/>
      <c r="Q5" s="24" t="s">
        <v>120</v>
      </c>
      <c r="R5" s="24"/>
      <c r="S5" s="24"/>
      <c r="T5" s="24"/>
      <c r="U5" s="24"/>
      <c r="V5" s="24"/>
      <c r="W5" s="24"/>
      <c r="X5" s="1"/>
      <c r="Y5" s="1"/>
      <c r="Z5" s="1"/>
      <c r="AA5" s="1"/>
      <c r="AB5" s="1"/>
      <c r="AC5" s="1"/>
      <c r="AD5" s="1"/>
    </row>
    <row r="6" customFormat="false" ht="36" hidden="false" customHeight="true" outlineLevel="0" collapsed="false">
      <c r="A6" s="1"/>
      <c r="B6" s="25" t="s">
        <v>121</v>
      </c>
      <c r="C6" s="25" t="s">
        <v>72</v>
      </c>
      <c r="D6" s="25" t="s">
        <v>122</v>
      </c>
      <c r="E6" s="25" t="s">
        <v>123</v>
      </c>
      <c r="F6" s="25" t="s">
        <v>124</v>
      </c>
      <c r="G6" s="25" t="s">
        <v>125</v>
      </c>
      <c r="H6" s="25" t="s">
        <v>126</v>
      </c>
      <c r="I6" s="25" t="s">
        <v>127</v>
      </c>
      <c r="J6" s="25" t="s">
        <v>78</v>
      </c>
      <c r="K6" s="25" t="s">
        <v>128</v>
      </c>
      <c r="L6" s="25" t="s">
        <v>129</v>
      </c>
      <c r="M6" s="25" t="s">
        <v>130</v>
      </c>
      <c r="N6" s="25" t="s">
        <v>131</v>
      </c>
      <c r="O6" s="25" t="s">
        <v>81</v>
      </c>
      <c r="P6" s="25" t="s">
        <v>132</v>
      </c>
      <c r="Q6" s="25" t="s">
        <v>133</v>
      </c>
      <c r="R6" s="25" t="s">
        <v>134</v>
      </c>
      <c r="S6" s="25" t="s">
        <v>135</v>
      </c>
      <c r="T6" s="25" t="s">
        <v>136</v>
      </c>
      <c r="U6" s="25" t="s">
        <v>137</v>
      </c>
      <c r="V6" s="25" t="s">
        <v>45</v>
      </c>
      <c r="W6" s="25" t="s">
        <v>138</v>
      </c>
      <c r="X6" s="1"/>
      <c r="Y6" s="1"/>
      <c r="Z6" s="1"/>
      <c r="AA6" s="1"/>
      <c r="AB6" s="1"/>
      <c r="AC6" s="1"/>
      <c r="AD6" s="1"/>
    </row>
    <row r="7" customFormat="false" ht="18" hidden="false" customHeight="true" outlineLevel="0" collapsed="false">
      <c r="A7" s="1"/>
      <c r="B7" s="35" t="n">
        <v>46296</v>
      </c>
      <c r="C7" s="8" t="s">
        <v>88</v>
      </c>
      <c r="D7" s="26" t="s">
        <v>139</v>
      </c>
      <c r="E7" s="27" t="n">
        <v>150</v>
      </c>
      <c r="F7" s="36" t="n">
        <v>20000</v>
      </c>
      <c r="G7" s="36" t="n">
        <v>420</v>
      </c>
      <c r="H7" s="36" t="n">
        <v>21</v>
      </c>
      <c r="I7" s="36" t="n">
        <v>8</v>
      </c>
      <c r="J7" s="37" t="n">
        <f aca="false">IF($E7="","",IFERROR(G7/F7,""))</f>
        <v>0.021</v>
      </c>
      <c r="K7" s="30" t="n">
        <f aca="false">IF($E7="","",IFERROR(E7/G7,""))</f>
        <v>0.357142857142857</v>
      </c>
      <c r="L7" s="30" t="n">
        <f aca="false">IF($E7="","",IFERROR(E7/F7*1000,""))</f>
        <v>7.5</v>
      </c>
      <c r="M7" s="37" t="n">
        <f aca="false">IF($E7="","",IFERROR(H7/G7,""))</f>
        <v>0.05</v>
      </c>
      <c r="N7" s="30" t="n">
        <f aca="false">IF($E7="","",IFERROR(E7/H7,"—"))</f>
        <v>7.14285714285714</v>
      </c>
      <c r="O7" s="30" t="n">
        <f aca="false">IF($E7="","",IFERROR(INDEX('Гео-калькулятор'!$K$7:$K$13,MATCH($C7,'Гео-калькулятор'!$B$7:$B$13,0)),""))</f>
        <v>8.61538461538462</v>
      </c>
      <c r="P7" s="38" t="n">
        <f aca="false">IF($E7="","",IFERROR(N7/O7,""))</f>
        <v>0.829081632653061</v>
      </c>
      <c r="Q7" s="39" t="n">
        <f aca="false">IF($E7="","",IF($I7&lt;&gt;"",$I7,N($H7)*IFERROR(INDEX('Гео-калькулятор'!$E$7:$E$13,MATCH($C7,'Гео-калькулятор'!$B$7:$B$13,0)),0)))</f>
        <v>8</v>
      </c>
      <c r="R7" s="38" t="n">
        <f aca="false">IF($E7="","",IFERROR(Q7/H7,""))</f>
        <v>0.380952380952381</v>
      </c>
      <c r="S7" s="30" t="n">
        <f aca="false">IF($E7="","",IFERROR(E7/Q7,"—"))</f>
        <v>18.75</v>
      </c>
      <c r="T7" s="30" t="n">
        <f aca="false">IF($E7="","",Q7*IFERROR(INDEX('Гео-калькулятор'!$D$7:$D$13,MATCH($C7,'Гео-калькулятор'!$B$7:$B$13,0)),0))</f>
        <v>224</v>
      </c>
      <c r="U7" s="40" t="n">
        <f aca="false">IF($E7="","",T7-E7)</f>
        <v>74</v>
      </c>
      <c r="V7" s="41" t="n">
        <f aca="false">IF($E7="","",IFERROR(U7/E7,""))</f>
        <v>0.493333333333333</v>
      </c>
      <c r="W7" s="10" t="str">
        <f aca="false">IF($E7="","",IF($I7&lt;&gt;"","факт","прогноз"))</f>
        <v>факт</v>
      </c>
      <c r="X7" s="1"/>
      <c r="Y7" s="1"/>
      <c r="Z7" s="1"/>
      <c r="AA7" s="1"/>
      <c r="AB7" s="1"/>
      <c r="AC7" s="1"/>
      <c r="AD7" s="1"/>
    </row>
    <row r="8" customFormat="false" ht="18" hidden="false" customHeight="true" outlineLevel="0" collapsed="false">
      <c r="A8" s="1"/>
      <c r="B8" s="35"/>
      <c r="C8" s="8"/>
      <c r="D8" s="26"/>
      <c r="E8" s="27"/>
      <c r="F8" s="36"/>
      <c r="G8" s="36"/>
      <c r="H8" s="36"/>
      <c r="I8" s="36"/>
      <c r="J8" s="37" t="str">
        <f aca="false">IF($E8="","",IFERROR(G8/F8,""))</f>
        <v/>
      </c>
      <c r="K8" s="30" t="str">
        <f aca="false">IF($E8="","",IFERROR(E8/G8,""))</f>
        <v/>
      </c>
      <c r="L8" s="30" t="str">
        <f aca="false">IF($E8="","",IFERROR(E8/F8*1000,""))</f>
        <v/>
      </c>
      <c r="M8" s="37" t="str">
        <f aca="false">IF($E8="","",IFERROR(H8/G8,""))</f>
        <v/>
      </c>
      <c r="N8" s="30" t="str">
        <f aca="false">IF($E8="","",IFERROR(E8/H8,"—"))</f>
        <v/>
      </c>
      <c r="O8" s="30" t="str">
        <f aca="false">IF($E8="","",IFERROR(INDEX('Гео-калькулятор'!$K$7:$K$13,MATCH($C8,'Гео-калькулятор'!$B$7:$B$13,0)),""))</f>
        <v/>
      </c>
      <c r="P8" s="38" t="str">
        <f aca="false">IF($E8="","",IFERROR(N8/O8,""))</f>
        <v/>
      </c>
      <c r="Q8" s="39" t="str">
        <f aca="false">IF($E8="","",IF($I8&lt;&gt;"",$I8,N($H8)*IFERROR(INDEX('Гео-калькулятор'!$E$7:$E$13,MATCH($C8,'Гео-калькулятор'!$B$7:$B$13,0)),0)))</f>
        <v/>
      </c>
      <c r="R8" s="38" t="str">
        <f aca="false">IF($E8="","",IFERROR(Q8/H8,""))</f>
        <v/>
      </c>
      <c r="S8" s="30" t="str">
        <f aca="false">IF($E8="","",IFERROR(E8/Q8,"—"))</f>
        <v/>
      </c>
      <c r="T8" s="30" t="str">
        <f aca="false">IF($E8="","",Q8*IFERROR(INDEX('Гео-калькулятор'!$D$7:$D$13,MATCH($C8,'Гео-калькулятор'!$B$7:$B$13,0)),0))</f>
        <v/>
      </c>
      <c r="U8" s="40" t="str">
        <f aca="false">IF($E8="","",T8-E8)</f>
        <v/>
      </c>
      <c r="V8" s="41" t="str">
        <f aca="false">IF($E8="","",IFERROR(U8/E8,""))</f>
        <v/>
      </c>
      <c r="W8" s="10" t="str">
        <f aca="false">IF($E8="","",IF($I8&lt;&gt;"","факт","прогноз"))</f>
        <v/>
      </c>
      <c r="X8" s="1"/>
      <c r="Y8" s="1"/>
      <c r="Z8" s="1"/>
      <c r="AA8" s="1"/>
      <c r="AB8" s="1"/>
      <c r="AC8" s="1"/>
      <c r="AD8" s="1"/>
    </row>
    <row r="9" customFormat="false" ht="18" hidden="false" customHeight="true" outlineLevel="0" collapsed="false">
      <c r="A9" s="1"/>
      <c r="B9" s="35"/>
      <c r="C9" s="8"/>
      <c r="D9" s="26"/>
      <c r="E9" s="27"/>
      <c r="F9" s="36"/>
      <c r="G9" s="36"/>
      <c r="H9" s="36"/>
      <c r="I9" s="36"/>
      <c r="J9" s="37" t="str">
        <f aca="false">IF($E9="","",IFERROR(G9/F9,""))</f>
        <v/>
      </c>
      <c r="K9" s="30" t="str">
        <f aca="false">IF($E9="","",IFERROR(E9/G9,""))</f>
        <v/>
      </c>
      <c r="L9" s="30" t="str">
        <f aca="false">IF($E9="","",IFERROR(E9/F9*1000,""))</f>
        <v/>
      </c>
      <c r="M9" s="37" t="str">
        <f aca="false">IF($E9="","",IFERROR(H9/G9,""))</f>
        <v/>
      </c>
      <c r="N9" s="30" t="str">
        <f aca="false">IF($E9="","",IFERROR(E9/H9,"—"))</f>
        <v/>
      </c>
      <c r="O9" s="30" t="str">
        <f aca="false">IF($E9="","",IFERROR(INDEX('Гео-калькулятор'!$K$7:$K$13,MATCH($C9,'Гео-калькулятор'!$B$7:$B$13,0)),""))</f>
        <v/>
      </c>
      <c r="P9" s="38" t="str">
        <f aca="false">IF($E9="","",IFERROR(N9/O9,""))</f>
        <v/>
      </c>
      <c r="Q9" s="39" t="str">
        <f aca="false">IF($E9="","",IF($I9&lt;&gt;"",$I9,N($H9)*IFERROR(INDEX('Гео-калькулятор'!$E$7:$E$13,MATCH($C9,'Гео-калькулятор'!$B$7:$B$13,0)),0)))</f>
        <v/>
      </c>
      <c r="R9" s="38" t="str">
        <f aca="false">IF($E9="","",IFERROR(Q9/H9,""))</f>
        <v/>
      </c>
      <c r="S9" s="30" t="str">
        <f aca="false">IF($E9="","",IFERROR(E9/Q9,"—"))</f>
        <v/>
      </c>
      <c r="T9" s="30" t="str">
        <f aca="false">IF($E9="","",Q9*IFERROR(INDEX('Гео-калькулятор'!$D$7:$D$13,MATCH($C9,'Гео-калькулятор'!$B$7:$B$13,0)),0))</f>
        <v/>
      </c>
      <c r="U9" s="40" t="str">
        <f aca="false">IF($E9="","",T9-E9)</f>
        <v/>
      </c>
      <c r="V9" s="41" t="str">
        <f aca="false">IF($E9="","",IFERROR(U9/E9,""))</f>
        <v/>
      </c>
      <c r="W9" s="10" t="str">
        <f aca="false">IF($E9="","",IF($I9&lt;&gt;"","факт","прогноз"))</f>
        <v/>
      </c>
      <c r="X9" s="1"/>
      <c r="Y9" s="1"/>
      <c r="Z9" s="1"/>
      <c r="AA9" s="1"/>
      <c r="AB9" s="1"/>
      <c r="AC9" s="1"/>
      <c r="AD9" s="1"/>
    </row>
    <row r="10" customFormat="false" ht="18" hidden="false" customHeight="true" outlineLevel="0" collapsed="false">
      <c r="A10" s="1"/>
      <c r="B10" s="35"/>
      <c r="C10" s="8"/>
      <c r="D10" s="26"/>
      <c r="E10" s="27"/>
      <c r="F10" s="36"/>
      <c r="G10" s="36"/>
      <c r="H10" s="36"/>
      <c r="I10" s="36"/>
      <c r="J10" s="37" t="str">
        <f aca="false">IF($E10="","",IFERROR(G10/F10,""))</f>
        <v/>
      </c>
      <c r="K10" s="30" t="str">
        <f aca="false">IF($E10="","",IFERROR(E10/G10,""))</f>
        <v/>
      </c>
      <c r="L10" s="30" t="str">
        <f aca="false">IF($E10="","",IFERROR(E10/F10*1000,""))</f>
        <v/>
      </c>
      <c r="M10" s="37" t="str">
        <f aca="false">IF($E10="","",IFERROR(H10/G10,""))</f>
        <v/>
      </c>
      <c r="N10" s="30" t="str">
        <f aca="false">IF($E10="","",IFERROR(E10/H10,"—"))</f>
        <v/>
      </c>
      <c r="O10" s="30" t="str">
        <f aca="false">IF($E10="","",IFERROR(INDEX('Гео-калькулятор'!$K$7:$K$13,MATCH($C10,'Гео-калькулятор'!$B$7:$B$13,0)),""))</f>
        <v/>
      </c>
      <c r="P10" s="38" t="str">
        <f aca="false">IF($E10="","",IFERROR(N10/O10,""))</f>
        <v/>
      </c>
      <c r="Q10" s="39" t="str">
        <f aca="false">IF($E10="","",IF($I10&lt;&gt;"",$I10,N($H10)*IFERROR(INDEX('Гео-калькулятор'!$E$7:$E$13,MATCH($C10,'Гео-калькулятор'!$B$7:$B$13,0)),0)))</f>
        <v/>
      </c>
      <c r="R10" s="38" t="str">
        <f aca="false">IF($E10="","",IFERROR(Q10/H10,""))</f>
        <v/>
      </c>
      <c r="S10" s="30" t="str">
        <f aca="false">IF($E10="","",IFERROR(E10/Q10,"—"))</f>
        <v/>
      </c>
      <c r="T10" s="30" t="str">
        <f aca="false">IF($E10="","",Q10*IFERROR(INDEX('Гео-калькулятор'!$D$7:$D$13,MATCH($C10,'Гео-калькулятор'!$B$7:$B$13,0)),0))</f>
        <v/>
      </c>
      <c r="U10" s="40" t="str">
        <f aca="false">IF($E10="","",T10-E10)</f>
        <v/>
      </c>
      <c r="V10" s="41" t="str">
        <f aca="false">IF($E10="","",IFERROR(U10/E10,""))</f>
        <v/>
      </c>
      <c r="W10" s="10" t="str">
        <f aca="false">IF($E10="","",IF($I10&lt;&gt;"","факт","прогноз"))</f>
        <v/>
      </c>
      <c r="X10" s="1"/>
      <c r="Y10" s="1"/>
      <c r="Z10" s="1"/>
      <c r="AA10" s="1"/>
      <c r="AB10" s="1"/>
      <c r="AC10" s="1"/>
      <c r="AD10" s="1"/>
    </row>
    <row r="11" customFormat="false" ht="18" hidden="false" customHeight="true" outlineLevel="0" collapsed="false">
      <c r="A11" s="1"/>
      <c r="B11" s="35"/>
      <c r="C11" s="8"/>
      <c r="D11" s="26"/>
      <c r="E11" s="27"/>
      <c r="F11" s="36"/>
      <c r="G11" s="36"/>
      <c r="H11" s="36"/>
      <c r="I11" s="36"/>
      <c r="J11" s="37" t="str">
        <f aca="false">IF($E11="","",IFERROR(G11/F11,""))</f>
        <v/>
      </c>
      <c r="K11" s="30" t="str">
        <f aca="false">IF($E11="","",IFERROR(E11/G11,""))</f>
        <v/>
      </c>
      <c r="L11" s="30" t="str">
        <f aca="false">IF($E11="","",IFERROR(E11/F11*1000,""))</f>
        <v/>
      </c>
      <c r="M11" s="37" t="str">
        <f aca="false">IF($E11="","",IFERROR(H11/G11,""))</f>
        <v/>
      </c>
      <c r="N11" s="30" t="str">
        <f aca="false">IF($E11="","",IFERROR(E11/H11,"—"))</f>
        <v/>
      </c>
      <c r="O11" s="30" t="str">
        <f aca="false">IF($E11="","",IFERROR(INDEX('Гео-калькулятор'!$K$7:$K$13,MATCH($C11,'Гео-калькулятор'!$B$7:$B$13,0)),""))</f>
        <v/>
      </c>
      <c r="P11" s="38" t="str">
        <f aca="false">IF($E11="","",IFERROR(N11/O11,""))</f>
        <v/>
      </c>
      <c r="Q11" s="39" t="str">
        <f aca="false">IF($E11="","",IF($I11&lt;&gt;"",$I11,N($H11)*IFERROR(INDEX('Гео-калькулятор'!$E$7:$E$13,MATCH($C11,'Гео-калькулятор'!$B$7:$B$13,0)),0)))</f>
        <v/>
      </c>
      <c r="R11" s="38" t="str">
        <f aca="false">IF($E11="","",IFERROR(Q11/H11,""))</f>
        <v/>
      </c>
      <c r="S11" s="30" t="str">
        <f aca="false">IF($E11="","",IFERROR(E11/Q11,"—"))</f>
        <v/>
      </c>
      <c r="T11" s="30" t="str">
        <f aca="false">IF($E11="","",Q11*IFERROR(INDEX('Гео-калькулятор'!$D$7:$D$13,MATCH($C11,'Гео-калькулятор'!$B$7:$B$13,0)),0))</f>
        <v/>
      </c>
      <c r="U11" s="40" t="str">
        <f aca="false">IF($E11="","",T11-E11)</f>
        <v/>
      </c>
      <c r="V11" s="41" t="str">
        <f aca="false">IF($E11="","",IFERROR(U11/E11,""))</f>
        <v/>
      </c>
      <c r="W11" s="10" t="str">
        <f aca="false">IF($E11="","",IF($I11&lt;&gt;"","факт","прогноз"))</f>
        <v/>
      </c>
      <c r="X11" s="1"/>
      <c r="Y11" s="1"/>
      <c r="Z11" s="1"/>
      <c r="AA11" s="1"/>
      <c r="AB11" s="1"/>
      <c r="AC11" s="1"/>
      <c r="AD11" s="1"/>
    </row>
    <row r="12" customFormat="false" ht="18" hidden="false" customHeight="true" outlineLevel="0" collapsed="false">
      <c r="A12" s="1"/>
      <c r="B12" s="35"/>
      <c r="C12" s="8"/>
      <c r="D12" s="26"/>
      <c r="E12" s="27"/>
      <c r="F12" s="36"/>
      <c r="G12" s="36"/>
      <c r="H12" s="36"/>
      <c r="I12" s="36"/>
      <c r="J12" s="37" t="str">
        <f aca="false">IF($E12="","",IFERROR(G12/F12,""))</f>
        <v/>
      </c>
      <c r="K12" s="30" t="str">
        <f aca="false">IF($E12="","",IFERROR(E12/G12,""))</f>
        <v/>
      </c>
      <c r="L12" s="30" t="str">
        <f aca="false">IF($E12="","",IFERROR(E12/F12*1000,""))</f>
        <v/>
      </c>
      <c r="M12" s="37" t="str">
        <f aca="false">IF($E12="","",IFERROR(H12/G12,""))</f>
        <v/>
      </c>
      <c r="N12" s="30" t="str">
        <f aca="false">IF($E12="","",IFERROR(E12/H12,"—"))</f>
        <v/>
      </c>
      <c r="O12" s="30" t="str">
        <f aca="false">IF($E12="","",IFERROR(INDEX('Гео-калькулятор'!$K$7:$K$13,MATCH($C12,'Гео-калькулятор'!$B$7:$B$13,0)),""))</f>
        <v/>
      </c>
      <c r="P12" s="38" t="str">
        <f aca="false">IF($E12="","",IFERROR(N12/O12,""))</f>
        <v/>
      </c>
      <c r="Q12" s="39" t="str">
        <f aca="false">IF($E12="","",IF($I12&lt;&gt;"",$I12,N($H12)*IFERROR(INDEX('Гео-калькулятор'!$E$7:$E$13,MATCH($C12,'Гео-калькулятор'!$B$7:$B$13,0)),0)))</f>
        <v/>
      </c>
      <c r="R12" s="38" t="str">
        <f aca="false">IF($E12="","",IFERROR(Q12/H12,""))</f>
        <v/>
      </c>
      <c r="S12" s="30" t="str">
        <f aca="false">IF($E12="","",IFERROR(E12/Q12,"—"))</f>
        <v/>
      </c>
      <c r="T12" s="30" t="str">
        <f aca="false">IF($E12="","",Q12*IFERROR(INDEX('Гео-калькулятор'!$D$7:$D$13,MATCH($C12,'Гео-калькулятор'!$B$7:$B$13,0)),0))</f>
        <v/>
      </c>
      <c r="U12" s="40" t="str">
        <f aca="false">IF($E12="","",T12-E12)</f>
        <v/>
      </c>
      <c r="V12" s="41" t="str">
        <f aca="false">IF($E12="","",IFERROR(U12/E12,""))</f>
        <v/>
      </c>
      <c r="W12" s="10" t="str">
        <f aca="false">IF($E12="","",IF($I12&lt;&gt;"","факт","прогноз"))</f>
        <v/>
      </c>
      <c r="X12" s="1"/>
      <c r="Y12" s="1"/>
      <c r="Z12" s="1"/>
      <c r="AA12" s="1"/>
      <c r="AB12" s="1"/>
      <c r="AC12" s="1"/>
      <c r="AD12" s="1"/>
    </row>
    <row r="13" customFormat="false" ht="18" hidden="false" customHeight="true" outlineLevel="0" collapsed="false">
      <c r="A13" s="1"/>
      <c r="B13" s="35"/>
      <c r="C13" s="8"/>
      <c r="D13" s="26"/>
      <c r="E13" s="27"/>
      <c r="F13" s="36"/>
      <c r="G13" s="36"/>
      <c r="H13" s="36"/>
      <c r="I13" s="36"/>
      <c r="J13" s="37" t="str">
        <f aca="false">IF($E13="","",IFERROR(G13/F13,""))</f>
        <v/>
      </c>
      <c r="K13" s="30" t="str">
        <f aca="false">IF($E13="","",IFERROR(E13/G13,""))</f>
        <v/>
      </c>
      <c r="L13" s="30" t="str">
        <f aca="false">IF($E13="","",IFERROR(E13/F13*1000,""))</f>
        <v/>
      </c>
      <c r="M13" s="37" t="str">
        <f aca="false">IF($E13="","",IFERROR(H13/G13,""))</f>
        <v/>
      </c>
      <c r="N13" s="30" t="str">
        <f aca="false">IF($E13="","",IFERROR(E13/H13,"—"))</f>
        <v/>
      </c>
      <c r="O13" s="30" t="str">
        <f aca="false">IF($E13="","",IFERROR(INDEX('Гео-калькулятор'!$K$7:$K$13,MATCH($C13,'Гео-калькулятор'!$B$7:$B$13,0)),""))</f>
        <v/>
      </c>
      <c r="P13" s="38" t="str">
        <f aca="false">IF($E13="","",IFERROR(N13/O13,""))</f>
        <v/>
      </c>
      <c r="Q13" s="39" t="str">
        <f aca="false">IF($E13="","",IF($I13&lt;&gt;"",$I13,N($H13)*IFERROR(INDEX('Гео-калькулятор'!$E$7:$E$13,MATCH($C13,'Гео-калькулятор'!$B$7:$B$13,0)),0)))</f>
        <v/>
      </c>
      <c r="R13" s="38" t="str">
        <f aca="false">IF($E13="","",IFERROR(Q13/H13,""))</f>
        <v/>
      </c>
      <c r="S13" s="30" t="str">
        <f aca="false">IF($E13="","",IFERROR(E13/Q13,"—"))</f>
        <v/>
      </c>
      <c r="T13" s="30" t="str">
        <f aca="false">IF($E13="","",Q13*IFERROR(INDEX('Гео-калькулятор'!$D$7:$D$13,MATCH($C13,'Гео-калькулятор'!$B$7:$B$13,0)),0))</f>
        <v/>
      </c>
      <c r="U13" s="40" t="str">
        <f aca="false">IF($E13="","",T13-E13)</f>
        <v/>
      </c>
      <c r="V13" s="41" t="str">
        <f aca="false">IF($E13="","",IFERROR(U13/E13,""))</f>
        <v/>
      </c>
      <c r="W13" s="10" t="str">
        <f aca="false">IF($E13="","",IF($I13&lt;&gt;"","факт","прогноз"))</f>
        <v/>
      </c>
      <c r="X13" s="1"/>
      <c r="Y13" s="1"/>
      <c r="Z13" s="1"/>
      <c r="AA13" s="1"/>
      <c r="AB13" s="1"/>
      <c r="AC13" s="1"/>
      <c r="AD13" s="1"/>
    </row>
    <row r="14" customFormat="false" ht="18" hidden="false" customHeight="true" outlineLevel="0" collapsed="false">
      <c r="A14" s="1"/>
      <c r="B14" s="35"/>
      <c r="C14" s="8"/>
      <c r="D14" s="26"/>
      <c r="E14" s="27"/>
      <c r="F14" s="36"/>
      <c r="G14" s="36"/>
      <c r="H14" s="36"/>
      <c r="I14" s="36"/>
      <c r="J14" s="37" t="str">
        <f aca="false">IF($E14="","",IFERROR(G14/F14,""))</f>
        <v/>
      </c>
      <c r="K14" s="30" t="str">
        <f aca="false">IF($E14="","",IFERROR(E14/G14,""))</f>
        <v/>
      </c>
      <c r="L14" s="30" t="str">
        <f aca="false">IF($E14="","",IFERROR(E14/F14*1000,""))</f>
        <v/>
      </c>
      <c r="M14" s="37" t="str">
        <f aca="false">IF($E14="","",IFERROR(H14/G14,""))</f>
        <v/>
      </c>
      <c r="N14" s="30" t="str">
        <f aca="false">IF($E14="","",IFERROR(E14/H14,"—"))</f>
        <v/>
      </c>
      <c r="O14" s="30" t="str">
        <f aca="false">IF($E14="","",IFERROR(INDEX('Гео-калькулятор'!$K$7:$K$13,MATCH($C14,'Гео-калькулятор'!$B$7:$B$13,0)),""))</f>
        <v/>
      </c>
      <c r="P14" s="38" t="str">
        <f aca="false">IF($E14="","",IFERROR(N14/O14,""))</f>
        <v/>
      </c>
      <c r="Q14" s="39" t="str">
        <f aca="false">IF($E14="","",IF($I14&lt;&gt;"",$I14,N($H14)*IFERROR(INDEX('Гео-калькулятор'!$E$7:$E$13,MATCH($C14,'Гео-калькулятор'!$B$7:$B$13,0)),0)))</f>
        <v/>
      </c>
      <c r="R14" s="38" t="str">
        <f aca="false">IF($E14="","",IFERROR(Q14/H14,""))</f>
        <v/>
      </c>
      <c r="S14" s="30" t="str">
        <f aca="false">IF($E14="","",IFERROR(E14/Q14,"—"))</f>
        <v/>
      </c>
      <c r="T14" s="30" t="str">
        <f aca="false">IF($E14="","",Q14*IFERROR(INDEX('Гео-калькулятор'!$D$7:$D$13,MATCH($C14,'Гео-калькулятор'!$B$7:$B$13,0)),0))</f>
        <v/>
      </c>
      <c r="U14" s="40" t="str">
        <f aca="false">IF($E14="","",T14-E14)</f>
        <v/>
      </c>
      <c r="V14" s="41" t="str">
        <f aca="false">IF($E14="","",IFERROR(U14/E14,""))</f>
        <v/>
      </c>
      <c r="W14" s="10" t="str">
        <f aca="false">IF($E14="","",IF($I14&lt;&gt;"","факт","прогноз"))</f>
        <v/>
      </c>
      <c r="X14" s="1"/>
      <c r="Y14" s="1"/>
      <c r="Z14" s="1"/>
      <c r="AA14" s="1"/>
      <c r="AB14" s="1"/>
      <c r="AC14" s="1"/>
      <c r="AD14" s="1"/>
    </row>
    <row r="15" customFormat="false" ht="18" hidden="false" customHeight="true" outlineLevel="0" collapsed="false">
      <c r="A15" s="1"/>
      <c r="B15" s="35"/>
      <c r="C15" s="8"/>
      <c r="D15" s="26"/>
      <c r="E15" s="27"/>
      <c r="F15" s="36"/>
      <c r="G15" s="36"/>
      <c r="H15" s="36"/>
      <c r="I15" s="36"/>
      <c r="J15" s="37" t="str">
        <f aca="false">IF($E15="","",IFERROR(G15/F15,""))</f>
        <v/>
      </c>
      <c r="K15" s="30" t="str">
        <f aca="false">IF($E15="","",IFERROR(E15/G15,""))</f>
        <v/>
      </c>
      <c r="L15" s="30" t="str">
        <f aca="false">IF($E15="","",IFERROR(E15/F15*1000,""))</f>
        <v/>
      </c>
      <c r="M15" s="37" t="str">
        <f aca="false">IF($E15="","",IFERROR(H15/G15,""))</f>
        <v/>
      </c>
      <c r="N15" s="30" t="str">
        <f aca="false">IF($E15="","",IFERROR(E15/H15,"—"))</f>
        <v/>
      </c>
      <c r="O15" s="30" t="str">
        <f aca="false">IF($E15="","",IFERROR(INDEX('Гео-калькулятор'!$K$7:$K$13,MATCH($C15,'Гео-калькулятор'!$B$7:$B$13,0)),""))</f>
        <v/>
      </c>
      <c r="P15" s="38" t="str">
        <f aca="false">IF($E15="","",IFERROR(N15/O15,""))</f>
        <v/>
      </c>
      <c r="Q15" s="39" t="str">
        <f aca="false">IF($E15="","",IF($I15&lt;&gt;"",$I15,N($H15)*IFERROR(INDEX('Гео-калькулятор'!$E$7:$E$13,MATCH($C15,'Гео-калькулятор'!$B$7:$B$13,0)),0)))</f>
        <v/>
      </c>
      <c r="R15" s="38" t="str">
        <f aca="false">IF($E15="","",IFERROR(Q15/H15,""))</f>
        <v/>
      </c>
      <c r="S15" s="30" t="str">
        <f aca="false">IF($E15="","",IFERROR(E15/Q15,"—"))</f>
        <v/>
      </c>
      <c r="T15" s="30" t="str">
        <f aca="false">IF($E15="","",Q15*IFERROR(INDEX('Гео-калькулятор'!$D$7:$D$13,MATCH($C15,'Гео-калькулятор'!$B$7:$B$13,0)),0))</f>
        <v/>
      </c>
      <c r="U15" s="40" t="str">
        <f aca="false">IF($E15="","",T15-E15)</f>
        <v/>
      </c>
      <c r="V15" s="41" t="str">
        <f aca="false">IF($E15="","",IFERROR(U15/E15,""))</f>
        <v/>
      </c>
      <c r="W15" s="10" t="str">
        <f aca="false">IF($E15="","",IF($I15&lt;&gt;"","факт","прогноз"))</f>
        <v/>
      </c>
      <c r="X15" s="1"/>
      <c r="Y15" s="1"/>
      <c r="Z15" s="1"/>
      <c r="AA15" s="1"/>
      <c r="AB15" s="1"/>
      <c r="AC15" s="1"/>
      <c r="AD15" s="1"/>
    </row>
    <row r="16" customFormat="false" ht="18" hidden="false" customHeight="true" outlineLevel="0" collapsed="false">
      <c r="A16" s="1"/>
      <c r="B16" s="35"/>
      <c r="C16" s="8"/>
      <c r="D16" s="26"/>
      <c r="E16" s="27"/>
      <c r="F16" s="36"/>
      <c r="G16" s="36"/>
      <c r="H16" s="36"/>
      <c r="I16" s="36"/>
      <c r="J16" s="37" t="str">
        <f aca="false">IF($E16="","",IFERROR(G16/F16,""))</f>
        <v/>
      </c>
      <c r="K16" s="30" t="str">
        <f aca="false">IF($E16="","",IFERROR(E16/G16,""))</f>
        <v/>
      </c>
      <c r="L16" s="30" t="str">
        <f aca="false">IF($E16="","",IFERROR(E16/F16*1000,""))</f>
        <v/>
      </c>
      <c r="M16" s="37" t="str">
        <f aca="false">IF($E16="","",IFERROR(H16/G16,""))</f>
        <v/>
      </c>
      <c r="N16" s="30" t="str">
        <f aca="false">IF($E16="","",IFERROR(E16/H16,"—"))</f>
        <v/>
      </c>
      <c r="O16" s="30" t="str">
        <f aca="false">IF($E16="","",IFERROR(INDEX('Гео-калькулятор'!$K$7:$K$13,MATCH($C16,'Гео-калькулятор'!$B$7:$B$13,0)),""))</f>
        <v/>
      </c>
      <c r="P16" s="38" t="str">
        <f aca="false">IF($E16="","",IFERROR(N16/O16,""))</f>
        <v/>
      </c>
      <c r="Q16" s="39" t="str">
        <f aca="false">IF($E16="","",IF($I16&lt;&gt;"",$I16,N($H16)*IFERROR(INDEX('Гео-калькулятор'!$E$7:$E$13,MATCH($C16,'Гео-калькулятор'!$B$7:$B$13,0)),0)))</f>
        <v/>
      </c>
      <c r="R16" s="38" t="str">
        <f aca="false">IF($E16="","",IFERROR(Q16/H16,""))</f>
        <v/>
      </c>
      <c r="S16" s="30" t="str">
        <f aca="false">IF($E16="","",IFERROR(E16/Q16,"—"))</f>
        <v/>
      </c>
      <c r="T16" s="30" t="str">
        <f aca="false">IF($E16="","",Q16*IFERROR(INDEX('Гео-калькулятор'!$D$7:$D$13,MATCH($C16,'Гео-калькулятор'!$B$7:$B$13,0)),0))</f>
        <v/>
      </c>
      <c r="U16" s="40" t="str">
        <f aca="false">IF($E16="","",T16-E16)</f>
        <v/>
      </c>
      <c r="V16" s="41" t="str">
        <f aca="false">IF($E16="","",IFERROR(U16/E16,""))</f>
        <v/>
      </c>
      <c r="W16" s="10" t="str">
        <f aca="false">IF($E16="","",IF($I16&lt;&gt;"","факт","прогноз"))</f>
        <v/>
      </c>
      <c r="X16" s="1"/>
      <c r="Y16" s="1"/>
      <c r="Z16" s="1"/>
      <c r="AA16" s="1"/>
      <c r="AB16" s="1"/>
      <c r="AC16" s="1"/>
      <c r="AD16" s="1"/>
    </row>
    <row r="17" customFormat="false" ht="18" hidden="false" customHeight="true" outlineLevel="0" collapsed="false">
      <c r="A17" s="1"/>
      <c r="B17" s="35"/>
      <c r="C17" s="8"/>
      <c r="D17" s="26"/>
      <c r="E17" s="27"/>
      <c r="F17" s="36"/>
      <c r="G17" s="36"/>
      <c r="H17" s="36"/>
      <c r="I17" s="36"/>
      <c r="J17" s="37" t="str">
        <f aca="false">IF($E17="","",IFERROR(G17/F17,""))</f>
        <v/>
      </c>
      <c r="K17" s="30" t="str">
        <f aca="false">IF($E17="","",IFERROR(E17/G17,""))</f>
        <v/>
      </c>
      <c r="L17" s="30" t="str">
        <f aca="false">IF($E17="","",IFERROR(E17/F17*1000,""))</f>
        <v/>
      </c>
      <c r="M17" s="37" t="str">
        <f aca="false">IF($E17="","",IFERROR(H17/G17,""))</f>
        <v/>
      </c>
      <c r="N17" s="30" t="str">
        <f aca="false">IF($E17="","",IFERROR(E17/H17,"—"))</f>
        <v/>
      </c>
      <c r="O17" s="30" t="str">
        <f aca="false">IF($E17="","",IFERROR(INDEX('Гео-калькулятор'!$K$7:$K$13,MATCH($C17,'Гео-калькулятор'!$B$7:$B$13,0)),""))</f>
        <v/>
      </c>
      <c r="P17" s="38" t="str">
        <f aca="false">IF($E17="","",IFERROR(N17/O17,""))</f>
        <v/>
      </c>
      <c r="Q17" s="39" t="str">
        <f aca="false">IF($E17="","",IF($I17&lt;&gt;"",$I17,N($H17)*IFERROR(INDEX('Гео-калькулятор'!$E$7:$E$13,MATCH($C17,'Гео-калькулятор'!$B$7:$B$13,0)),0)))</f>
        <v/>
      </c>
      <c r="R17" s="38" t="str">
        <f aca="false">IF($E17="","",IFERROR(Q17/H17,""))</f>
        <v/>
      </c>
      <c r="S17" s="30" t="str">
        <f aca="false">IF($E17="","",IFERROR(E17/Q17,"—"))</f>
        <v/>
      </c>
      <c r="T17" s="30" t="str">
        <f aca="false">IF($E17="","",Q17*IFERROR(INDEX('Гео-калькулятор'!$D$7:$D$13,MATCH($C17,'Гео-калькулятор'!$B$7:$B$13,0)),0))</f>
        <v/>
      </c>
      <c r="U17" s="40" t="str">
        <f aca="false">IF($E17="","",T17-E17)</f>
        <v/>
      </c>
      <c r="V17" s="41" t="str">
        <f aca="false">IF($E17="","",IFERROR(U17/E17,""))</f>
        <v/>
      </c>
      <c r="W17" s="10" t="str">
        <f aca="false">IF($E17="","",IF($I17&lt;&gt;"","факт","прогноз"))</f>
        <v/>
      </c>
      <c r="X17" s="1"/>
      <c r="Y17" s="1"/>
      <c r="Z17" s="1"/>
      <c r="AA17" s="1"/>
      <c r="AB17" s="1"/>
      <c r="AC17" s="1"/>
      <c r="AD17" s="1"/>
    </row>
    <row r="18" customFormat="false" ht="18" hidden="false" customHeight="true" outlineLevel="0" collapsed="false">
      <c r="A18" s="1"/>
      <c r="B18" s="35"/>
      <c r="C18" s="8"/>
      <c r="D18" s="26"/>
      <c r="E18" s="27"/>
      <c r="F18" s="36"/>
      <c r="G18" s="36"/>
      <c r="H18" s="36"/>
      <c r="I18" s="36"/>
      <c r="J18" s="37" t="str">
        <f aca="false">IF($E18="","",IFERROR(G18/F18,""))</f>
        <v/>
      </c>
      <c r="K18" s="30" t="str">
        <f aca="false">IF($E18="","",IFERROR(E18/G18,""))</f>
        <v/>
      </c>
      <c r="L18" s="30" t="str">
        <f aca="false">IF($E18="","",IFERROR(E18/F18*1000,""))</f>
        <v/>
      </c>
      <c r="M18" s="37" t="str">
        <f aca="false">IF($E18="","",IFERROR(H18/G18,""))</f>
        <v/>
      </c>
      <c r="N18" s="30" t="str">
        <f aca="false">IF($E18="","",IFERROR(E18/H18,"—"))</f>
        <v/>
      </c>
      <c r="O18" s="30" t="str">
        <f aca="false">IF($E18="","",IFERROR(INDEX('Гео-калькулятор'!$K$7:$K$13,MATCH($C18,'Гео-калькулятор'!$B$7:$B$13,0)),""))</f>
        <v/>
      </c>
      <c r="P18" s="38" t="str">
        <f aca="false">IF($E18="","",IFERROR(N18/O18,""))</f>
        <v/>
      </c>
      <c r="Q18" s="39" t="str">
        <f aca="false">IF($E18="","",IF($I18&lt;&gt;"",$I18,N($H18)*IFERROR(INDEX('Гео-калькулятор'!$E$7:$E$13,MATCH($C18,'Гео-калькулятор'!$B$7:$B$13,0)),0)))</f>
        <v/>
      </c>
      <c r="R18" s="38" t="str">
        <f aca="false">IF($E18="","",IFERROR(Q18/H18,""))</f>
        <v/>
      </c>
      <c r="S18" s="30" t="str">
        <f aca="false">IF($E18="","",IFERROR(E18/Q18,"—"))</f>
        <v/>
      </c>
      <c r="T18" s="30" t="str">
        <f aca="false">IF($E18="","",Q18*IFERROR(INDEX('Гео-калькулятор'!$D$7:$D$13,MATCH($C18,'Гео-калькулятор'!$B$7:$B$13,0)),0))</f>
        <v/>
      </c>
      <c r="U18" s="40" t="str">
        <f aca="false">IF($E18="","",T18-E18)</f>
        <v/>
      </c>
      <c r="V18" s="41" t="str">
        <f aca="false">IF($E18="","",IFERROR(U18/E18,""))</f>
        <v/>
      </c>
      <c r="W18" s="10" t="str">
        <f aca="false">IF($E18="","",IF($I18&lt;&gt;"","факт","прогноз"))</f>
        <v/>
      </c>
      <c r="X18" s="1"/>
      <c r="Y18" s="1"/>
      <c r="Z18" s="1"/>
      <c r="AA18" s="1"/>
      <c r="AB18" s="1"/>
      <c r="AC18" s="1"/>
      <c r="AD18" s="1"/>
    </row>
    <row r="19" customFormat="false" ht="18" hidden="false" customHeight="true" outlineLevel="0" collapsed="false">
      <c r="A19" s="1"/>
      <c r="B19" s="35"/>
      <c r="C19" s="8"/>
      <c r="D19" s="26"/>
      <c r="E19" s="27"/>
      <c r="F19" s="36"/>
      <c r="G19" s="36"/>
      <c r="H19" s="36"/>
      <c r="I19" s="36"/>
      <c r="J19" s="37" t="str">
        <f aca="false">IF($E19="","",IFERROR(G19/F19,""))</f>
        <v/>
      </c>
      <c r="K19" s="30" t="str">
        <f aca="false">IF($E19="","",IFERROR(E19/G19,""))</f>
        <v/>
      </c>
      <c r="L19" s="30" t="str">
        <f aca="false">IF($E19="","",IFERROR(E19/F19*1000,""))</f>
        <v/>
      </c>
      <c r="M19" s="37" t="str">
        <f aca="false">IF($E19="","",IFERROR(H19/G19,""))</f>
        <v/>
      </c>
      <c r="N19" s="30" t="str">
        <f aca="false">IF($E19="","",IFERROR(E19/H19,"—"))</f>
        <v/>
      </c>
      <c r="O19" s="30" t="str">
        <f aca="false">IF($E19="","",IFERROR(INDEX('Гео-калькулятор'!$K$7:$K$13,MATCH($C19,'Гео-калькулятор'!$B$7:$B$13,0)),""))</f>
        <v/>
      </c>
      <c r="P19" s="38" t="str">
        <f aca="false">IF($E19="","",IFERROR(N19/O19,""))</f>
        <v/>
      </c>
      <c r="Q19" s="39" t="str">
        <f aca="false">IF($E19="","",IF($I19&lt;&gt;"",$I19,N($H19)*IFERROR(INDEX('Гео-калькулятор'!$E$7:$E$13,MATCH($C19,'Гео-калькулятор'!$B$7:$B$13,0)),0)))</f>
        <v/>
      </c>
      <c r="R19" s="38" t="str">
        <f aca="false">IF($E19="","",IFERROR(Q19/H19,""))</f>
        <v/>
      </c>
      <c r="S19" s="30" t="str">
        <f aca="false">IF($E19="","",IFERROR(E19/Q19,"—"))</f>
        <v/>
      </c>
      <c r="T19" s="30" t="str">
        <f aca="false">IF($E19="","",Q19*IFERROR(INDEX('Гео-калькулятор'!$D$7:$D$13,MATCH($C19,'Гео-калькулятор'!$B$7:$B$13,0)),0))</f>
        <v/>
      </c>
      <c r="U19" s="40" t="str">
        <f aca="false">IF($E19="","",T19-E19)</f>
        <v/>
      </c>
      <c r="V19" s="41" t="str">
        <f aca="false">IF($E19="","",IFERROR(U19/E19,""))</f>
        <v/>
      </c>
      <c r="W19" s="10" t="str">
        <f aca="false">IF($E19="","",IF($I19&lt;&gt;"","факт","прогноз"))</f>
        <v/>
      </c>
      <c r="X19" s="1"/>
      <c r="Y19" s="1"/>
      <c r="Z19" s="1"/>
      <c r="AA19" s="1"/>
      <c r="AB19" s="1"/>
      <c r="AC19" s="1"/>
      <c r="AD19" s="1"/>
    </row>
    <row r="20" customFormat="false" ht="18" hidden="false" customHeight="true" outlineLevel="0" collapsed="false">
      <c r="A20" s="1"/>
      <c r="B20" s="35"/>
      <c r="C20" s="8"/>
      <c r="D20" s="26"/>
      <c r="E20" s="27"/>
      <c r="F20" s="36"/>
      <c r="G20" s="36"/>
      <c r="H20" s="36"/>
      <c r="I20" s="36"/>
      <c r="J20" s="37" t="str">
        <f aca="false">IF($E20="","",IFERROR(G20/F20,""))</f>
        <v/>
      </c>
      <c r="K20" s="30" t="str">
        <f aca="false">IF($E20="","",IFERROR(E20/G20,""))</f>
        <v/>
      </c>
      <c r="L20" s="30" t="str">
        <f aca="false">IF($E20="","",IFERROR(E20/F20*1000,""))</f>
        <v/>
      </c>
      <c r="M20" s="37" t="str">
        <f aca="false">IF($E20="","",IFERROR(H20/G20,""))</f>
        <v/>
      </c>
      <c r="N20" s="30" t="str">
        <f aca="false">IF($E20="","",IFERROR(E20/H20,"—"))</f>
        <v/>
      </c>
      <c r="O20" s="30" t="str">
        <f aca="false">IF($E20="","",IFERROR(INDEX('Гео-калькулятор'!$K$7:$K$13,MATCH($C20,'Гео-калькулятор'!$B$7:$B$13,0)),""))</f>
        <v/>
      </c>
      <c r="P20" s="38" t="str">
        <f aca="false">IF($E20="","",IFERROR(N20/O20,""))</f>
        <v/>
      </c>
      <c r="Q20" s="39" t="str">
        <f aca="false">IF($E20="","",IF($I20&lt;&gt;"",$I20,N($H20)*IFERROR(INDEX('Гео-калькулятор'!$E$7:$E$13,MATCH($C20,'Гео-калькулятор'!$B$7:$B$13,0)),0)))</f>
        <v/>
      </c>
      <c r="R20" s="38" t="str">
        <f aca="false">IF($E20="","",IFERROR(Q20/H20,""))</f>
        <v/>
      </c>
      <c r="S20" s="30" t="str">
        <f aca="false">IF($E20="","",IFERROR(E20/Q20,"—"))</f>
        <v/>
      </c>
      <c r="T20" s="30" t="str">
        <f aca="false">IF($E20="","",Q20*IFERROR(INDEX('Гео-калькулятор'!$D$7:$D$13,MATCH($C20,'Гео-калькулятор'!$B$7:$B$13,0)),0))</f>
        <v/>
      </c>
      <c r="U20" s="40" t="str">
        <f aca="false">IF($E20="","",T20-E20)</f>
        <v/>
      </c>
      <c r="V20" s="41" t="str">
        <f aca="false">IF($E20="","",IFERROR(U20/E20,""))</f>
        <v/>
      </c>
      <c r="W20" s="10" t="str">
        <f aca="false">IF($E20="","",IF($I20&lt;&gt;"","факт","прогноз"))</f>
        <v/>
      </c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35"/>
      <c r="C21" s="8"/>
      <c r="D21" s="26"/>
      <c r="E21" s="27"/>
      <c r="F21" s="36"/>
      <c r="G21" s="36"/>
      <c r="H21" s="36"/>
      <c r="I21" s="36"/>
      <c r="J21" s="37" t="str">
        <f aca="false">IF($E21="","",IFERROR(G21/F21,""))</f>
        <v/>
      </c>
      <c r="K21" s="30" t="str">
        <f aca="false">IF($E21="","",IFERROR(E21/G21,""))</f>
        <v/>
      </c>
      <c r="L21" s="30" t="str">
        <f aca="false">IF($E21="","",IFERROR(E21/F21*1000,""))</f>
        <v/>
      </c>
      <c r="M21" s="37" t="str">
        <f aca="false">IF($E21="","",IFERROR(H21/G21,""))</f>
        <v/>
      </c>
      <c r="N21" s="30" t="str">
        <f aca="false">IF($E21="","",IFERROR(E21/H21,"—"))</f>
        <v/>
      </c>
      <c r="O21" s="30" t="str">
        <f aca="false">IF($E21="","",IFERROR(INDEX('Гео-калькулятор'!$K$7:$K$13,MATCH($C21,'Гео-калькулятор'!$B$7:$B$13,0)),""))</f>
        <v/>
      </c>
      <c r="P21" s="38" t="str">
        <f aca="false">IF($E21="","",IFERROR(N21/O21,""))</f>
        <v/>
      </c>
      <c r="Q21" s="39" t="str">
        <f aca="false">IF($E21="","",IF($I21&lt;&gt;"",$I21,N($H21)*IFERROR(INDEX('Гео-калькулятор'!$E$7:$E$13,MATCH($C21,'Гео-калькулятор'!$B$7:$B$13,0)),0)))</f>
        <v/>
      </c>
      <c r="R21" s="38" t="str">
        <f aca="false">IF($E21="","",IFERROR(Q21/H21,""))</f>
        <v/>
      </c>
      <c r="S21" s="30" t="str">
        <f aca="false">IF($E21="","",IFERROR(E21/Q21,"—"))</f>
        <v/>
      </c>
      <c r="T21" s="30" t="str">
        <f aca="false">IF($E21="","",Q21*IFERROR(INDEX('Гео-калькулятор'!$D$7:$D$13,MATCH($C21,'Гео-калькулятор'!$B$7:$B$13,0)),0))</f>
        <v/>
      </c>
      <c r="U21" s="40" t="str">
        <f aca="false">IF($E21="","",T21-E21)</f>
        <v/>
      </c>
      <c r="V21" s="41" t="str">
        <f aca="false">IF($E21="","",IFERROR(U21/E21,""))</f>
        <v/>
      </c>
      <c r="W21" s="10" t="str">
        <f aca="false">IF($E21="","",IF($I21&lt;&gt;"","факт","прогноз"))</f>
        <v/>
      </c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35"/>
      <c r="C22" s="8"/>
      <c r="D22" s="26"/>
      <c r="E22" s="27"/>
      <c r="F22" s="36"/>
      <c r="G22" s="36"/>
      <c r="H22" s="36"/>
      <c r="I22" s="36"/>
      <c r="J22" s="37" t="str">
        <f aca="false">IF($E22="","",IFERROR(G22/F22,""))</f>
        <v/>
      </c>
      <c r="K22" s="30" t="str">
        <f aca="false">IF($E22="","",IFERROR(E22/G22,""))</f>
        <v/>
      </c>
      <c r="L22" s="30" t="str">
        <f aca="false">IF($E22="","",IFERROR(E22/F22*1000,""))</f>
        <v/>
      </c>
      <c r="M22" s="37" t="str">
        <f aca="false">IF($E22="","",IFERROR(H22/G22,""))</f>
        <v/>
      </c>
      <c r="N22" s="30" t="str">
        <f aca="false">IF($E22="","",IFERROR(E22/H22,"—"))</f>
        <v/>
      </c>
      <c r="O22" s="30" t="str">
        <f aca="false">IF($E22="","",IFERROR(INDEX('Гео-калькулятор'!$K$7:$K$13,MATCH($C22,'Гео-калькулятор'!$B$7:$B$13,0)),""))</f>
        <v/>
      </c>
      <c r="P22" s="38" t="str">
        <f aca="false">IF($E22="","",IFERROR(N22/O22,""))</f>
        <v/>
      </c>
      <c r="Q22" s="39" t="str">
        <f aca="false">IF($E22="","",IF($I22&lt;&gt;"",$I22,N($H22)*IFERROR(INDEX('Гео-калькулятор'!$E$7:$E$13,MATCH($C22,'Гео-калькулятор'!$B$7:$B$13,0)),0)))</f>
        <v/>
      </c>
      <c r="R22" s="38" t="str">
        <f aca="false">IF($E22="","",IFERROR(Q22/H22,""))</f>
        <v/>
      </c>
      <c r="S22" s="30" t="str">
        <f aca="false">IF($E22="","",IFERROR(E22/Q22,"—"))</f>
        <v/>
      </c>
      <c r="T22" s="30" t="str">
        <f aca="false">IF($E22="","",Q22*IFERROR(INDEX('Гео-калькулятор'!$D$7:$D$13,MATCH($C22,'Гео-калькулятор'!$B$7:$B$13,0)),0))</f>
        <v/>
      </c>
      <c r="U22" s="40" t="str">
        <f aca="false">IF($E22="","",T22-E22)</f>
        <v/>
      </c>
      <c r="V22" s="41" t="str">
        <f aca="false">IF($E22="","",IFERROR(U22/E22,""))</f>
        <v/>
      </c>
      <c r="W22" s="10" t="str">
        <f aca="false">IF($E22="","",IF($I22&lt;&gt;"","факт","прогноз"))</f>
        <v/>
      </c>
      <c r="X22" s="1"/>
      <c r="Y22" s="1"/>
      <c r="Z22" s="1"/>
      <c r="AA22" s="1"/>
      <c r="AB22" s="1"/>
      <c r="AC22" s="1"/>
      <c r="AD22" s="1"/>
    </row>
    <row r="23" customFormat="false" ht="18" hidden="false" customHeight="true" outlineLevel="0" collapsed="false">
      <c r="A23" s="1"/>
      <c r="B23" s="35"/>
      <c r="C23" s="8"/>
      <c r="D23" s="26"/>
      <c r="E23" s="27"/>
      <c r="F23" s="36"/>
      <c r="G23" s="36"/>
      <c r="H23" s="36"/>
      <c r="I23" s="36"/>
      <c r="J23" s="37" t="str">
        <f aca="false">IF($E23="","",IFERROR(G23/F23,""))</f>
        <v/>
      </c>
      <c r="K23" s="30" t="str">
        <f aca="false">IF($E23="","",IFERROR(E23/G23,""))</f>
        <v/>
      </c>
      <c r="L23" s="30" t="str">
        <f aca="false">IF($E23="","",IFERROR(E23/F23*1000,""))</f>
        <v/>
      </c>
      <c r="M23" s="37" t="str">
        <f aca="false">IF($E23="","",IFERROR(H23/G23,""))</f>
        <v/>
      </c>
      <c r="N23" s="30" t="str">
        <f aca="false">IF($E23="","",IFERROR(E23/H23,"—"))</f>
        <v/>
      </c>
      <c r="O23" s="30" t="str">
        <f aca="false">IF($E23="","",IFERROR(INDEX('Гео-калькулятор'!$K$7:$K$13,MATCH($C23,'Гео-калькулятор'!$B$7:$B$13,0)),""))</f>
        <v/>
      </c>
      <c r="P23" s="38" t="str">
        <f aca="false">IF($E23="","",IFERROR(N23/O23,""))</f>
        <v/>
      </c>
      <c r="Q23" s="39" t="str">
        <f aca="false">IF($E23="","",IF($I23&lt;&gt;"",$I23,N($H23)*IFERROR(INDEX('Гео-калькулятор'!$E$7:$E$13,MATCH($C23,'Гео-калькулятор'!$B$7:$B$13,0)),0)))</f>
        <v/>
      </c>
      <c r="R23" s="38" t="str">
        <f aca="false">IF($E23="","",IFERROR(Q23/H23,""))</f>
        <v/>
      </c>
      <c r="S23" s="30" t="str">
        <f aca="false">IF($E23="","",IFERROR(E23/Q23,"—"))</f>
        <v/>
      </c>
      <c r="T23" s="30" t="str">
        <f aca="false">IF($E23="","",Q23*IFERROR(INDEX('Гео-калькулятор'!$D$7:$D$13,MATCH($C23,'Гео-калькулятор'!$B$7:$B$13,0)),0))</f>
        <v/>
      </c>
      <c r="U23" s="40" t="str">
        <f aca="false">IF($E23="","",T23-E23)</f>
        <v/>
      </c>
      <c r="V23" s="41" t="str">
        <f aca="false">IF($E23="","",IFERROR(U23/E23,""))</f>
        <v/>
      </c>
      <c r="W23" s="10" t="str">
        <f aca="false">IF($E23="","",IF($I23&lt;&gt;"","факт","прогноз"))</f>
        <v/>
      </c>
      <c r="X23" s="1"/>
      <c r="Y23" s="1"/>
      <c r="Z23" s="1"/>
      <c r="AA23" s="1"/>
      <c r="AB23" s="1"/>
      <c r="AC23" s="1"/>
      <c r="AD23" s="1"/>
    </row>
    <row r="24" customFormat="false" ht="18" hidden="false" customHeight="true" outlineLevel="0" collapsed="false">
      <c r="A24" s="1"/>
      <c r="B24" s="35"/>
      <c r="C24" s="8"/>
      <c r="D24" s="26"/>
      <c r="E24" s="27"/>
      <c r="F24" s="36"/>
      <c r="G24" s="36"/>
      <c r="H24" s="36"/>
      <c r="I24" s="36"/>
      <c r="J24" s="37" t="str">
        <f aca="false">IF($E24="","",IFERROR(G24/F24,""))</f>
        <v/>
      </c>
      <c r="K24" s="30" t="str">
        <f aca="false">IF($E24="","",IFERROR(E24/G24,""))</f>
        <v/>
      </c>
      <c r="L24" s="30" t="str">
        <f aca="false">IF($E24="","",IFERROR(E24/F24*1000,""))</f>
        <v/>
      </c>
      <c r="M24" s="37" t="str">
        <f aca="false">IF($E24="","",IFERROR(H24/G24,""))</f>
        <v/>
      </c>
      <c r="N24" s="30" t="str">
        <f aca="false">IF($E24="","",IFERROR(E24/H24,"—"))</f>
        <v/>
      </c>
      <c r="O24" s="30" t="str">
        <f aca="false">IF($E24="","",IFERROR(INDEX('Гео-калькулятор'!$K$7:$K$13,MATCH($C24,'Гео-калькулятор'!$B$7:$B$13,0)),""))</f>
        <v/>
      </c>
      <c r="P24" s="38" t="str">
        <f aca="false">IF($E24="","",IFERROR(N24/O24,""))</f>
        <v/>
      </c>
      <c r="Q24" s="39" t="str">
        <f aca="false">IF($E24="","",IF($I24&lt;&gt;"",$I24,N($H24)*IFERROR(INDEX('Гео-калькулятор'!$E$7:$E$13,MATCH($C24,'Гео-калькулятор'!$B$7:$B$13,0)),0)))</f>
        <v/>
      </c>
      <c r="R24" s="38" t="str">
        <f aca="false">IF($E24="","",IFERROR(Q24/H24,""))</f>
        <v/>
      </c>
      <c r="S24" s="30" t="str">
        <f aca="false">IF($E24="","",IFERROR(E24/Q24,"—"))</f>
        <v/>
      </c>
      <c r="T24" s="30" t="str">
        <f aca="false">IF($E24="","",Q24*IFERROR(INDEX('Гео-калькулятор'!$D$7:$D$13,MATCH($C24,'Гео-калькулятор'!$B$7:$B$13,0)),0))</f>
        <v/>
      </c>
      <c r="U24" s="40" t="str">
        <f aca="false">IF($E24="","",T24-E24)</f>
        <v/>
      </c>
      <c r="V24" s="41" t="str">
        <f aca="false">IF($E24="","",IFERROR(U24/E24,""))</f>
        <v/>
      </c>
      <c r="W24" s="10" t="str">
        <f aca="false">IF($E24="","",IF($I24&lt;&gt;"","факт","прогноз"))</f>
        <v/>
      </c>
      <c r="X24" s="1"/>
      <c r="Y24" s="1"/>
      <c r="Z24" s="1"/>
      <c r="AA24" s="1"/>
      <c r="AB24" s="1"/>
      <c r="AC24" s="1"/>
      <c r="AD24" s="1"/>
    </row>
    <row r="25" customFormat="false" ht="18" hidden="false" customHeight="true" outlineLevel="0" collapsed="false">
      <c r="A25" s="1"/>
      <c r="B25" s="35"/>
      <c r="C25" s="8"/>
      <c r="D25" s="26"/>
      <c r="E25" s="27"/>
      <c r="F25" s="36"/>
      <c r="G25" s="36"/>
      <c r="H25" s="36"/>
      <c r="I25" s="36"/>
      <c r="J25" s="37" t="str">
        <f aca="false">IF($E25="","",IFERROR(G25/F25,""))</f>
        <v/>
      </c>
      <c r="K25" s="30" t="str">
        <f aca="false">IF($E25="","",IFERROR(E25/G25,""))</f>
        <v/>
      </c>
      <c r="L25" s="30" t="str">
        <f aca="false">IF($E25="","",IFERROR(E25/F25*1000,""))</f>
        <v/>
      </c>
      <c r="M25" s="37" t="str">
        <f aca="false">IF($E25="","",IFERROR(H25/G25,""))</f>
        <v/>
      </c>
      <c r="N25" s="30" t="str">
        <f aca="false">IF($E25="","",IFERROR(E25/H25,"—"))</f>
        <v/>
      </c>
      <c r="O25" s="30" t="str">
        <f aca="false">IF($E25="","",IFERROR(INDEX('Гео-калькулятор'!$K$7:$K$13,MATCH($C25,'Гео-калькулятор'!$B$7:$B$13,0)),""))</f>
        <v/>
      </c>
      <c r="P25" s="38" t="str">
        <f aca="false">IF($E25="","",IFERROR(N25/O25,""))</f>
        <v/>
      </c>
      <c r="Q25" s="39" t="str">
        <f aca="false">IF($E25="","",IF($I25&lt;&gt;"",$I25,N($H25)*IFERROR(INDEX('Гео-калькулятор'!$E$7:$E$13,MATCH($C25,'Гео-калькулятор'!$B$7:$B$13,0)),0)))</f>
        <v/>
      </c>
      <c r="R25" s="38" t="str">
        <f aca="false">IF($E25="","",IFERROR(Q25/H25,""))</f>
        <v/>
      </c>
      <c r="S25" s="30" t="str">
        <f aca="false">IF($E25="","",IFERROR(E25/Q25,"—"))</f>
        <v/>
      </c>
      <c r="T25" s="30" t="str">
        <f aca="false">IF($E25="","",Q25*IFERROR(INDEX('Гео-калькулятор'!$D$7:$D$13,MATCH($C25,'Гео-калькулятор'!$B$7:$B$13,0)),0))</f>
        <v/>
      </c>
      <c r="U25" s="40" t="str">
        <f aca="false">IF($E25="","",T25-E25)</f>
        <v/>
      </c>
      <c r="V25" s="41" t="str">
        <f aca="false">IF($E25="","",IFERROR(U25/E25,""))</f>
        <v/>
      </c>
      <c r="W25" s="10" t="str">
        <f aca="false">IF($E25="","",IF($I25&lt;&gt;"","факт","прогноз"))</f>
        <v/>
      </c>
      <c r="X25" s="1"/>
      <c r="Y25" s="1"/>
      <c r="Z25" s="1"/>
      <c r="AA25" s="1"/>
      <c r="AB25" s="1"/>
      <c r="AC25" s="1"/>
      <c r="AD25" s="1"/>
    </row>
    <row r="26" customFormat="false" ht="18" hidden="false" customHeight="true" outlineLevel="0" collapsed="false">
      <c r="A26" s="1"/>
      <c r="B26" s="35"/>
      <c r="C26" s="8"/>
      <c r="D26" s="26"/>
      <c r="E26" s="27"/>
      <c r="F26" s="36"/>
      <c r="G26" s="36"/>
      <c r="H26" s="36"/>
      <c r="I26" s="36"/>
      <c r="J26" s="37" t="str">
        <f aca="false">IF($E26="","",IFERROR(G26/F26,""))</f>
        <v/>
      </c>
      <c r="K26" s="30" t="str">
        <f aca="false">IF($E26="","",IFERROR(E26/G26,""))</f>
        <v/>
      </c>
      <c r="L26" s="30" t="str">
        <f aca="false">IF($E26="","",IFERROR(E26/F26*1000,""))</f>
        <v/>
      </c>
      <c r="M26" s="37" t="str">
        <f aca="false">IF($E26="","",IFERROR(H26/G26,""))</f>
        <v/>
      </c>
      <c r="N26" s="30" t="str">
        <f aca="false">IF($E26="","",IFERROR(E26/H26,"—"))</f>
        <v/>
      </c>
      <c r="O26" s="30" t="str">
        <f aca="false">IF($E26="","",IFERROR(INDEX('Гео-калькулятор'!$K$7:$K$13,MATCH($C26,'Гео-калькулятор'!$B$7:$B$13,0)),""))</f>
        <v/>
      </c>
      <c r="P26" s="38" t="str">
        <f aca="false">IF($E26="","",IFERROR(N26/O26,""))</f>
        <v/>
      </c>
      <c r="Q26" s="39" t="str">
        <f aca="false">IF($E26="","",IF($I26&lt;&gt;"",$I26,N($H26)*IFERROR(INDEX('Гео-калькулятор'!$E$7:$E$13,MATCH($C26,'Гео-калькулятор'!$B$7:$B$13,0)),0)))</f>
        <v/>
      </c>
      <c r="R26" s="38" t="str">
        <f aca="false">IF($E26="","",IFERROR(Q26/H26,""))</f>
        <v/>
      </c>
      <c r="S26" s="30" t="str">
        <f aca="false">IF($E26="","",IFERROR(E26/Q26,"—"))</f>
        <v/>
      </c>
      <c r="T26" s="30" t="str">
        <f aca="false">IF($E26="","",Q26*IFERROR(INDEX('Гео-калькулятор'!$D$7:$D$13,MATCH($C26,'Гео-калькулятор'!$B$7:$B$13,0)),0))</f>
        <v/>
      </c>
      <c r="U26" s="40" t="str">
        <f aca="false">IF($E26="","",T26-E26)</f>
        <v/>
      </c>
      <c r="V26" s="41" t="str">
        <f aca="false">IF($E26="","",IFERROR(U26/E26,""))</f>
        <v/>
      </c>
      <c r="W26" s="10" t="str">
        <f aca="false">IF($E26="","",IF($I26&lt;&gt;"","факт","прогноз"))</f>
        <v/>
      </c>
      <c r="X26" s="1"/>
      <c r="Y26" s="1"/>
      <c r="Z26" s="1"/>
      <c r="AA26" s="1"/>
      <c r="AB26" s="1"/>
      <c r="AC26" s="1"/>
      <c r="AD26" s="1"/>
    </row>
    <row r="27" customFormat="false" ht="18" hidden="false" customHeight="true" outlineLevel="0" collapsed="false">
      <c r="A27" s="1"/>
      <c r="B27" s="35"/>
      <c r="C27" s="8"/>
      <c r="D27" s="26"/>
      <c r="E27" s="27"/>
      <c r="F27" s="36"/>
      <c r="G27" s="36"/>
      <c r="H27" s="36"/>
      <c r="I27" s="36"/>
      <c r="J27" s="37" t="str">
        <f aca="false">IF($E27="","",IFERROR(G27/F27,""))</f>
        <v/>
      </c>
      <c r="K27" s="30" t="str">
        <f aca="false">IF($E27="","",IFERROR(E27/G27,""))</f>
        <v/>
      </c>
      <c r="L27" s="30" t="str">
        <f aca="false">IF($E27="","",IFERROR(E27/F27*1000,""))</f>
        <v/>
      </c>
      <c r="M27" s="37" t="str">
        <f aca="false">IF($E27="","",IFERROR(H27/G27,""))</f>
        <v/>
      </c>
      <c r="N27" s="30" t="str">
        <f aca="false">IF($E27="","",IFERROR(E27/H27,"—"))</f>
        <v/>
      </c>
      <c r="O27" s="30" t="str">
        <f aca="false">IF($E27="","",IFERROR(INDEX('Гео-калькулятор'!$K$7:$K$13,MATCH($C27,'Гео-калькулятор'!$B$7:$B$13,0)),""))</f>
        <v/>
      </c>
      <c r="P27" s="38" t="str">
        <f aca="false">IF($E27="","",IFERROR(N27/O27,""))</f>
        <v/>
      </c>
      <c r="Q27" s="39" t="str">
        <f aca="false">IF($E27="","",IF($I27&lt;&gt;"",$I27,N($H27)*IFERROR(INDEX('Гео-калькулятор'!$E$7:$E$13,MATCH($C27,'Гео-калькулятор'!$B$7:$B$13,0)),0)))</f>
        <v/>
      </c>
      <c r="R27" s="38" t="str">
        <f aca="false">IF($E27="","",IFERROR(Q27/H27,""))</f>
        <v/>
      </c>
      <c r="S27" s="30" t="str">
        <f aca="false">IF($E27="","",IFERROR(E27/Q27,"—"))</f>
        <v/>
      </c>
      <c r="T27" s="30" t="str">
        <f aca="false">IF($E27="","",Q27*IFERROR(INDEX('Гео-калькулятор'!$D$7:$D$13,MATCH($C27,'Гео-калькулятор'!$B$7:$B$13,0)),0))</f>
        <v/>
      </c>
      <c r="U27" s="40" t="str">
        <f aca="false">IF($E27="","",T27-E27)</f>
        <v/>
      </c>
      <c r="V27" s="41" t="str">
        <f aca="false">IF($E27="","",IFERROR(U27/E27,""))</f>
        <v/>
      </c>
      <c r="W27" s="10" t="str">
        <f aca="false">IF($E27="","",IF($I27&lt;&gt;"","факт","прогноз"))</f>
        <v/>
      </c>
      <c r="X27" s="1"/>
      <c r="Y27" s="1"/>
      <c r="Z27" s="1"/>
      <c r="AA27" s="1"/>
      <c r="AB27" s="1"/>
      <c r="AC27" s="1"/>
      <c r="AD27" s="1"/>
    </row>
    <row r="28" customFormat="false" ht="18" hidden="false" customHeight="true" outlineLevel="0" collapsed="false">
      <c r="A28" s="1"/>
      <c r="B28" s="35"/>
      <c r="C28" s="8"/>
      <c r="D28" s="26"/>
      <c r="E28" s="27"/>
      <c r="F28" s="36"/>
      <c r="G28" s="36"/>
      <c r="H28" s="36"/>
      <c r="I28" s="36"/>
      <c r="J28" s="37" t="str">
        <f aca="false">IF($E28="","",IFERROR(G28/F28,""))</f>
        <v/>
      </c>
      <c r="K28" s="30" t="str">
        <f aca="false">IF($E28="","",IFERROR(E28/G28,""))</f>
        <v/>
      </c>
      <c r="L28" s="30" t="str">
        <f aca="false">IF($E28="","",IFERROR(E28/F28*1000,""))</f>
        <v/>
      </c>
      <c r="M28" s="37" t="str">
        <f aca="false">IF($E28="","",IFERROR(H28/G28,""))</f>
        <v/>
      </c>
      <c r="N28" s="30" t="str">
        <f aca="false">IF($E28="","",IFERROR(E28/H28,"—"))</f>
        <v/>
      </c>
      <c r="O28" s="30" t="str">
        <f aca="false">IF($E28="","",IFERROR(INDEX('Гео-калькулятор'!$K$7:$K$13,MATCH($C28,'Гео-калькулятор'!$B$7:$B$13,0)),""))</f>
        <v/>
      </c>
      <c r="P28" s="38" t="str">
        <f aca="false">IF($E28="","",IFERROR(N28/O28,""))</f>
        <v/>
      </c>
      <c r="Q28" s="39" t="str">
        <f aca="false">IF($E28="","",IF($I28&lt;&gt;"",$I28,N($H28)*IFERROR(INDEX('Гео-калькулятор'!$E$7:$E$13,MATCH($C28,'Гео-калькулятор'!$B$7:$B$13,0)),0)))</f>
        <v/>
      </c>
      <c r="R28" s="38" t="str">
        <f aca="false">IF($E28="","",IFERROR(Q28/H28,""))</f>
        <v/>
      </c>
      <c r="S28" s="30" t="str">
        <f aca="false">IF($E28="","",IFERROR(E28/Q28,"—"))</f>
        <v/>
      </c>
      <c r="T28" s="30" t="str">
        <f aca="false">IF($E28="","",Q28*IFERROR(INDEX('Гео-калькулятор'!$D$7:$D$13,MATCH($C28,'Гео-калькулятор'!$B$7:$B$13,0)),0))</f>
        <v/>
      </c>
      <c r="U28" s="40" t="str">
        <f aca="false">IF($E28="","",T28-E28)</f>
        <v/>
      </c>
      <c r="V28" s="41" t="str">
        <f aca="false">IF($E28="","",IFERROR(U28/E28,""))</f>
        <v/>
      </c>
      <c r="W28" s="10" t="str">
        <f aca="false">IF($E28="","",IF($I28&lt;&gt;"","факт","прогноз"))</f>
        <v/>
      </c>
      <c r="X28" s="1"/>
      <c r="Y28" s="1"/>
      <c r="Z28" s="1"/>
      <c r="AA28" s="1"/>
      <c r="AB28" s="1"/>
      <c r="AC28" s="1"/>
      <c r="AD28" s="1"/>
    </row>
    <row r="29" customFormat="false" ht="18" hidden="false" customHeight="true" outlineLevel="0" collapsed="false">
      <c r="A29" s="1"/>
      <c r="B29" s="35"/>
      <c r="C29" s="8"/>
      <c r="D29" s="26"/>
      <c r="E29" s="27"/>
      <c r="F29" s="36"/>
      <c r="G29" s="36"/>
      <c r="H29" s="36"/>
      <c r="I29" s="36"/>
      <c r="J29" s="37" t="str">
        <f aca="false">IF($E29="","",IFERROR(G29/F29,""))</f>
        <v/>
      </c>
      <c r="K29" s="30" t="str">
        <f aca="false">IF($E29="","",IFERROR(E29/G29,""))</f>
        <v/>
      </c>
      <c r="L29" s="30" t="str">
        <f aca="false">IF($E29="","",IFERROR(E29/F29*1000,""))</f>
        <v/>
      </c>
      <c r="M29" s="37" t="str">
        <f aca="false">IF($E29="","",IFERROR(H29/G29,""))</f>
        <v/>
      </c>
      <c r="N29" s="30" t="str">
        <f aca="false">IF($E29="","",IFERROR(E29/H29,"—"))</f>
        <v/>
      </c>
      <c r="O29" s="30" t="str">
        <f aca="false">IF($E29="","",IFERROR(INDEX('Гео-калькулятор'!$K$7:$K$13,MATCH($C29,'Гео-калькулятор'!$B$7:$B$13,0)),""))</f>
        <v/>
      </c>
      <c r="P29" s="38" t="str">
        <f aca="false">IF($E29="","",IFERROR(N29/O29,""))</f>
        <v/>
      </c>
      <c r="Q29" s="39" t="str">
        <f aca="false">IF($E29="","",IF($I29&lt;&gt;"",$I29,N($H29)*IFERROR(INDEX('Гео-калькулятор'!$E$7:$E$13,MATCH($C29,'Гео-калькулятор'!$B$7:$B$13,0)),0)))</f>
        <v/>
      </c>
      <c r="R29" s="38" t="str">
        <f aca="false">IF($E29="","",IFERROR(Q29/H29,""))</f>
        <v/>
      </c>
      <c r="S29" s="30" t="str">
        <f aca="false">IF($E29="","",IFERROR(E29/Q29,"—"))</f>
        <v/>
      </c>
      <c r="T29" s="30" t="str">
        <f aca="false">IF($E29="","",Q29*IFERROR(INDEX('Гео-калькулятор'!$D$7:$D$13,MATCH($C29,'Гео-калькулятор'!$B$7:$B$13,0)),0))</f>
        <v/>
      </c>
      <c r="U29" s="40" t="str">
        <f aca="false">IF($E29="","",T29-E29)</f>
        <v/>
      </c>
      <c r="V29" s="41" t="str">
        <f aca="false">IF($E29="","",IFERROR(U29/E29,""))</f>
        <v/>
      </c>
      <c r="W29" s="10" t="str">
        <f aca="false">IF($E29="","",IF($I29&lt;&gt;"","факт","прогноз"))</f>
        <v/>
      </c>
      <c r="X29" s="1"/>
      <c r="Y29" s="1"/>
      <c r="Z29" s="1"/>
      <c r="AA29" s="1"/>
      <c r="AB29" s="1"/>
      <c r="AC29" s="1"/>
      <c r="AD29" s="1"/>
    </row>
    <row r="30" customFormat="false" ht="18" hidden="false" customHeight="true" outlineLevel="0" collapsed="false">
      <c r="A30" s="1"/>
      <c r="B30" s="35"/>
      <c r="C30" s="8"/>
      <c r="D30" s="26"/>
      <c r="E30" s="27"/>
      <c r="F30" s="36"/>
      <c r="G30" s="36"/>
      <c r="H30" s="36"/>
      <c r="I30" s="36"/>
      <c r="J30" s="37" t="str">
        <f aca="false">IF($E30="","",IFERROR(G30/F30,""))</f>
        <v/>
      </c>
      <c r="K30" s="30" t="str">
        <f aca="false">IF($E30="","",IFERROR(E30/G30,""))</f>
        <v/>
      </c>
      <c r="L30" s="30" t="str">
        <f aca="false">IF($E30="","",IFERROR(E30/F30*1000,""))</f>
        <v/>
      </c>
      <c r="M30" s="37" t="str">
        <f aca="false">IF($E30="","",IFERROR(H30/G30,""))</f>
        <v/>
      </c>
      <c r="N30" s="30" t="str">
        <f aca="false">IF($E30="","",IFERROR(E30/H30,"—"))</f>
        <v/>
      </c>
      <c r="O30" s="30" t="str">
        <f aca="false">IF($E30="","",IFERROR(INDEX('Гео-калькулятор'!$K$7:$K$13,MATCH($C30,'Гео-калькулятор'!$B$7:$B$13,0)),""))</f>
        <v/>
      </c>
      <c r="P30" s="38" t="str">
        <f aca="false">IF($E30="","",IFERROR(N30/O30,""))</f>
        <v/>
      </c>
      <c r="Q30" s="39" t="str">
        <f aca="false">IF($E30="","",IF($I30&lt;&gt;"",$I30,N($H30)*IFERROR(INDEX('Гео-калькулятор'!$E$7:$E$13,MATCH($C30,'Гео-калькулятор'!$B$7:$B$13,0)),0)))</f>
        <v/>
      </c>
      <c r="R30" s="38" t="str">
        <f aca="false">IF($E30="","",IFERROR(Q30/H30,""))</f>
        <v/>
      </c>
      <c r="S30" s="30" t="str">
        <f aca="false">IF($E30="","",IFERROR(E30/Q30,"—"))</f>
        <v/>
      </c>
      <c r="T30" s="30" t="str">
        <f aca="false">IF($E30="","",Q30*IFERROR(INDEX('Гео-калькулятор'!$D$7:$D$13,MATCH($C30,'Гео-калькулятор'!$B$7:$B$13,0)),0))</f>
        <v/>
      </c>
      <c r="U30" s="40" t="str">
        <f aca="false">IF($E30="","",T30-E30)</f>
        <v/>
      </c>
      <c r="V30" s="41" t="str">
        <f aca="false">IF($E30="","",IFERROR(U30/E30,""))</f>
        <v/>
      </c>
      <c r="W30" s="10" t="str">
        <f aca="false">IF($E30="","",IF($I30&lt;&gt;"","факт","прогноз"))</f>
        <v/>
      </c>
      <c r="X30" s="1"/>
      <c r="Y30" s="1"/>
      <c r="Z30" s="1"/>
      <c r="AA30" s="1"/>
      <c r="AB30" s="1"/>
      <c r="AC30" s="1"/>
      <c r="AD30" s="1"/>
    </row>
    <row r="31" customFormat="false" ht="18" hidden="false" customHeight="true" outlineLevel="0" collapsed="false">
      <c r="A31" s="1"/>
      <c r="B31" s="35"/>
      <c r="C31" s="8"/>
      <c r="D31" s="26"/>
      <c r="E31" s="27"/>
      <c r="F31" s="36"/>
      <c r="G31" s="36"/>
      <c r="H31" s="36"/>
      <c r="I31" s="36"/>
      <c r="J31" s="37" t="str">
        <f aca="false">IF($E31="","",IFERROR(G31/F31,""))</f>
        <v/>
      </c>
      <c r="K31" s="30" t="str">
        <f aca="false">IF($E31="","",IFERROR(E31/G31,""))</f>
        <v/>
      </c>
      <c r="L31" s="30" t="str">
        <f aca="false">IF($E31="","",IFERROR(E31/F31*1000,""))</f>
        <v/>
      </c>
      <c r="M31" s="37" t="str">
        <f aca="false">IF($E31="","",IFERROR(H31/G31,""))</f>
        <v/>
      </c>
      <c r="N31" s="30" t="str">
        <f aca="false">IF($E31="","",IFERROR(E31/H31,"—"))</f>
        <v/>
      </c>
      <c r="O31" s="30" t="str">
        <f aca="false">IF($E31="","",IFERROR(INDEX('Гео-калькулятор'!$K$7:$K$13,MATCH($C31,'Гео-калькулятор'!$B$7:$B$13,0)),""))</f>
        <v/>
      </c>
      <c r="P31" s="38" t="str">
        <f aca="false">IF($E31="","",IFERROR(N31/O31,""))</f>
        <v/>
      </c>
      <c r="Q31" s="39" t="str">
        <f aca="false">IF($E31="","",IF($I31&lt;&gt;"",$I31,N($H31)*IFERROR(INDEX('Гео-калькулятор'!$E$7:$E$13,MATCH($C31,'Гео-калькулятор'!$B$7:$B$13,0)),0)))</f>
        <v/>
      </c>
      <c r="R31" s="38" t="str">
        <f aca="false">IF($E31="","",IFERROR(Q31/H31,""))</f>
        <v/>
      </c>
      <c r="S31" s="30" t="str">
        <f aca="false">IF($E31="","",IFERROR(E31/Q31,"—"))</f>
        <v/>
      </c>
      <c r="T31" s="30" t="str">
        <f aca="false">IF($E31="","",Q31*IFERROR(INDEX('Гео-калькулятор'!$D$7:$D$13,MATCH($C31,'Гео-калькулятор'!$B$7:$B$13,0)),0))</f>
        <v/>
      </c>
      <c r="U31" s="40" t="str">
        <f aca="false">IF($E31="","",T31-E31)</f>
        <v/>
      </c>
      <c r="V31" s="41" t="str">
        <f aca="false">IF($E31="","",IFERROR(U31/E31,""))</f>
        <v/>
      </c>
      <c r="W31" s="10" t="str">
        <f aca="false">IF($E31="","",IF($I31&lt;&gt;"","факт","прогноз"))</f>
        <v/>
      </c>
      <c r="X31" s="1"/>
      <c r="Y31" s="1"/>
      <c r="Z31" s="1"/>
      <c r="AA31" s="1"/>
      <c r="AB31" s="1"/>
      <c r="AC31" s="1"/>
      <c r="AD31" s="1"/>
    </row>
    <row r="32" customFormat="false" ht="18" hidden="false" customHeight="true" outlineLevel="0" collapsed="false">
      <c r="A32" s="1"/>
      <c r="B32" s="35"/>
      <c r="C32" s="8"/>
      <c r="D32" s="26"/>
      <c r="E32" s="27"/>
      <c r="F32" s="36"/>
      <c r="G32" s="36"/>
      <c r="H32" s="36"/>
      <c r="I32" s="36"/>
      <c r="J32" s="37" t="str">
        <f aca="false">IF($E32="","",IFERROR(G32/F32,""))</f>
        <v/>
      </c>
      <c r="K32" s="30" t="str">
        <f aca="false">IF($E32="","",IFERROR(E32/G32,""))</f>
        <v/>
      </c>
      <c r="L32" s="30" t="str">
        <f aca="false">IF($E32="","",IFERROR(E32/F32*1000,""))</f>
        <v/>
      </c>
      <c r="M32" s="37" t="str">
        <f aca="false">IF($E32="","",IFERROR(H32/G32,""))</f>
        <v/>
      </c>
      <c r="N32" s="30" t="str">
        <f aca="false">IF($E32="","",IFERROR(E32/H32,"—"))</f>
        <v/>
      </c>
      <c r="O32" s="30" t="str">
        <f aca="false">IF($E32="","",IFERROR(INDEX('Гео-калькулятор'!$K$7:$K$13,MATCH($C32,'Гео-калькулятор'!$B$7:$B$13,0)),""))</f>
        <v/>
      </c>
      <c r="P32" s="38" t="str">
        <f aca="false">IF($E32="","",IFERROR(N32/O32,""))</f>
        <v/>
      </c>
      <c r="Q32" s="39" t="str">
        <f aca="false">IF($E32="","",IF($I32&lt;&gt;"",$I32,N($H32)*IFERROR(INDEX('Гео-калькулятор'!$E$7:$E$13,MATCH($C32,'Гео-калькулятор'!$B$7:$B$13,0)),0)))</f>
        <v/>
      </c>
      <c r="R32" s="38" t="str">
        <f aca="false">IF($E32="","",IFERROR(Q32/H32,""))</f>
        <v/>
      </c>
      <c r="S32" s="30" t="str">
        <f aca="false">IF($E32="","",IFERROR(E32/Q32,"—"))</f>
        <v/>
      </c>
      <c r="T32" s="30" t="str">
        <f aca="false">IF($E32="","",Q32*IFERROR(INDEX('Гео-калькулятор'!$D$7:$D$13,MATCH($C32,'Гео-калькулятор'!$B$7:$B$13,0)),0))</f>
        <v/>
      </c>
      <c r="U32" s="40" t="str">
        <f aca="false">IF($E32="","",T32-E32)</f>
        <v/>
      </c>
      <c r="V32" s="41" t="str">
        <f aca="false">IF($E32="","",IFERROR(U32/E32,""))</f>
        <v/>
      </c>
      <c r="W32" s="10" t="str">
        <f aca="false">IF($E32="","",IF($I32&lt;&gt;"","факт","прогноз"))</f>
        <v/>
      </c>
      <c r="X32" s="1"/>
      <c r="Y32" s="1"/>
      <c r="Z32" s="1"/>
      <c r="AA32" s="1"/>
      <c r="AB32" s="1"/>
      <c r="AC32" s="1"/>
      <c r="AD32" s="1"/>
    </row>
    <row r="33" customFormat="false" ht="18" hidden="false" customHeight="true" outlineLevel="0" collapsed="false">
      <c r="A33" s="1"/>
      <c r="B33" s="35"/>
      <c r="C33" s="8"/>
      <c r="D33" s="26"/>
      <c r="E33" s="27"/>
      <c r="F33" s="36"/>
      <c r="G33" s="36"/>
      <c r="H33" s="36"/>
      <c r="I33" s="36"/>
      <c r="J33" s="37" t="str">
        <f aca="false">IF($E33="","",IFERROR(G33/F33,""))</f>
        <v/>
      </c>
      <c r="K33" s="30" t="str">
        <f aca="false">IF($E33="","",IFERROR(E33/G33,""))</f>
        <v/>
      </c>
      <c r="L33" s="30" t="str">
        <f aca="false">IF($E33="","",IFERROR(E33/F33*1000,""))</f>
        <v/>
      </c>
      <c r="M33" s="37" t="str">
        <f aca="false">IF($E33="","",IFERROR(H33/G33,""))</f>
        <v/>
      </c>
      <c r="N33" s="30" t="str">
        <f aca="false">IF($E33="","",IFERROR(E33/H33,"—"))</f>
        <v/>
      </c>
      <c r="O33" s="30" t="str">
        <f aca="false">IF($E33="","",IFERROR(INDEX('Гео-калькулятор'!$K$7:$K$13,MATCH($C33,'Гео-калькулятор'!$B$7:$B$13,0)),""))</f>
        <v/>
      </c>
      <c r="P33" s="38" t="str">
        <f aca="false">IF($E33="","",IFERROR(N33/O33,""))</f>
        <v/>
      </c>
      <c r="Q33" s="39" t="str">
        <f aca="false">IF($E33="","",IF($I33&lt;&gt;"",$I33,N($H33)*IFERROR(INDEX('Гео-калькулятор'!$E$7:$E$13,MATCH($C33,'Гео-калькулятор'!$B$7:$B$13,0)),0)))</f>
        <v/>
      </c>
      <c r="R33" s="38" t="str">
        <f aca="false">IF($E33="","",IFERROR(Q33/H33,""))</f>
        <v/>
      </c>
      <c r="S33" s="30" t="str">
        <f aca="false">IF($E33="","",IFERROR(E33/Q33,"—"))</f>
        <v/>
      </c>
      <c r="T33" s="30" t="str">
        <f aca="false">IF($E33="","",Q33*IFERROR(INDEX('Гео-калькулятор'!$D$7:$D$13,MATCH($C33,'Гео-калькулятор'!$B$7:$B$13,0)),0))</f>
        <v/>
      </c>
      <c r="U33" s="40" t="str">
        <f aca="false">IF($E33="","",T33-E33)</f>
        <v/>
      </c>
      <c r="V33" s="41" t="str">
        <f aca="false">IF($E33="","",IFERROR(U33/E33,""))</f>
        <v/>
      </c>
      <c r="W33" s="10" t="str">
        <f aca="false">IF($E33="","",IF($I33&lt;&gt;"","факт","прогноз"))</f>
        <v/>
      </c>
      <c r="X33" s="1"/>
      <c r="Y33" s="1"/>
      <c r="Z33" s="1"/>
      <c r="AA33" s="1"/>
      <c r="AB33" s="1"/>
      <c r="AC33" s="1"/>
      <c r="AD33" s="1"/>
    </row>
    <row r="34" customFormat="false" ht="18" hidden="false" customHeight="true" outlineLevel="0" collapsed="false">
      <c r="A34" s="1"/>
      <c r="B34" s="35"/>
      <c r="C34" s="8"/>
      <c r="D34" s="26"/>
      <c r="E34" s="27"/>
      <c r="F34" s="36"/>
      <c r="G34" s="36"/>
      <c r="H34" s="36"/>
      <c r="I34" s="36"/>
      <c r="J34" s="37" t="str">
        <f aca="false">IF($E34="","",IFERROR(G34/F34,""))</f>
        <v/>
      </c>
      <c r="K34" s="30" t="str">
        <f aca="false">IF($E34="","",IFERROR(E34/G34,""))</f>
        <v/>
      </c>
      <c r="L34" s="30" t="str">
        <f aca="false">IF($E34="","",IFERROR(E34/F34*1000,""))</f>
        <v/>
      </c>
      <c r="M34" s="37" t="str">
        <f aca="false">IF($E34="","",IFERROR(H34/G34,""))</f>
        <v/>
      </c>
      <c r="N34" s="30" t="str">
        <f aca="false">IF($E34="","",IFERROR(E34/H34,"—"))</f>
        <v/>
      </c>
      <c r="O34" s="30" t="str">
        <f aca="false">IF($E34="","",IFERROR(INDEX('Гео-калькулятор'!$K$7:$K$13,MATCH($C34,'Гео-калькулятор'!$B$7:$B$13,0)),""))</f>
        <v/>
      </c>
      <c r="P34" s="38" t="str">
        <f aca="false">IF($E34="","",IFERROR(N34/O34,""))</f>
        <v/>
      </c>
      <c r="Q34" s="39" t="str">
        <f aca="false">IF($E34="","",IF($I34&lt;&gt;"",$I34,N($H34)*IFERROR(INDEX('Гео-калькулятор'!$E$7:$E$13,MATCH($C34,'Гео-калькулятор'!$B$7:$B$13,0)),0)))</f>
        <v/>
      </c>
      <c r="R34" s="38" t="str">
        <f aca="false">IF($E34="","",IFERROR(Q34/H34,""))</f>
        <v/>
      </c>
      <c r="S34" s="30" t="str">
        <f aca="false">IF($E34="","",IFERROR(E34/Q34,"—"))</f>
        <v/>
      </c>
      <c r="T34" s="30" t="str">
        <f aca="false">IF($E34="","",Q34*IFERROR(INDEX('Гео-калькулятор'!$D$7:$D$13,MATCH($C34,'Гео-калькулятор'!$B$7:$B$13,0)),0))</f>
        <v/>
      </c>
      <c r="U34" s="40" t="str">
        <f aca="false">IF($E34="","",T34-E34)</f>
        <v/>
      </c>
      <c r="V34" s="41" t="str">
        <f aca="false">IF($E34="","",IFERROR(U34/E34,""))</f>
        <v/>
      </c>
      <c r="W34" s="10" t="str">
        <f aca="false">IF($E34="","",IF($I34&lt;&gt;"","факт","прогноз"))</f>
        <v/>
      </c>
      <c r="X34" s="1"/>
      <c r="Y34" s="1"/>
      <c r="Z34" s="1"/>
      <c r="AA34" s="1"/>
      <c r="AB34" s="1"/>
      <c r="AC34" s="1"/>
      <c r="AD34" s="1"/>
    </row>
    <row r="35" customFormat="false" ht="18" hidden="false" customHeight="true" outlineLevel="0" collapsed="false">
      <c r="A35" s="1"/>
      <c r="B35" s="35"/>
      <c r="C35" s="8"/>
      <c r="D35" s="26"/>
      <c r="E35" s="27"/>
      <c r="F35" s="36"/>
      <c r="G35" s="36"/>
      <c r="H35" s="36"/>
      <c r="I35" s="36"/>
      <c r="J35" s="37" t="str">
        <f aca="false">IF($E35="","",IFERROR(G35/F35,""))</f>
        <v/>
      </c>
      <c r="K35" s="30" t="str">
        <f aca="false">IF($E35="","",IFERROR(E35/G35,""))</f>
        <v/>
      </c>
      <c r="L35" s="30" t="str">
        <f aca="false">IF($E35="","",IFERROR(E35/F35*1000,""))</f>
        <v/>
      </c>
      <c r="M35" s="37" t="str">
        <f aca="false">IF($E35="","",IFERROR(H35/G35,""))</f>
        <v/>
      </c>
      <c r="N35" s="30" t="str">
        <f aca="false">IF($E35="","",IFERROR(E35/H35,"—"))</f>
        <v/>
      </c>
      <c r="O35" s="30" t="str">
        <f aca="false">IF($E35="","",IFERROR(INDEX('Гео-калькулятор'!$K$7:$K$13,MATCH($C35,'Гео-калькулятор'!$B$7:$B$13,0)),""))</f>
        <v/>
      </c>
      <c r="P35" s="38" t="str">
        <f aca="false">IF($E35="","",IFERROR(N35/O35,""))</f>
        <v/>
      </c>
      <c r="Q35" s="39" t="str">
        <f aca="false">IF($E35="","",IF($I35&lt;&gt;"",$I35,N($H35)*IFERROR(INDEX('Гео-калькулятор'!$E$7:$E$13,MATCH($C35,'Гео-калькулятор'!$B$7:$B$13,0)),0)))</f>
        <v/>
      </c>
      <c r="R35" s="38" t="str">
        <f aca="false">IF($E35="","",IFERROR(Q35/H35,""))</f>
        <v/>
      </c>
      <c r="S35" s="30" t="str">
        <f aca="false">IF($E35="","",IFERROR(E35/Q35,"—"))</f>
        <v/>
      </c>
      <c r="T35" s="30" t="str">
        <f aca="false">IF($E35="","",Q35*IFERROR(INDEX('Гео-калькулятор'!$D$7:$D$13,MATCH($C35,'Гео-калькулятор'!$B$7:$B$13,0)),0))</f>
        <v/>
      </c>
      <c r="U35" s="40" t="str">
        <f aca="false">IF($E35="","",T35-E35)</f>
        <v/>
      </c>
      <c r="V35" s="41" t="str">
        <f aca="false">IF($E35="","",IFERROR(U35/E35,""))</f>
        <v/>
      </c>
      <c r="W35" s="10" t="str">
        <f aca="false">IF($E35="","",IF($I35&lt;&gt;"","факт","прогноз"))</f>
        <v/>
      </c>
      <c r="X35" s="1"/>
      <c r="Y35" s="1"/>
      <c r="Z35" s="1"/>
      <c r="AA35" s="1"/>
      <c r="AB35" s="1"/>
      <c r="AC35" s="1"/>
      <c r="AD35" s="1"/>
    </row>
    <row r="36" customFormat="false" ht="18" hidden="false" customHeight="true" outlineLevel="0" collapsed="false">
      <c r="A36" s="1"/>
      <c r="B36" s="35"/>
      <c r="C36" s="8"/>
      <c r="D36" s="26"/>
      <c r="E36" s="27"/>
      <c r="F36" s="36"/>
      <c r="G36" s="36"/>
      <c r="H36" s="36"/>
      <c r="I36" s="36"/>
      <c r="J36" s="37" t="str">
        <f aca="false">IF($E36="","",IFERROR(G36/F36,""))</f>
        <v/>
      </c>
      <c r="K36" s="30" t="str">
        <f aca="false">IF($E36="","",IFERROR(E36/G36,""))</f>
        <v/>
      </c>
      <c r="L36" s="30" t="str">
        <f aca="false">IF($E36="","",IFERROR(E36/F36*1000,""))</f>
        <v/>
      </c>
      <c r="M36" s="37" t="str">
        <f aca="false">IF($E36="","",IFERROR(H36/G36,""))</f>
        <v/>
      </c>
      <c r="N36" s="30" t="str">
        <f aca="false">IF($E36="","",IFERROR(E36/H36,"—"))</f>
        <v/>
      </c>
      <c r="O36" s="30" t="str">
        <f aca="false">IF($E36="","",IFERROR(INDEX('Гео-калькулятор'!$K$7:$K$13,MATCH($C36,'Гео-калькулятор'!$B$7:$B$13,0)),""))</f>
        <v/>
      </c>
      <c r="P36" s="38" t="str">
        <f aca="false">IF($E36="","",IFERROR(N36/O36,""))</f>
        <v/>
      </c>
      <c r="Q36" s="39" t="str">
        <f aca="false">IF($E36="","",IF($I36&lt;&gt;"",$I36,N($H36)*IFERROR(INDEX('Гео-калькулятор'!$E$7:$E$13,MATCH($C36,'Гео-калькулятор'!$B$7:$B$13,0)),0)))</f>
        <v/>
      </c>
      <c r="R36" s="38" t="str">
        <f aca="false">IF($E36="","",IFERROR(Q36/H36,""))</f>
        <v/>
      </c>
      <c r="S36" s="30" t="str">
        <f aca="false">IF($E36="","",IFERROR(E36/Q36,"—"))</f>
        <v/>
      </c>
      <c r="T36" s="30" t="str">
        <f aca="false">IF($E36="","",Q36*IFERROR(INDEX('Гео-калькулятор'!$D$7:$D$13,MATCH($C36,'Гео-калькулятор'!$B$7:$B$13,0)),0))</f>
        <v/>
      </c>
      <c r="U36" s="40" t="str">
        <f aca="false">IF($E36="","",T36-E36)</f>
        <v/>
      </c>
      <c r="V36" s="41" t="str">
        <f aca="false">IF($E36="","",IFERROR(U36/E36,""))</f>
        <v/>
      </c>
      <c r="W36" s="10" t="str">
        <f aca="false">IF($E36="","",IF($I36&lt;&gt;"","факт","прогноз"))</f>
        <v/>
      </c>
      <c r="X36" s="1"/>
      <c r="Y36" s="1"/>
      <c r="Z36" s="1"/>
      <c r="AA36" s="1"/>
      <c r="AB36" s="1"/>
      <c r="AC36" s="1"/>
      <c r="AD36" s="1"/>
    </row>
    <row r="37" customFormat="false" ht="18" hidden="false" customHeight="true" outlineLevel="0" collapsed="false">
      <c r="A37" s="1"/>
      <c r="B37" s="35"/>
      <c r="C37" s="8"/>
      <c r="D37" s="26"/>
      <c r="E37" s="27"/>
      <c r="F37" s="36"/>
      <c r="G37" s="36"/>
      <c r="H37" s="36"/>
      <c r="I37" s="36"/>
      <c r="J37" s="37" t="str">
        <f aca="false">IF($E37="","",IFERROR(G37/F37,""))</f>
        <v/>
      </c>
      <c r="K37" s="30" t="str">
        <f aca="false">IF($E37="","",IFERROR(E37/G37,""))</f>
        <v/>
      </c>
      <c r="L37" s="30" t="str">
        <f aca="false">IF($E37="","",IFERROR(E37/F37*1000,""))</f>
        <v/>
      </c>
      <c r="M37" s="37" t="str">
        <f aca="false">IF($E37="","",IFERROR(H37/G37,""))</f>
        <v/>
      </c>
      <c r="N37" s="30" t="str">
        <f aca="false">IF($E37="","",IFERROR(E37/H37,"—"))</f>
        <v/>
      </c>
      <c r="O37" s="30" t="str">
        <f aca="false">IF($E37="","",IFERROR(INDEX('Гео-калькулятор'!$K$7:$K$13,MATCH($C37,'Гео-калькулятор'!$B$7:$B$13,0)),""))</f>
        <v/>
      </c>
      <c r="P37" s="38" t="str">
        <f aca="false">IF($E37="","",IFERROR(N37/O37,""))</f>
        <v/>
      </c>
      <c r="Q37" s="39" t="str">
        <f aca="false">IF($E37="","",IF($I37&lt;&gt;"",$I37,N($H37)*IFERROR(INDEX('Гео-калькулятор'!$E$7:$E$13,MATCH($C37,'Гео-калькулятор'!$B$7:$B$13,0)),0)))</f>
        <v/>
      </c>
      <c r="R37" s="38" t="str">
        <f aca="false">IF($E37="","",IFERROR(Q37/H37,""))</f>
        <v/>
      </c>
      <c r="S37" s="30" t="str">
        <f aca="false">IF($E37="","",IFERROR(E37/Q37,"—"))</f>
        <v/>
      </c>
      <c r="T37" s="30" t="str">
        <f aca="false">IF($E37="","",Q37*IFERROR(INDEX('Гео-калькулятор'!$D$7:$D$13,MATCH($C37,'Гео-калькулятор'!$B$7:$B$13,0)),0))</f>
        <v/>
      </c>
      <c r="U37" s="40" t="str">
        <f aca="false">IF($E37="","",T37-E37)</f>
        <v/>
      </c>
      <c r="V37" s="41" t="str">
        <f aca="false">IF($E37="","",IFERROR(U37/E37,""))</f>
        <v/>
      </c>
      <c r="W37" s="10" t="str">
        <f aca="false">IF($E37="","",IF($I37&lt;&gt;"","факт","прогноз"))</f>
        <v/>
      </c>
      <c r="X37" s="1"/>
      <c r="Y37" s="1"/>
      <c r="Z37" s="1"/>
      <c r="AA37" s="1"/>
      <c r="AB37" s="1"/>
      <c r="AC37" s="1"/>
      <c r="AD37" s="1"/>
    </row>
    <row r="38" customFormat="false" ht="18" hidden="false" customHeight="true" outlineLevel="0" collapsed="false">
      <c r="A38" s="1"/>
      <c r="B38" s="35"/>
      <c r="C38" s="8"/>
      <c r="D38" s="26"/>
      <c r="E38" s="27"/>
      <c r="F38" s="36"/>
      <c r="G38" s="36"/>
      <c r="H38" s="36"/>
      <c r="I38" s="36"/>
      <c r="J38" s="37" t="str">
        <f aca="false">IF($E38="","",IFERROR(G38/F38,""))</f>
        <v/>
      </c>
      <c r="K38" s="30" t="str">
        <f aca="false">IF($E38="","",IFERROR(E38/G38,""))</f>
        <v/>
      </c>
      <c r="L38" s="30" t="str">
        <f aca="false">IF($E38="","",IFERROR(E38/F38*1000,""))</f>
        <v/>
      </c>
      <c r="M38" s="37" t="str">
        <f aca="false">IF($E38="","",IFERROR(H38/G38,""))</f>
        <v/>
      </c>
      <c r="N38" s="30" t="str">
        <f aca="false">IF($E38="","",IFERROR(E38/H38,"—"))</f>
        <v/>
      </c>
      <c r="O38" s="30" t="str">
        <f aca="false">IF($E38="","",IFERROR(INDEX('Гео-калькулятор'!$K$7:$K$13,MATCH($C38,'Гео-калькулятор'!$B$7:$B$13,0)),""))</f>
        <v/>
      </c>
      <c r="P38" s="38" t="str">
        <f aca="false">IF($E38="","",IFERROR(N38/O38,""))</f>
        <v/>
      </c>
      <c r="Q38" s="39" t="str">
        <f aca="false">IF($E38="","",IF($I38&lt;&gt;"",$I38,N($H38)*IFERROR(INDEX('Гео-калькулятор'!$E$7:$E$13,MATCH($C38,'Гео-калькулятор'!$B$7:$B$13,0)),0)))</f>
        <v/>
      </c>
      <c r="R38" s="38" t="str">
        <f aca="false">IF($E38="","",IFERROR(Q38/H38,""))</f>
        <v/>
      </c>
      <c r="S38" s="30" t="str">
        <f aca="false">IF($E38="","",IFERROR(E38/Q38,"—"))</f>
        <v/>
      </c>
      <c r="T38" s="30" t="str">
        <f aca="false">IF($E38="","",Q38*IFERROR(INDEX('Гео-калькулятор'!$D$7:$D$13,MATCH($C38,'Гео-калькулятор'!$B$7:$B$13,0)),0))</f>
        <v/>
      </c>
      <c r="U38" s="40" t="str">
        <f aca="false">IF($E38="","",T38-E38)</f>
        <v/>
      </c>
      <c r="V38" s="41" t="str">
        <f aca="false">IF($E38="","",IFERROR(U38/E38,""))</f>
        <v/>
      </c>
      <c r="W38" s="10" t="str">
        <f aca="false">IF($E38="","",IF($I38&lt;&gt;"","факт","прогноз"))</f>
        <v/>
      </c>
      <c r="X38" s="1"/>
      <c r="Y38" s="1"/>
      <c r="Z38" s="1"/>
      <c r="AA38" s="1"/>
      <c r="AB38" s="1"/>
      <c r="AC38" s="1"/>
      <c r="AD38" s="1"/>
    </row>
    <row r="39" customFormat="false" ht="18" hidden="false" customHeight="true" outlineLevel="0" collapsed="false">
      <c r="A39" s="1"/>
      <c r="B39" s="35"/>
      <c r="C39" s="8"/>
      <c r="D39" s="26"/>
      <c r="E39" s="27"/>
      <c r="F39" s="36"/>
      <c r="G39" s="36"/>
      <c r="H39" s="36"/>
      <c r="I39" s="36"/>
      <c r="J39" s="37" t="str">
        <f aca="false">IF($E39="","",IFERROR(G39/F39,""))</f>
        <v/>
      </c>
      <c r="K39" s="30" t="str">
        <f aca="false">IF($E39="","",IFERROR(E39/G39,""))</f>
        <v/>
      </c>
      <c r="L39" s="30" t="str">
        <f aca="false">IF($E39="","",IFERROR(E39/F39*1000,""))</f>
        <v/>
      </c>
      <c r="M39" s="37" t="str">
        <f aca="false">IF($E39="","",IFERROR(H39/G39,""))</f>
        <v/>
      </c>
      <c r="N39" s="30" t="str">
        <f aca="false">IF($E39="","",IFERROR(E39/H39,"—"))</f>
        <v/>
      </c>
      <c r="O39" s="30" t="str">
        <f aca="false">IF($E39="","",IFERROR(INDEX('Гео-калькулятор'!$K$7:$K$13,MATCH($C39,'Гео-калькулятор'!$B$7:$B$13,0)),""))</f>
        <v/>
      </c>
      <c r="P39" s="38" t="str">
        <f aca="false">IF($E39="","",IFERROR(N39/O39,""))</f>
        <v/>
      </c>
      <c r="Q39" s="39" t="str">
        <f aca="false">IF($E39="","",IF($I39&lt;&gt;"",$I39,N($H39)*IFERROR(INDEX('Гео-калькулятор'!$E$7:$E$13,MATCH($C39,'Гео-калькулятор'!$B$7:$B$13,0)),0)))</f>
        <v/>
      </c>
      <c r="R39" s="38" t="str">
        <f aca="false">IF($E39="","",IFERROR(Q39/H39,""))</f>
        <v/>
      </c>
      <c r="S39" s="30" t="str">
        <f aca="false">IF($E39="","",IFERROR(E39/Q39,"—"))</f>
        <v/>
      </c>
      <c r="T39" s="30" t="str">
        <f aca="false">IF($E39="","",Q39*IFERROR(INDEX('Гео-калькулятор'!$D$7:$D$13,MATCH($C39,'Гео-калькулятор'!$B$7:$B$13,0)),0))</f>
        <v/>
      </c>
      <c r="U39" s="40" t="str">
        <f aca="false">IF($E39="","",T39-E39)</f>
        <v/>
      </c>
      <c r="V39" s="41" t="str">
        <f aca="false">IF($E39="","",IFERROR(U39/E39,""))</f>
        <v/>
      </c>
      <c r="W39" s="10" t="str">
        <f aca="false">IF($E39="","",IF($I39&lt;&gt;"","факт","прогноз"))</f>
        <v/>
      </c>
      <c r="X39" s="1"/>
      <c r="Y39" s="1"/>
      <c r="Z39" s="1"/>
      <c r="AA39" s="1"/>
      <c r="AB39" s="1"/>
      <c r="AC39" s="1"/>
      <c r="AD39" s="1"/>
    </row>
    <row r="40" customFormat="false" ht="18" hidden="false" customHeight="true" outlineLevel="0" collapsed="false">
      <c r="A40" s="1"/>
      <c r="B40" s="35"/>
      <c r="C40" s="8"/>
      <c r="D40" s="26"/>
      <c r="E40" s="27"/>
      <c r="F40" s="36"/>
      <c r="G40" s="36"/>
      <c r="H40" s="36"/>
      <c r="I40" s="36"/>
      <c r="J40" s="37" t="str">
        <f aca="false">IF($E40="","",IFERROR(G40/F40,""))</f>
        <v/>
      </c>
      <c r="K40" s="30" t="str">
        <f aca="false">IF($E40="","",IFERROR(E40/G40,""))</f>
        <v/>
      </c>
      <c r="L40" s="30" t="str">
        <f aca="false">IF($E40="","",IFERROR(E40/F40*1000,""))</f>
        <v/>
      </c>
      <c r="M40" s="37" t="str">
        <f aca="false">IF($E40="","",IFERROR(H40/G40,""))</f>
        <v/>
      </c>
      <c r="N40" s="30" t="str">
        <f aca="false">IF($E40="","",IFERROR(E40/H40,"—"))</f>
        <v/>
      </c>
      <c r="O40" s="30" t="str">
        <f aca="false">IF($E40="","",IFERROR(INDEX('Гео-калькулятор'!$K$7:$K$13,MATCH($C40,'Гео-калькулятор'!$B$7:$B$13,0)),""))</f>
        <v/>
      </c>
      <c r="P40" s="38" t="str">
        <f aca="false">IF($E40="","",IFERROR(N40/O40,""))</f>
        <v/>
      </c>
      <c r="Q40" s="39" t="str">
        <f aca="false">IF($E40="","",IF($I40&lt;&gt;"",$I40,N($H40)*IFERROR(INDEX('Гео-калькулятор'!$E$7:$E$13,MATCH($C40,'Гео-калькулятор'!$B$7:$B$13,0)),0)))</f>
        <v/>
      </c>
      <c r="R40" s="38" t="str">
        <f aca="false">IF($E40="","",IFERROR(Q40/H40,""))</f>
        <v/>
      </c>
      <c r="S40" s="30" t="str">
        <f aca="false">IF($E40="","",IFERROR(E40/Q40,"—"))</f>
        <v/>
      </c>
      <c r="T40" s="30" t="str">
        <f aca="false">IF($E40="","",Q40*IFERROR(INDEX('Гео-калькулятор'!$D$7:$D$13,MATCH($C40,'Гео-калькулятор'!$B$7:$B$13,0)),0))</f>
        <v/>
      </c>
      <c r="U40" s="40" t="str">
        <f aca="false">IF($E40="","",T40-E40)</f>
        <v/>
      </c>
      <c r="V40" s="41" t="str">
        <f aca="false">IF($E40="","",IFERROR(U40/E40,""))</f>
        <v/>
      </c>
      <c r="W40" s="10" t="str">
        <f aca="false">IF($E40="","",IF($I40&lt;&gt;"","факт","прогноз"))</f>
        <v/>
      </c>
      <c r="X40" s="1"/>
      <c r="Y40" s="1"/>
      <c r="Z40" s="1"/>
      <c r="AA40" s="1"/>
      <c r="AB40" s="1"/>
      <c r="AC40" s="1"/>
      <c r="AD40" s="1"/>
    </row>
    <row r="41" customFormat="false" ht="18" hidden="false" customHeight="true" outlineLevel="0" collapsed="false">
      <c r="A41" s="1"/>
      <c r="B41" s="35"/>
      <c r="C41" s="8"/>
      <c r="D41" s="26"/>
      <c r="E41" s="27"/>
      <c r="F41" s="36"/>
      <c r="G41" s="36"/>
      <c r="H41" s="36"/>
      <c r="I41" s="36"/>
      <c r="J41" s="37" t="str">
        <f aca="false">IF($E41="","",IFERROR(G41/F41,""))</f>
        <v/>
      </c>
      <c r="K41" s="30" t="str">
        <f aca="false">IF($E41="","",IFERROR(E41/G41,""))</f>
        <v/>
      </c>
      <c r="L41" s="30" t="str">
        <f aca="false">IF($E41="","",IFERROR(E41/F41*1000,""))</f>
        <v/>
      </c>
      <c r="M41" s="37" t="str">
        <f aca="false">IF($E41="","",IFERROR(H41/G41,""))</f>
        <v/>
      </c>
      <c r="N41" s="30" t="str">
        <f aca="false">IF($E41="","",IFERROR(E41/H41,"—"))</f>
        <v/>
      </c>
      <c r="O41" s="30" t="str">
        <f aca="false">IF($E41="","",IFERROR(INDEX('Гео-калькулятор'!$K$7:$K$13,MATCH($C41,'Гео-калькулятор'!$B$7:$B$13,0)),""))</f>
        <v/>
      </c>
      <c r="P41" s="38" t="str">
        <f aca="false">IF($E41="","",IFERROR(N41/O41,""))</f>
        <v/>
      </c>
      <c r="Q41" s="39" t="str">
        <f aca="false">IF($E41="","",IF($I41&lt;&gt;"",$I41,N($H41)*IFERROR(INDEX('Гео-калькулятор'!$E$7:$E$13,MATCH($C41,'Гео-калькулятор'!$B$7:$B$13,0)),0)))</f>
        <v/>
      </c>
      <c r="R41" s="38" t="str">
        <f aca="false">IF($E41="","",IFERROR(Q41/H41,""))</f>
        <v/>
      </c>
      <c r="S41" s="30" t="str">
        <f aca="false">IF($E41="","",IFERROR(E41/Q41,"—"))</f>
        <v/>
      </c>
      <c r="T41" s="30" t="str">
        <f aca="false">IF($E41="","",Q41*IFERROR(INDEX('Гео-калькулятор'!$D$7:$D$13,MATCH($C41,'Гео-калькулятор'!$B$7:$B$13,0)),0))</f>
        <v/>
      </c>
      <c r="U41" s="40" t="str">
        <f aca="false">IF($E41="","",T41-E41)</f>
        <v/>
      </c>
      <c r="V41" s="41" t="str">
        <f aca="false">IF($E41="","",IFERROR(U41/E41,""))</f>
        <v/>
      </c>
      <c r="W41" s="10" t="str">
        <f aca="false">IF($E41="","",IF($I41&lt;&gt;"","факт","прогноз"))</f>
        <v/>
      </c>
      <c r="X41" s="1"/>
      <c r="Y41" s="1"/>
      <c r="Z41" s="1"/>
      <c r="AA41" s="1"/>
      <c r="AB41" s="1"/>
      <c r="AC41" s="1"/>
      <c r="AD41" s="1"/>
    </row>
    <row r="42" customFormat="false" ht="18" hidden="false" customHeight="true" outlineLevel="0" collapsed="false">
      <c r="A42" s="1"/>
      <c r="B42" s="35"/>
      <c r="C42" s="8"/>
      <c r="D42" s="26"/>
      <c r="E42" s="27"/>
      <c r="F42" s="36"/>
      <c r="G42" s="36"/>
      <c r="H42" s="36"/>
      <c r="I42" s="36"/>
      <c r="J42" s="37" t="str">
        <f aca="false">IF($E42="","",IFERROR(G42/F42,""))</f>
        <v/>
      </c>
      <c r="K42" s="30" t="str">
        <f aca="false">IF($E42="","",IFERROR(E42/G42,""))</f>
        <v/>
      </c>
      <c r="L42" s="30" t="str">
        <f aca="false">IF($E42="","",IFERROR(E42/F42*1000,""))</f>
        <v/>
      </c>
      <c r="M42" s="37" t="str">
        <f aca="false">IF($E42="","",IFERROR(H42/G42,""))</f>
        <v/>
      </c>
      <c r="N42" s="30" t="str">
        <f aca="false">IF($E42="","",IFERROR(E42/H42,"—"))</f>
        <v/>
      </c>
      <c r="O42" s="30" t="str">
        <f aca="false">IF($E42="","",IFERROR(INDEX('Гео-калькулятор'!$K$7:$K$13,MATCH($C42,'Гео-калькулятор'!$B$7:$B$13,0)),""))</f>
        <v/>
      </c>
      <c r="P42" s="38" t="str">
        <f aca="false">IF($E42="","",IFERROR(N42/O42,""))</f>
        <v/>
      </c>
      <c r="Q42" s="39" t="str">
        <f aca="false">IF($E42="","",IF($I42&lt;&gt;"",$I42,N($H42)*IFERROR(INDEX('Гео-калькулятор'!$E$7:$E$13,MATCH($C42,'Гео-калькулятор'!$B$7:$B$13,0)),0)))</f>
        <v/>
      </c>
      <c r="R42" s="38" t="str">
        <f aca="false">IF($E42="","",IFERROR(Q42/H42,""))</f>
        <v/>
      </c>
      <c r="S42" s="30" t="str">
        <f aca="false">IF($E42="","",IFERROR(E42/Q42,"—"))</f>
        <v/>
      </c>
      <c r="T42" s="30" t="str">
        <f aca="false">IF($E42="","",Q42*IFERROR(INDEX('Гео-калькулятор'!$D$7:$D$13,MATCH($C42,'Гео-калькулятор'!$B$7:$B$13,0)),0))</f>
        <v/>
      </c>
      <c r="U42" s="40" t="str">
        <f aca="false">IF($E42="","",T42-E42)</f>
        <v/>
      </c>
      <c r="V42" s="41" t="str">
        <f aca="false">IF($E42="","",IFERROR(U42/E42,""))</f>
        <v/>
      </c>
      <c r="W42" s="10" t="str">
        <f aca="false">IF($E42="","",IF($I42&lt;&gt;"","факт","прогноз"))</f>
        <v/>
      </c>
      <c r="X42" s="1"/>
      <c r="Y42" s="1"/>
      <c r="Z42" s="1"/>
      <c r="AA42" s="1"/>
      <c r="AB42" s="1"/>
      <c r="AC42" s="1"/>
      <c r="AD42" s="1"/>
    </row>
    <row r="43" customFormat="false" ht="18" hidden="false" customHeight="true" outlineLevel="0" collapsed="false">
      <c r="A43" s="1"/>
      <c r="B43" s="35"/>
      <c r="C43" s="8"/>
      <c r="D43" s="26"/>
      <c r="E43" s="27"/>
      <c r="F43" s="36"/>
      <c r="G43" s="36"/>
      <c r="H43" s="36"/>
      <c r="I43" s="36"/>
      <c r="J43" s="37" t="str">
        <f aca="false">IF($E43="","",IFERROR(G43/F43,""))</f>
        <v/>
      </c>
      <c r="K43" s="30" t="str">
        <f aca="false">IF($E43="","",IFERROR(E43/G43,""))</f>
        <v/>
      </c>
      <c r="L43" s="30" t="str">
        <f aca="false">IF($E43="","",IFERROR(E43/F43*1000,""))</f>
        <v/>
      </c>
      <c r="M43" s="37" t="str">
        <f aca="false">IF($E43="","",IFERROR(H43/G43,""))</f>
        <v/>
      </c>
      <c r="N43" s="30" t="str">
        <f aca="false">IF($E43="","",IFERROR(E43/H43,"—"))</f>
        <v/>
      </c>
      <c r="O43" s="30" t="str">
        <f aca="false">IF($E43="","",IFERROR(INDEX('Гео-калькулятор'!$K$7:$K$13,MATCH($C43,'Гео-калькулятор'!$B$7:$B$13,0)),""))</f>
        <v/>
      </c>
      <c r="P43" s="38" t="str">
        <f aca="false">IF($E43="","",IFERROR(N43/O43,""))</f>
        <v/>
      </c>
      <c r="Q43" s="39" t="str">
        <f aca="false">IF($E43="","",IF($I43&lt;&gt;"",$I43,N($H43)*IFERROR(INDEX('Гео-калькулятор'!$E$7:$E$13,MATCH($C43,'Гео-калькулятор'!$B$7:$B$13,0)),0)))</f>
        <v/>
      </c>
      <c r="R43" s="38" t="str">
        <f aca="false">IF($E43="","",IFERROR(Q43/H43,""))</f>
        <v/>
      </c>
      <c r="S43" s="30" t="str">
        <f aca="false">IF($E43="","",IFERROR(E43/Q43,"—"))</f>
        <v/>
      </c>
      <c r="T43" s="30" t="str">
        <f aca="false">IF($E43="","",Q43*IFERROR(INDEX('Гео-калькулятор'!$D$7:$D$13,MATCH($C43,'Гео-калькулятор'!$B$7:$B$13,0)),0))</f>
        <v/>
      </c>
      <c r="U43" s="40" t="str">
        <f aca="false">IF($E43="","",T43-E43)</f>
        <v/>
      </c>
      <c r="V43" s="41" t="str">
        <f aca="false">IF($E43="","",IFERROR(U43/E43,""))</f>
        <v/>
      </c>
      <c r="W43" s="10" t="str">
        <f aca="false">IF($E43="","",IF($I43&lt;&gt;"","факт","прогноз"))</f>
        <v/>
      </c>
      <c r="X43" s="1"/>
      <c r="Y43" s="1"/>
      <c r="Z43" s="1"/>
      <c r="AA43" s="1"/>
      <c r="AB43" s="1"/>
      <c r="AC43" s="1"/>
      <c r="AD43" s="1"/>
    </row>
    <row r="44" customFormat="false" ht="18" hidden="false" customHeight="true" outlineLevel="0" collapsed="false">
      <c r="A44" s="1"/>
      <c r="B44" s="35"/>
      <c r="C44" s="8"/>
      <c r="D44" s="26"/>
      <c r="E44" s="27"/>
      <c r="F44" s="36"/>
      <c r="G44" s="36"/>
      <c r="H44" s="36"/>
      <c r="I44" s="36"/>
      <c r="J44" s="37" t="str">
        <f aca="false">IF($E44="","",IFERROR(G44/F44,""))</f>
        <v/>
      </c>
      <c r="K44" s="30" t="str">
        <f aca="false">IF($E44="","",IFERROR(E44/G44,""))</f>
        <v/>
      </c>
      <c r="L44" s="30" t="str">
        <f aca="false">IF($E44="","",IFERROR(E44/F44*1000,""))</f>
        <v/>
      </c>
      <c r="M44" s="37" t="str">
        <f aca="false">IF($E44="","",IFERROR(H44/G44,""))</f>
        <v/>
      </c>
      <c r="N44" s="30" t="str">
        <f aca="false">IF($E44="","",IFERROR(E44/H44,"—"))</f>
        <v/>
      </c>
      <c r="O44" s="30" t="str">
        <f aca="false">IF($E44="","",IFERROR(INDEX('Гео-калькулятор'!$K$7:$K$13,MATCH($C44,'Гео-калькулятор'!$B$7:$B$13,0)),""))</f>
        <v/>
      </c>
      <c r="P44" s="38" t="str">
        <f aca="false">IF($E44="","",IFERROR(N44/O44,""))</f>
        <v/>
      </c>
      <c r="Q44" s="39" t="str">
        <f aca="false">IF($E44="","",IF($I44&lt;&gt;"",$I44,N($H44)*IFERROR(INDEX('Гео-калькулятор'!$E$7:$E$13,MATCH($C44,'Гео-калькулятор'!$B$7:$B$13,0)),0)))</f>
        <v/>
      </c>
      <c r="R44" s="38" t="str">
        <f aca="false">IF($E44="","",IFERROR(Q44/H44,""))</f>
        <v/>
      </c>
      <c r="S44" s="30" t="str">
        <f aca="false">IF($E44="","",IFERROR(E44/Q44,"—"))</f>
        <v/>
      </c>
      <c r="T44" s="30" t="str">
        <f aca="false">IF($E44="","",Q44*IFERROR(INDEX('Гео-калькулятор'!$D$7:$D$13,MATCH($C44,'Гео-калькулятор'!$B$7:$B$13,0)),0))</f>
        <v/>
      </c>
      <c r="U44" s="40" t="str">
        <f aca="false">IF($E44="","",T44-E44)</f>
        <v/>
      </c>
      <c r="V44" s="41" t="str">
        <f aca="false">IF($E44="","",IFERROR(U44/E44,""))</f>
        <v/>
      </c>
      <c r="W44" s="10" t="str">
        <f aca="false">IF($E44="","",IF($I44&lt;&gt;"","факт","прогноз"))</f>
        <v/>
      </c>
      <c r="X44" s="1"/>
      <c r="Y44" s="1"/>
      <c r="Z44" s="1"/>
      <c r="AA44" s="1"/>
      <c r="AB44" s="1"/>
      <c r="AC44" s="1"/>
      <c r="AD44" s="1"/>
    </row>
    <row r="45" customFormat="false" ht="18" hidden="false" customHeight="true" outlineLevel="0" collapsed="false">
      <c r="A45" s="1"/>
      <c r="B45" s="35"/>
      <c r="C45" s="8"/>
      <c r="D45" s="26"/>
      <c r="E45" s="27"/>
      <c r="F45" s="36"/>
      <c r="G45" s="36"/>
      <c r="H45" s="36"/>
      <c r="I45" s="36"/>
      <c r="J45" s="37" t="str">
        <f aca="false">IF($E45="","",IFERROR(G45/F45,""))</f>
        <v/>
      </c>
      <c r="K45" s="30" t="str">
        <f aca="false">IF($E45="","",IFERROR(E45/G45,""))</f>
        <v/>
      </c>
      <c r="L45" s="30" t="str">
        <f aca="false">IF($E45="","",IFERROR(E45/F45*1000,""))</f>
        <v/>
      </c>
      <c r="M45" s="37" t="str">
        <f aca="false">IF($E45="","",IFERROR(H45/G45,""))</f>
        <v/>
      </c>
      <c r="N45" s="30" t="str">
        <f aca="false">IF($E45="","",IFERROR(E45/H45,"—"))</f>
        <v/>
      </c>
      <c r="O45" s="30" t="str">
        <f aca="false">IF($E45="","",IFERROR(INDEX('Гео-калькулятор'!$K$7:$K$13,MATCH($C45,'Гео-калькулятор'!$B$7:$B$13,0)),""))</f>
        <v/>
      </c>
      <c r="P45" s="38" t="str">
        <f aca="false">IF($E45="","",IFERROR(N45/O45,""))</f>
        <v/>
      </c>
      <c r="Q45" s="39" t="str">
        <f aca="false">IF($E45="","",IF($I45&lt;&gt;"",$I45,N($H45)*IFERROR(INDEX('Гео-калькулятор'!$E$7:$E$13,MATCH($C45,'Гео-калькулятор'!$B$7:$B$13,0)),0)))</f>
        <v/>
      </c>
      <c r="R45" s="38" t="str">
        <f aca="false">IF($E45="","",IFERROR(Q45/H45,""))</f>
        <v/>
      </c>
      <c r="S45" s="30" t="str">
        <f aca="false">IF($E45="","",IFERROR(E45/Q45,"—"))</f>
        <v/>
      </c>
      <c r="T45" s="30" t="str">
        <f aca="false">IF($E45="","",Q45*IFERROR(INDEX('Гео-калькулятор'!$D$7:$D$13,MATCH($C45,'Гео-калькулятор'!$B$7:$B$13,0)),0))</f>
        <v/>
      </c>
      <c r="U45" s="40" t="str">
        <f aca="false">IF($E45="","",T45-E45)</f>
        <v/>
      </c>
      <c r="V45" s="41" t="str">
        <f aca="false">IF($E45="","",IFERROR(U45/E45,""))</f>
        <v/>
      </c>
      <c r="W45" s="10" t="str">
        <f aca="false">IF($E45="","",IF($I45&lt;&gt;"","факт","прогноз"))</f>
        <v/>
      </c>
      <c r="X45" s="1"/>
      <c r="Y45" s="1"/>
      <c r="Z45" s="1"/>
      <c r="AA45" s="1"/>
      <c r="AB45" s="1"/>
      <c r="AC45" s="1"/>
      <c r="AD45" s="1"/>
    </row>
    <row r="46" customFormat="false" ht="18" hidden="false" customHeight="true" outlineLevel="0" collapsed="false">
      <c r="A46" s="1"/>
      <c r="B46" s="35"/>
      <c r="C46" s="8"/>
      <c r="D46" s="26"/>
      <c r="E46" s="27"/>
      <c r="F46" s="36"/>
      <c r="G46" s="36"/>
      <c r="H46" s="36"/>
      <c r="I46" s="36"/>
      <c r="J46" s="37" t="str">
        <f aca="false">IF($E46="","",IFERROR(G46/F46,""))</f>
        <v/>
      </c>
      <c r="K46" s="30" t="str">
        <f aca="false">IF($E46="","",IFERROR(E46/G46,""))</f>
        <v/>
      </c>
      <c r="L46" s="30" t="str">
        <f aca="false">IF($E46="","",IFERROR(E46/F46*1000,""))</f>
        <v/>
      </c>
      <c r="M46" s="37" t="str">
        <f aca="false">IF($E46="","",IFERROR(H46/G46,""))</f>
        <v/>
      </c>
      <c r="N46" s="30" t="str">
        <f aca="false">IF($E46="","",IFERROR(E46/H46,"—"))</f>
        <v/>
      </c>
      <c r="O46" s="30" t="str">
        <f aca="false">IF($E46="","",IFERROR(INDEX('Гео-калькулятор'!$K$7:$K$13,MATCH($C46,'Гео-калькулятор'!$B$7:$B$13,0)),""))</f>
        <v/>
      </c>
      <c r="P46" s="38" t="str">
        <f aca="false">IF($E46="","",IFERROR(N46/O46,""))</f>
        <v/>
      </c>
      <c r="Q46" s="39" t="str">
        <f aca="false">IF($E46="","",IF($I46&lt;&gt;"",$I46,N($H46)*IFERROR(INDEX('Гео-калькулятор'!$E$7:$E$13,MATCH($C46,'Гео-калькулятор'!$B$7:$B$13,0)),0)))</f>
        <v/>
      </c>
      <c r="R46" s="38" t="str">
        <f aca="false">IF($E46="","",IFERROR(Q46/H46,""))</f>
        <v/>
      </c>
      <c r="S46" s="30" t="str">
        <f aca="false">IF($E46="","",IFERROR(E46/Q46,"—"))</f>
        <v/>
      </c>
      <c r="T46" s="30" t="str">
        <f aca="false">IF($E46="","",Q46*IFERROR(INDEX('Гео-калькулятор'!$D$7:$D$13,MATCH($C46,'Гео-калькулятор'!$B$7:$B$13,0)),0))</f>
        <v/>
      </c>
      <c r="U46" s="40" t="str">
        <f aca="false">IF($E46="","",T46-E46)</f>
        <v/>
      </c>
      <c r="V46" s="41" t="str">
        <f aca="false">IF($E46="","",IFERROR(U46/E46,""))</f>
        <v/>
      </c>
      <c r="W46" s="10" t="str">
        <f aca="false">IF($E46="","",IF($I46&lt;&gt;"","факт","прогноз"))</f>
        <v/>
      </c>
      <c r="X46" s="1"/>
      <c r="Y46" s="1"/>
      <c r="Z46" s="1"/>
      <c r="AA46" s="1"/>
      <c r="AB46" s="1"/>
      <c r="AC46" s="1"/>
      <c r="AD46" s="1"/>
    </row>
    <row r="47" customFormat="false" ht="18" hidden="false" customHeight="true" outlineLevel="0" collapsed="false">
      <c r="A47" s="1"/>
      <c r="B47" s="35"/>
      <c r="C47" s="8"/>
      <c r="D47" s="26"/>
      <c r="E47" s="27"/>
      <c r="F47" s="36"/>
      <c r="G47" s="36"/>
      <c r="H47" s="36"/>
      <c r="I47" s="36"/>
      <c r="J47" s="37" t="str">
        <f aca="false">IF($E47="","",IFERROR(G47/F47,""))</f>
        <v/>
      </c>
      <c r="K47" s="30" t="str">
        <f aca="false">IF($E47="","",IFERROR(E47/G47,""))</f>
        <v/>
      </c>
      <c r="L47" s="30" t="str">
        <f aca="false">IF($E47="","",IFERROR(E47/F47*1000,""))</f>
        <v/>
      </c>
      <c r="M47" s="37" t="str">
        <f aca="false">IF($E47="","",IFERROR(H47/G47,""))</f>
        <v/>
      </c>
      <c r="N47" s="30" t="str">
        <f aca="false">IF($E47="","",IFERROR(E47/H47,"—"))</f>
        <v/>
      </c>
      <c r="O47" s="30" t="str">
        <f aca="false">IF($E47="","",IFERROR(INDEX('Гео-калькулятор'!$K$7:$K$13,MATCH($C47,'Гео-калькулятор'!$B$7:$B$13,0)),""))</f>
        <v/>
      </c>
      <c r="P47" s="38" t="str">
        <f aca="false">IF($E47="","",IFERROR(N47/O47,""))</f>
        <v/>
      </c>
      <c r="Q47" s="39" t="str">
        <f aca="false">IF($E47="","",IF($I47&lt;&gt;"",$I47,N($H47)*IFERROR(INDEX('Гео-калькулятор'!$E$7:$E$13,MATCH($C47,'Гео-калькулятор'!$B$7:$B$13,0)),0)))</f>
        <v/>
      </c>
      <c r="R47" s="38" t="str">
        <f aca="false">IF($E47="","",IFERROR(Q47/H47,""))</f>
        <v/>
      </c>
      <c r="S47" s="30" t="str">
        <f aca="false">IF($E47="","",IFERROR(E47/Q47,"—"))</f>
        <v/>
      </c>
      <c r="T47" s="30" t="str">
        <f aca="false">IF($E47="","",Q47*IFERROR(INDEX('Гео-калькулятор'!$D$7:$D$13,MATCH($C47,'Гео-калькулятор'!$B$7:$B$13,0)),0))</f>
        <v/>
      </c>
      <c r="U47" s="40" t="str">
        <f aca="false">IF($E47="","",T47-E47)</f>
        <v/>
      </c>
      <c r="V47" s="41" t="str">
        <f aca="false">IF($E47="","",IFERROR(U47/E47,""))</f>
        <v/>
      </c>
      <c r="W47" s="10" t="str">
        <f aca="false">IF($E47="","",IF($I47&lt;&gt;"","факт","прогноз"))</f>
        <v/>
      </c>
      <c r="X47" s="1"/>
      <c r="Y47" s="1"/>
      <c r="Z47" s="1"/>
      <c r="AA47" s="1"/>
      <c r="AB47" s="1"/>
      <c r="AC47" s="1"/>
      <c r="AD47" s="1"/>
    </row>
    <row r="48" customFormat="false" ht="18" hidden="false" customHeight="true" outlineLevel="0" collapsed="false">
      <c r="A48" s="1"/>
      <c r="B48" s="35"/>
      <c r="C48" s="8"/>
      <c r="D48" s="26"/>
      <c r="E48" s="27"/>
      <c r="F48" s="36"/>
      <c r="G48" s="36"/>
      <c r="H48" s="36"/>
      <c r="I48" s="36"/>
      <c r="J48" s="37" t="str">
        <f aca="false">IF($E48="","",IFERROR(G48/F48,""))</f>
        <v/>
      </c>
      <c r="K48" s="30" t="str">
        <f aca="false">IF($E48="","",IFERROR(E48/G48,""))</f>
        <v/>
      </c>
      <c r="L48" s="30" t="str">
        <f aca="false">IF($E48="","",IFERROR(E48/F48*1000,""))</f>
        <v/>
      </c>
      <c r="M48" s="37" t="str">
        <f aca="false">IF($E48="","",IFERROR(H48/G48,""))</f>
        <v/>
      </c>
      <c r="N48" s="30" t="str">
        <f aca="false">IF($E48="","",IFERROR(E48/H48,"—"))</f>
        <v/>
      </c>
      <c r="O48" s="30" t="str">
        <f aca="false">IF($E48="","",IFERROR(INDEX('Гео-калькулятор'!$K$7:$K$13,MATCH($C48,'Гео-калькулятор'!$B$7:$B$13,0)),""))</f>
        <v/>
      </c>
      <c r="P48" s="38" t="str">
        <f aca="false">IF($E48="","",IFERROR(N48/O48,""))</f>
        <v/>
      </c>
      <c r="Q48" s="39" t="str">
        <f aca="false">IF($E48="","",IF($I48&lt;&gt;"",$I48,N($H48)*IFERROR(INDEX('Гео-калькулятор'!$E$7:$E$13,MATCH($C48,'Гео-калькулятор'!$B$7:$B$13,0)),0)))</f>
        <v/>
      </c>
      <c r="R48" s="38" t="str">
        <f aca="false">IF($E48="","",IFERROR(Q48/H48,""))</f>
        <v/>
      </c>
      <c r="S48" s="30" t="str">
        <f aca="false">IF($E48="","",IFERROR(E48/Q48,"—"))</f>
        <v/>
      </c>
      <c r="T48" s="30" t="str">
        <f aca="false">IF($E48="","",Q48*IFERROR(INDEX('Гео-калькулятор'!$D$7:$D$13,MATCH($C48,'Гео-калькулятор'!$B$7:$B$13,0)),0))</f>
        <v/>
      </c>
      <c r="U48" s="40" t="str">
        <f aca="false">IF($E48="","",T48-E48)</f>
        <v/>
      </c>
      <c r="V48" s="41" t="str">
        <f aca="false">IF($E48="","",IFERROR(U48/E48,""))</f>
        <v/>
      </c>
      <c r="W48" s="10" t="str">
        <f aca="false">IF($E48="","",IF($I48&lt;&gt;"","факт","прогноз"))</f>
        <v/>
      </c>
      <c r="X48" s="1"/>
      <c r="Y48" s="1"/>
      <c r="Z48" s="1"/>
      <c r="AA48" s="1"/>
      <c r="AB48" s="1"/>
      <c r="AC48" s="1"/>
      <c r="AD48" s="1"/>
    </row>
    <row r="49" customFormat="false" ht="18" hidden="false" customHeight="true" outlineLevel="0" collapsed="false">
      <c r="A49" s="1"/>
      <c r="B49" s="35"/>
      <c r="C49" s="8"/>
      <c r="D49" s="26"/>
      <c r="E49" s="27"/>
      <c r="F49" s="36"/>
      <c r="G49" s="36"/>
      <c r="H49" s="36"/>
      <c r="I49" s="36"/>
      <c r="J49" s="37" t="str">
        <f aca="false">IF($E49="","",IFERROR(G49/F49,""))</f>
        <v/>
      </c>
      <c r="K49" s="30" t="str">
        <f aca="false">IF($E49="","",IFERROR(E49/G49,""))</f>
        <v/>
      </c>
      <c r="L49" s="30" t="str">
        <f aca="false">IF($E49="","",IFERROR(E49/F49*1000,""))</f>
        <v/>
      </c>
      <c r="M49" s="37" t="str">
        <f aca="false">IF($E49="","",IFERROR(H49/G49,""))</f>
        <v/>
      </c>
      <c r="N49" s="30" t="str">
        <f aca="false">IF($E49="","",IFERROR(E49/H49,"—"))</f>
        <v/>
      </c>
      <c r="O49" s="30" t="str">
        <f aca="false">IF($E49="","",IFERROR(INDEX('Гео-калькулятор'!$K$7:$K$13,MATCH($C49,'Гео-калькулятор'!$B$7:$B$13,0)),""))</f>
        <v/>
      </c>
      <c r="P49" s="38" t="str">
        <f aca="false">IF($E49="","",IFERROR(N49/O49,""))</f>
        <v/>
      </c>
      <c r="Q49" s="39" t="str">
        <f aca="false">IF($E49="","",IF($I49&lt;&gt;"",$I49,N($H49)*IFERROR(INDEX('Гео-калькулятор'!$E$7:$E$13,MATCH($C49,'Гео-калькулятор'!$B$7:$B$13,0)),0)))</f>
        <v/>
      </c>
      <c r="R49" s="38" t="str">
        <f aca="false">IF($E49="","",IFERROR(Q49/H49,""))</f>
        <v/>
      </c>
      <c r="S49" s="30" t="str">
        <f aca="false">IF($E49="","",IFERROR(E49/Q49,"—"))</f>
        <v/>
      </c>
      <c r="T49" s="30" t="str">
        <f aca="false">IF($E49="","",Q49*IFERROR(INDEX('Гео-калькулятор'!$D$7:$D$13,MATCH($C49,'Гео-калькулятор'!$B$7:$B$13,0)),0))</f>
        <v/>
      </c>
      <c r="U49" s="40" t="str">
        <f aca="false">IF($E49="","",T49-E49)</f>
        <v/>
      </c>
      <c r="V49" s="41" t="str">
        <f aca="false">IF($E49="","",IFERROR(U49/E49,""))</f>
        <v/>
      </c>
      <c r="W49" s="10" t="str">
        <f aca="false">IF($E49="","",IF($I49&lt;&gt;"","факт","прогноз"))</f>
        <v/>
      </c>
      <c r="X49" s="1"/>
      <c r="Y49" s="1"/>
      <c r="Z49" s="1"/>
      <c r="AA49" s="1"/>
      <c r="AB49" s="1"/>
      <c r="AC49" s="1"/>
      <c r="AD49" s="1"/>
    </row>
    <row r="50" customFormat="false" ht="18" hidden="false" customHeight="true" outlineLevel="0" collapsed="false">
      <c r="A50" s="1"/>
      <c r="B50" s="35"/>
      <c r="C50" s="8"/>
      <c r="D50" s="26"/>
      <c r="E50" s="27"/>
      <c r="F50" s="36"/>
      <c r="G50" s="36"/>
      <c r="H50" s="36"/>
      <c r="I50" s="36"/>
      <c r="J50" s="37" t="str">
        <f aca="false">IF($E50="","",IFERROR(G50/F50,""))</f>
        <v/>
      </c>
      <c r="K50" s="30" t="str">
        <f aca="false">IF($E50="","",IFERROR(E50/G50,""))</f>
        <v/>
      </c>
      <c r="L50" s="30" t="str">
        <f aca="false">IF($E50="","",IFERROR(E50/F50*1000,""))</f>
        <v/>
      </c>
      <c r="M50" s="37" t="str">
        <f aca="false">IF($E50="","",IFERROR(H50/G50,""))</f>
        <v/>
      </c>
      <c r="N50" s="30" t="str">
        <f aca="false">IF($E50="","",IFERROR(E50/H50,"—"))</f>
        <v/>
      </c>
      <c r="O50" s="30" t="str">
        <f aca="false">IF($E50="","",IFERROR(INDEX('Гео-калькулятор'!$K$7:$K$13,MATCH($C50,'Гео-калькулятор'!$B$7:$B$13,0)),""))</f>
        <v/>
      </c>
      <c r="P50" s="38" t="str">
        <f aca="false">IF($E50="","",IFERROR(N50/O50,""))</f>
        <v/>
      </c>
      <c r="Q50" s="39" t="str">
        <f aca="false">IF($E50="","",IF($I50&lt;&gt;"",$I50,N($H50)*IFERROR(INDEX('Гео-калькулятор'!$E$7:$E$13,MATCH($C50,'Гео-калькулятор'!$B$7:$B$13,0)),0)))</f>
        <v/>
      </c>
      <c r="R50" s="38" t="str">
        <f aca="false">IF($E50="","",IFERROR(Q50/H50,""))</f>
        <v/>
      </c>
      <c r="S50" s="30" t="str">
        <f aca="false">IF($E50="","",IFERROR(E50/Q50,"—"))</f>
        <v/>
      </c>
      <c r="T50" s="30" t="str">
        <f aca="false">IF($E50="","",Q50*IFERROR(INDEX('Гео-калькулятор'!$D$7:$D$13,MATCH($C50,'Гео-калькулятор'!$B$7:$B$13,0)),0))</f>
        <v/>
      </c>
      <c r="U50" s="40" t="str">
        <f aca="false">IF($E50="","",T50-E50)</f>
        <v/>
      </c>
      <c r="V50" s="41" t="str">
        <f aca="false">IF($E50="","",IFERROR(U50/E50,""))</f>
        <v/>
      </c>
      <c r="W50" s="10" t="str">
        <f aca="false">IF($E50="","",IF($I50&lt;&gt;"","факт","прогноз"))</f>
        <v/>
      </c>
      <c r="X50" s="1"/>
      <c r="Y50" s="1"/>
      <c r="Z50" s="1"/>
      <c r="AA50" s="1"/>
      <c r="AB50" s="1"/>
      <c r="AC50" s="1"/>
      <c r="AD50" s="1"/>
    </row>
    <row r="51" customFormat="false" ht="18" hidden="false" customHeight="true" outlineLevel="0" collapsed="false">
      <c r="A51" s="1"/>
      <c r="B51" s="35"/>
      <c r="C51" s="8"/>
      <c r="D51" s="26"/>
      <c r="E51" s="27"/>
      <c r="F51" s="36"/>
      <c r="G51" s="36"/>
      <c r="H51" s="36"/>
      <c r="I51" s="36"/>
      <c r="J51" s="37" t="str">
        <f aca="false">IF($E51="","",IFERROR(G51/F51,""))</f>
        <v/>
      </c>
      <c r="K51" s="30" t="str">
        <f aca="false">IF($E51="","",IFERROR(E51/G51,""))</f>
        <v/>
      </c>
      <c r="L51" s="30" t="str">
        <f aca="false">IF($E51="","",IFERROR(E51/F51*1000,""))</f>
        <v/>
      </c>
      <c r="M51" s="37" t="str">
        <f aca="false">IF($E51="","",IFERROR(H51/G51,""))</f>
        <v/>
      </c>
      <c r="N51" s="30" t="str">
        <f aca="false">IF($E51="","",IFERROR(E51/H51,"—"))</f>
        <v/>
      </c>
      <c r="O51" s="30" t="str">
        <f aca="false">IF($E51="","",IFERROR(INDEX('Гео-калькулятор'!$K$7:$K$13,MATCH($C51,'Гео-калькулятор'!$B$7:$B$13,0)),""))</f>
        <v/>
      </c>
      <c r="P51" s="38" t="str">
        <f aca="false">IF($E51="","",IFERROR(N51/O51,""))</f>
        <v/>
      </c>
      <c r="Q51" s="39" t="str">
        <f aca="false">IF($E51="","",IF($I51&lt;&gt;"",$I51,N($H51)*IFERROR(INDEX('Гео-калькулятор'!$E$7:$E$13,MATCH($C51,'Гео-калькулятор'!$B$7:$B$13,0)),0)))</f>
        <v/>
      </c>
      <c r="R51" s="38" t="str">
        <f aca="false">IF($E51="","",IFERROR(Q51/H51,""))</f>
        <v/>
      </c>
      <c r="S51" s="30" t="str">
        <f aca="false">IF($E51="","",IFERROR(E51/Q51,"—"))</f>
        <v/>
      </c>
      <c r="T51" s="30" t="str">
        <f aca="false">IF($E51="","",Q51*IFERROR(INDEX('Гео-калькулятор'!$D$7:$D$13,MATCH($C51,'Гео-калькулятор'!$B$7:$B$13,0)),0))</f>
        <v/>
      </c>
      <c r="U51" s="40" t="str">
        <f aca="false">IF($E51="","",T51-E51)</f>
        <v/>
      </c>
      <c r="V51" s="41" t="str">
        <f aca="false">IF($E51="","",IFERROR(U51/E51,""))</f>
        <v/>
      </c>
      <c r="W51" s="10" t="str">
        <f aca="false">IF($E51="","",IF($I51&lt;&gt;"","факт","прогноз"))</f>
        <v/>
      </c>
      <c r="X51" s="1"/>
      <c r="Y51" s="1"/>
      <c r="Z51" s="1"/>
      <c r="AA51" s="1"/>
      <c r="AB51" s="1"/>
      <c r="AC51" s="1"/>
      <c r="AD51" s="1"/>
    </row>
    <row r="52" customFormat="false" ht="18" hidden="false" customHeight="true" outlineLevel="0" collapsed="false">
      <c r="A52" s="1"/>
      <c r="B52" s="35"/>
      <c r="C52" s="8"/>
      <c r="D52" s="26"/>
      <c r="E52" s="27"/>
      <c r="F52" s="36"/>
      <c r="G52" s="36"/>
      <c r="H52" s="36"/>
      <c r="I52" s="36"/>
      <c r="J52" s="37" t="str">
        <f aca="false">IF($E52="","",IFERROR(G52/F52,""))</f>
        <v/>
      </c>
      <c r="K52" s="30" t="str">
        <f aca="false">IF($E52="","",IFERROR(E52/G52,""))</f>
        <v/>
      </c>
      <c r="L52" s="30" t="str">
        <f aca="false">IF($E52="","",IFERROR(E52/F52*1000,""))</f>
        <v/>
      </c>
      <c r="M52" s="37" t="str">
        <f aca="false">IF($E52="","",IFERROR(H52/G52,""))</f>
        <v/>
      </c>
      <c r="N52" s="30" t="str">
        <f aca="false">IF($E52="","",IFERROR(E52/H52,"—"))</f>
        <v/>
      </c>
      <c r="O52" s="30" t="str">
        <f aca="false">IF($E52="","",IFERROR(INDEX('Гео-калькулятор'!$K$7:$K$13,MATCH($C52,'Гео-калькулятор'!$B$7:$B$13,0)),""))</f>
        <v/>
      </c>
      <c r="P52" s="38" t="str">
        <f aca="false">IF($E52="","",IFERROR(N52/O52,""))</f>
        <v/>
      </c>
      <c r="Q52" s="39" t="str">
        <f aca="false">IF($E52="","",IF($I52&lt;&gt;"",$I52,N($H52)*IFERROR(INDEX('Гео-калькулятор'!$E$7:$E$13,MATCH($C52,'Гео-калькулятор'!$B$7:$B$13,0)),0)))</f>
        <v/>
      </c>
      <c r="R52" s="38" t="str">
        <f aca="false">IF($E52="","",IFERROR(Q52/H52,""))</f>
        <v/>
      </c>
      <c r="S52" s="30" t="str">
        <f aca="false">IF($E52="","",IFERROR(E52/Q52,"—"))</f>
        <v/>
      </c>
      <c r="T52" s="30" t="str">
        <f aca="false">IF($E52="","",Q52*IFERROR(INDEX('Гео-калькулятор'!$D$7:$D$13,MATCH($C52,'Гео-калькулятор'!$B$7:$B$13,0)),0))</f>
        <v/>
      </c>
      <c r="U52" s="40" t="str">
        <f aca="false">IF($E52="","",T52-E52)</f>
        <v/>
      </c>
      <c r="V52" s="41" t="str">
        <f aca="false">IF($E52="","",IFERROR(U52/E52,""))</f>
        <v/>
      </c>
      <c r="W52" s="10" t="str">
        <f aca="false">IF($E52="","",IF($I52&lt;&gt;"","факт","прогноз"))</f>
        <v/>
      </c>
      <c r="X52" s="1"/>
      <c r="Y52" s="1"/>
      <c r="Z52" s="1"/>
      <c r="AA52" s="1"/>
      <c r="AB52" s="1"/>
      <c r="AC52" s="1"/>
      <c r="AD52" s="1"/>
    </row>
    <row r="53" customFormat="false" ht="18" hidden="false" customHeight="true" outlineLevel="0" collapsed="false">
      <c r="A53" s="1"/>
      <c r="B53" s="35"/>
      <c r="C53" s="8"/>
      <c r="D53" s="26"/>
      <c r="E53" s="27"/>
      <c r="F53" s="36"/>
      <c r="G53" s="36"/>
      <c r="H53" s="36"/>
      <c r="I53" s="36"/>
      <c r="J53" s="37" t="str">
        <f aca="false">IF($E53="","",IFERROR(G53/F53,""))</f>
        <v/>
      </c>
      <c r="K53" s="30" t="str">
        <f aca="false">IF($E53="","",IFERROR(E53/G53,""))</f>
        <v/>
      </c>
      <c r="L53" s="30" t="str">
        <f aca="false">IF($E53="","",IFERROR(E53/F53*1000,""))</f>
        <v/>
      </c>
      <c r="M53" s="37" t="str">
        <f aca="false">IF($E53="","",IFERROR(H53/G53,""))</f>
        <v/>
      </c>
      <c r="N53" s="30" t="str">
        <f aca="false">IF($E53="","",IFERROR(E53/H53,"—"))</f>
        <v/>
      </c>
      <c r="O53" s="30" t="str">
        <f aca="false">IF($E53="","",IFERROR(INDEX('Гео-калькулятор'!$K$7:$K$13,MATCH($C53,'Гео-калькулятор'!$B$7:$B$13,0)),""))</f>
        <v/>
      </c>
      <c r="P53" s="38" t="str">
        <f aca="false">IF($E53="","",IFERROR(N53/O53,""))</f>
        <v/>
      </c>
      <c r="Q53" s="39" t="str">
        <f aca="false">IF($E53="","",IF($I53&lt;&gt;"",$I53,N($H53)*IFERROR(INDEX('Гео-калькулятор'!$E$7:$E$13,MATCH($C53,'Гео-калькулятор'!$B$7:$B$13,0)),0)))</f>
        <v/>
      </c>
      <c r="R53" s="38" t="str">
        <f aca="false">IF($E53="","",IFERROR(Q53/H53,""))</f>
        <v/>
      </c>
      <c r="S53" s="30" t="str">
        <f aca="false">IF($E53="","",IFERROR(E53/Q53,"—"))</f>
        <v/>
      </c>
      <c r="T53" s="30" t="str">
        <f aca="false">IF($E53="","",Q53*IFERROR(INDEX('Гео-калькулятор'!$D$7:$D$13,MATCH($C53,'Гео-калькулятор'!$B$7:$B$13,0)),0))</f>
        <v/>
      </c>
      <c r="U53" s="40" t="str">
        <f aca="false">IF($E53="","",T53-E53)</f>
        <v/>
      </c>
      <c r="V53" s="41" t="str">
        <f aca="false">IF($E53="","",IFERROR(U53/E53,""))</f>
        <v/>
      </c>
      <c r="W53" s="10" t="str">
        <f aca="false">IF($E53="","",IF($I53&lt;&gt;"","факт","прогноз"))</f>
        <v/>
      </c>
      <c r="X53" s="1"/>
      <c r="Y53" s="1"/>
      <c r="Z53" s="1"/>
      <c r="AA53" s="1"/>
      <c r="AB53" s="1"/>
      <c r="AC53" s="1"/>
      <c r="AD53" s="1"/>
    </row>
    <row r="54" customFormat="false" ht="18" hidden="false" customHeight="true" outlineLevel="0" collapsed="false">
      <c r="A54" s="1"/>
      <c r="B54" s="35"/>
      <c r="C54" s="8"/>
      <c r="D54" s="26"/>
      <c r="E54" s="27"/>
      <c r="F54" s="36"/>
      <c r="G54" s="36"/>
      <c r="H54" s="36"/>
      <c r="I54" s="36"/>
      <c r="J54" s="37" t="str">
        <f aca="false">IF($E54="","",IFERROR(G54/F54,""))</f>
        <v/>
      </c>
      <c r="K54" s="30" t="str">
        <f aca="false">IF($E54="","",IFERROR(E54/G54,""))</f>
        <v/>
      </c>
      <c r="L54" s="30" t="str">
        <f aca="false">IF($E54="","",IFERROR(E54/F54*1000,""))</f>
        <v/>
      </c>
      <c r="M54" s="37" t="str">
        <f aca="false">IF($E54="","",IFERROR(H54/G54,""))</f>
        <v/>
      </c>
      <c r="N54" s="30" t="str">
        <f aca="false">IF($E54="","",IFERROR(E54/H54,"—"))</f>
        <v/>
      </c>
      <c r="O54" s="30" t="str">
        <f aca="false">IF($E54="","",IFERROR(INDEX('Гео-калькулятор'!$K$7:$K$13,MATCH($C54,'Гео-калькулятор'!$B$7:$B$13,0)),""))</f>
        <v/>
      </c>
      <c r="P54" s="38" t="str">
        <f aca="false">IF($E54="","",IFERROR(N54/O54,""))</f>
        <v/>
      </c>
      <c r="Q54" s="39" t="str">
        <f aca="false">IF($E54="","",IF($I54&lt;&gt;"",$I54,N($H54)*IFERROR(INDEX('Гео-калькулятор'!$E$7:$E$13,MATCH($C54,'Гео-калькулятор'!$B$7:$B$13,0)),0)))</f>
        <v/>
      </c>
      <c r="R54" s="38" t="str">
        <f aca="false">IF($E54="","",IFERROR(Q54/H54,""))</f>
        <v/>
      </c>
      <c r="S54" s="30" t="str">
        <f aca="false">IF($E54="","",IFERROR(E54/Q54,"—"))</f>
        <v/>
      </c>
      <c r="T54" s="30" t="str">
        <f aca="false">IF($E54="","",Q54*IFERROR(INDEX('Гео-калькулятор'!$D$7:$D$13,MATCH($C54,'Гео-калькулятор'!$B$7:$B$13,0)),0))</f>
        <v/>
      </c>
      <c r="U54" s="40" t="str">
        <f aca="false">IF($E54="","",T54-E54)</f>
        <v/>
      </c>
      <c r="V54" s="41" t="str">
        <f aca="false">IF($E54="","",IFERROR(U54/E54,""))</f>
        <v/>
      </c>
      <c r="W54" s="10" t="str">
        <f aca="false">IF($E54="","",IF($I54&lt;&gt;"","факт","прогноз"))</f>
        <v/>
      </c>
      <c r="X54" s="1"/>
      <c r="Y54" s="1"/>
      <c r="Z54" s="1"/>
      <c r="AA54" s="1"/>
      <c r="AB54" s="1"/>
      <c r="AC54" s="1"/>
      <c r="AD54" s="1"/>
    </row>
    <row r="55" customFormat="false" ht="18" hidden="false" customHeight="true" outlineLevel="0" collapsed="false">
      <c r="A55" s="1"/>
      <c r="B55" s="35"/>
      <c r="C55" s="8"/>
      <c r="D55" s="26"/>
      <c r="E55" s="27"/>
      <c r="F55" s="36"/>
      <c r="G55" s="36"/>
      <c r="H55" s="36"/>
      <c r="I55" s="36"/>
      <c r="J55" s="37" t="str">
        <f aca="false">IF($E55="","",IFERROR(G55/F55,""))</f>
        <v/>
      </c>
      <c r="K55" s="30" t="str">
        <f aca="false">IF($E55="","",IFERROR(E55/G55,""))</f>
        <v/>
      </c>
      <c r="L55" s="30" t="str">
        <f aca="false">IF($E55="","",IFERROR(E55/F55*1000,""))</f>
        <v/>
      </c>
      <c r="M55" s="37" t="str">
        <f aca="false">IF($E55="","",IFERROR(H55/G55,""))</f>
        <v/>
      </c>
      <c r="N55" s="30" t="str">
        <f aca="false">IF($E55="","",IFERROR(E55/H55,"—"))</f>
        <v/>
      </c>
      <c r="O55" s="30" t="str">
        <f aca="false">IF($E55="","",IFERROR(INDEX('Гео-калькулятор'!$K$7:$K$13,MATCH($C55,'Гео-калькулятор'!$B$7:$B$13,0)),""))</f>
        <v/>
      </c>
      <c r="P55" s="38" t="str">
        <f aca="false">IF($E55="","",IFERROR(N55/O55,""))</f>
        <v/>
      </c>
      <c r="Q55" s="39" t="str">
        <f aca="false">IF($E55="","",IF($I55&lt;&gt;"",$I55,N($H55)*IFERROR(INDEX('Гео-калькулятор'!$E$7:$E$13,MATCH($C55,'Гео-калькулятор'!$B$7:$B$13,0)),0)))</f>
        <v/>
      </c>
      <c r="R55" s="38" t="str">
        <f aca="false">IF($E55="","",IFERROR(Q55/H55,""))</f>
        <v/>
      </c>
      <c r="S55" s="30" t="str">
        <f aca="false">IF($E55="","",IFERROR(E55/Q55,"—"))</f>
        <v/>
      </c>
      <c r="T55" s="30" t="str">
        <f aca="false">IF($E55="","",Q55*IFERROR(INDEX('Гео-калькулятор'!$D$7:$D$13,MATCH($C55,'Гео-калькулятор'!$B$7:$B$13,0)),0))</f>
        <v/>
      </c>
      <c r="U55" s="40" t="str">
        <f aca="false">IF($E55="","",T55-E55)</f>
        <v/>
      </c>
      <c r="V55" s="41" t="str">
        <f aca="false">IF($E55="","",IFERROR(U55/E55,""))</f>
        <v/>
      </c>
      <c r="W55" s="10" t="str">
        <f aca="false">IF($E55="","",IF($I55&lt;&gt;"","факт","прогноз"))</f>
        <v/>
      </c>
      <c r="X55" s="1"/>
      <c r="Y55" s="1"/>
      <c r="Z55" s="1"/>
      <c r="AA55" s="1"/>
      <c r="AB55" s="1"/>
      <c r="AC55" s="1"/>
      <c r="AD55" s="1"/>
    </row>
    <row r="56" customFormat="false" ht="18" hidden="false" customHeight="true" outlineLevel="0" collapsed="false">
      <c r="A56" s="1"/>
      <c r="B56" s="35"/>
      <c r="C56" s="8"/>
      <c r="D56" s="26"/>
      <c r="E56" s="27"/>
      <c r="F56" s="36"/>
      <c r="G56" s="36"/>
      <c r="H56" s="36"/>
      <c r="I56" s="36"/>
      <c r="J56" s="37" t="str">
        <f aca="false">IF($E56="","",IFERROR(G56/F56,""))</f>
        <v/>
      </c>
      <c r="K56" s="30" t="str">
        <f aca="false">IF($E56="","",IFERROR(E56/G56,""))</f>
        <v/>
      </c>
      <c r="L56" s="30" t="str">
        <f aca="false">IF($E56="","",IFERROR(E56/F56*1000,""))</f>
        <v/>
      </c>
      <c r="M56" s="37" t="str">
        <f aca="false">IF($E56="","",IFERROR(H56/G56,""))</f>
        <v/>
      </c>
      <c r="N56" s="30" t="str">
        <f aca="false">IF($E56="","",IFERROR(E56/H56,"—"))</f>
        <v/>
      </c>
      <c r="O56" s="30" t="str">
        <f aca="false">IF($E56="","",IFERROR(INDEX('Гео-калькулятор'!$K$7:$K$13,MATCH($C56,'Гео-калькулятор'!$B$7:$B$13,0)),""))</f>
        <v/>
      </c>
      <c r="P56" s="38" t="str">
        <f aca="false">IF($E56="","",IFERROR(N56/O56,""))</f>
        <v/>
      </c>
      <c r="Q56" s="39" t="str">
        <f aca="false">IF($E56="","",IF($I56&lt;&gt;"",$I56,N($H56)*IFERROR(INDEX('Гео-калькулятор'!$E$7:$E$13,MATCH($C56,'Гео-калькулятор'!$B$7:$B$13,0)),0)))</f>
        <v/>
      </c>
      <c r="R56" s="38" t="str">
        <f aca="false">IF($E56="","",IFERROR(Q56/H56,""))</f>
        <v/>
      </c>
      <c r="S56" s="30" t="str">
        <f aca="false">IF($E56="","",IFERROR(E56/Q56,"—"))</f>
        <v/>
      </c>
      <c r="T56" s="30" t="str">
        <f aca="false">IF($E56="","",Q56*IFERROR(INDEX('Гео-калькулятор'!$D$7:$D$13,MATCH($C56,'Гео-калькулятор'!$B$7:$B$13,0)),0))</f>
        <v/>
      </c>
      <c r="U56" s="40" t="str">
        <f aca="false">IF($E56="","",T56-E56)</f>
        <v/>
      </c>
      <c r="V56" s="41" t="str">
        <f aca="false">IF($E56="","",IFERROR(U56/E56,""))</f>
        <v/>
      </c>
      <c r="W56" s="10" t="str">
        <f aca="false">IF($E56="","",IF($I56&lt;&gt;"","факт","прогноз"))</f>
        <v/>
      </c>
      <c r="X56" s="1"/>
      <c r="Y56" s="1"/>
      <c r="Z56" s="1"/>
      <c r="AA56" s="1"/>
      <c r="AB56" s="1"/>
      <c r="AC56" s="1"/>
      <c r="AD56" s="1"/>
    </row>
    <row r="57" customFormat="false" ht="18" hidden="false" customHeight="true" outlineLevel="0" collapsed="false">
      <c r="A57" s="1"/>
      <c r="B57" s="35"/>
      <c r="C57" s="8"/>
      <c r="D57" s="26"/>
      <c r="E57" s="27"/>
      <c r="F57" s="36"/>
      <c r="G57" s="36"/>
      <c r="H57" s="36"/>
      <c r="I57" s="36"/>
      <c r="J57" s="37" t="str">
        <f aca="false">IF($E57="","",IFERROR(G57/F57,""))</f>
        <v/>
      </c>
      <c r="K57" s="30" t="str">
        <f aca="false">IF($E57="","",IFERROR(E57/G57,""))</f>
        <v/>
      </c>
      <c r="L57" s="30" t="str">
        <f aca="false">IF($E57="","",IFERROR(E57/F57*1000,""))</f>
        <v/>
      </c>
      <c r="M57" s="37" t="str">
        <f aca="false">IF($E57="","",IFERROR(H57/G57,""))</f>
        <v/>
      </c>
      <c r="N57" s="30" t="str">
        <f aca="false">IF($E57="","",IFERROR(E57/H57,"—"))</f>
        <v/>
      </c>
      <c r="O57" s="30" t="str">
        <f aca="false">IF($E57="","",IFERROR(INDEX('Гео-калькулятор'!$K$7:$K$13,MATCH($C57,'Гео-калькулятор'!$B$7:$B$13,0)),""))</f>
        <v/>
      </c>
      <c r="P57" s="38" t="str">
        <f aca="false">IF($E57="","",IFERROR(N57/O57,""))</f>
        <v/>
      </c>
      <c r="Q57" s="39" t="str">
        <f aca="false">IF($E57="","",IF($I57&lt;&gt;"",$I57,N($H57)*IFERROR(INDEX('Гео-калькулятор'!$E$7:$E$13,MATCH($C57,'Гео-калькулятор'!$B$7:$B$13,0)),0)))</f>
        <v/>
      </c>
      <c r="R57" s="38" t="str">
        <f aca="false">IF($E57="","",IFERROR(Q57/H57,""))</f>
        <v/>
      </c>
      <c r="S57" s="30" t="str">
        <f aca="false">IF($E57="","",IFERROR(E57/Q57,"—"))</f>
        <v/>
      </c>
      <c r="T57" s="30" t="str">
        <f aca="false">IF($E57="","",Q57*IFERROR(INDEX('Гео-калькулятор'!$D$7:$D$13,MATCH($C57,'Гео-калькулятор'!$B$7:$B$13,0)),0))</f>
        <v/>
      </c>
      <c r="U57" s="40" t="str">
        <f aca="false">IF($E57="","",T57-E57)</f>
        <v/>
      </c>
      <c r="V57" s="41" t="str">
        <f aca="false">IF($E57="","",IFERROR(U57/E57,""))</f>
        <v/>
      </c>
      <c r="W57" s="10" t="str">
        <f aca="false">IF($E57="","",IF($I57&lt;&gt;"","факт","прогноз"))</f>
        <v/>
      </c>
      <c r="X57" s="1"/>
      <c r="Y57" s="1"/>
      <c r="Z57" s="1"/>
      <c r="AA57" s="1"/>
      <c r="AB57" s="1"/>
      <c r="AC57" s="1"/>
      <c r="AD57" s="1"/>
    </row>
    <row r="58" customFormat="false" ht="18" hidden="false" customHeight="true" outlineLevel="0" collapsed="false">
      <c r="A58" s="1"/>
      <c r="B58" s="35"/>
      <c r="C58" s="8"/>
      <c r="D58" s="26"/>
      <c r="E58" s="27"/>
      <c r="F58" s="36"/>
      <c r="G58" s="36"/>
      <c r="H58" s="36"/>
      <c r="I58" s="36"/>
      <c r="J58" s="37" t="str">
        <f aca="false">IF($E58="","",IFERROR(G58/F58,""))</f>
        <v/>
      </c>
      <c r="K58" s="30" t="str">
        <f aca="false">IF($E58="","",IFERROR(E58/G58,""))</f>
        <v/>
      </c>
      <c r="L58" s="30" t="str">
        <f aca="false">IF($E58="","",IFERROR(E58/F58*1000,""))</f>
        <v/>
      </c>
      <c r="M58" s="37" t="str">
        <f aca="false">IF($E58="","",IFERROR(H58/G58,""))</f>
        <v/>
      </c>
      <c r="N58" s="30" t="str">
        <f aca="false">IF($E58="","",IFERROR(E58/H58,"—"))</f>
        <v/>
      </c>
      <c r="O58" s="30" t="str">
        <f aca="false">IF($E58="","",IFERROR(INDEX('Гео-калькулятор'!$K$7:$K$13,MATCH($C58,'Гео-калькулятор'!$B$7:$B$13,0)),""))</f>
        <v/>
      </c>
      <c r="P58" s="38" t="str">
        <f aca="false">IF($E58="","",IFERROR(N58/O58,""))</f>
        <v/>
      </c>
      <c r="Q58" s="39" t="str">
        <f aca="false">IF($E58="","",IF($I58&lt;&gt;"",$I58,N($H58)*IFERROR(INDEX('Гео-калькулятор'!$E$7:$E$13,MATCH($C58,'Гео-калькулятор'!$B$7:$B$13,0)),0)))</f>
        <v/>
      </c>
      <c r="R58" s="38" t="str">
        <f aca="false">IF($E58="","",IFERROR(Q58/H58,""))</f>
        <v/>
      </c>
      <c r="S58" s="30" t="str">
        <f aca="false">IF($E58="","",IFERROR(E58/Q58,"—"))</f>
        <v/>
      </c>
      <c r="T58" s="30" t="str">
        <f aca="false">IF($E58="","",Q58*IFERROR(INDEX('Гео-калькулятор'!$D$7:$D$13,MATCH($C58,'Гео-калькулятор'!$B$7:$B$13,0)),0))</f>
        <v/>
      </c>
      <c r="U58" s="40" t="str">
        <f aca="false">IF($E58="","",T58-E58)</f>
        <v/>
      </c>
      <c r="V58" s="41" t="str">
        <f aca="false">IF($E58="","",IFERROR(U58/E58,""))</f>
        <v/>
      </c>
      <c r="W58" s="10" t="str">
        <f aca="false">IF($E58="","",IF($I58&lt;&gt;"","факт","прогноз"))</f>
        <v/>
      </c>
      <c r="X58" s="1"/>
      <c r="Y58" s="1"/>
      <c r="Z58" s="1"/>
      <c r="AA58" s="1"/>
      <c r="AB58" s="1"/>
      <c r="AC58" s="1"/>
      <c r="AD58" s="1"/>
    </row>
    <row r="59" customFormat="false" ht="18" hidden="false" customHeight="true" outlineLevel="0" collapsed="false">
      <c r="A59" s="1"/>
      <c r="B59" s="35"/>
      <c r="C59" s="8"/>
      <c r="D59" s="26"/>
      <c r="E59" s="27"/>
      <c r="F59" s="36"/>
      <c r="G59" s="36"/>
      <c r="H59" s="36"/>
      <c r="I59" s="36"/>
      <c r="J59" s="37" t="str">
        <f aca="false">IF($E59="","",IFERROR(G59/F59,""))</f>
        <v/>
      </c>
      <c r="K59" s="30" t="str">
        <f aca="false">IF($E59="","",IFERROR(E59/G59,""))</f>
        <v/>
      </c>
      <c r="L59" s="30" t="str">
        <f aca="false">IF($E59="","",IFERROR(E59/F59*1000,""))</f>
        <v/>
      </c>
      <c r="M59" s="37" t="str">
        <f aca="false">IF($E59="","",IFERROR(H59/G59,""))</f>
        <v/>
      </c>
      <c r="N59" s="30" t="str">
        <f aca="false">IF($E59="","",IFERROR(E59/H59,"—"))</f>
        <v/>
      </c>
      <c r="O59" s="30" t="str">
        <f aca="false">IF($E59="","",IFERROR(INDEX('Гео-калькулятор'!$K$7:$K$13,MATCH($C59,'Гео-калькулятор'!$B$7:$B$13,0)),""))</f>
        <v/>
      </c>
      <c r="P59" s="38" t="str">
        <f aca="false">IF($E59="","",IFERROR(N59/O59,""))</f>
        <v/>
      </c>
      <c r="Q59" s="39" t="str">
        <f aca="false">IF($E59="","",IF($I59&lt;&gt;"",$I59,N($H59)*IFERROR(INDEX('Гео-калькулятор'!$E$7:$E$13,MATCH($C59,'Гео-калькулятор'!$B$7:$B$13,0)),0)))</f>
        <v/>
      </c>
      <c r="R59" s="38" t="str">
        <f aca="false">IF($E59="","",IFERROR(Q59/H59,""))</f>
        <v/>
      </c>
      <c r="S59" s="30" t="str">
        <f aca="false">IF($E59="","",IFERROR(E59/Q59,"—"))</f>
        <v/>
      </c>
      <c r="T59" s="30" t="str">
        <f aca="false">IF($E59="","",Q59*IFERROR(INDEX('Гео-калькулятор'!$D$7:$D$13,MATCH($C59,'Гео-калькулятор'!$B$7:$B$13,0)),0))</f>
        <v/>
      </c>
      <c r="U59" s="40" t="str">
        <f aca="false">IF($E59="","",T59-E59)</f>
        <v/>
      </c>
      <c r="V59" s="41" t="str">
        <f aca="false">IF($E59="","",IFERROR(U59/E59,""))</f>
        <v/>
      </c>
      <c r="W59" s="10" t="str">
        <f aca="false">IF($E59="","",IF($I59&lt;&gt;"","факт","прогноз"))</f>
        <v/>
      </c>
      <c r="X59" s="1"/>
      <c r="Y59" s="1"/>
      <c r="Z59" s="1"/>
      <c r="AA59" s="1"/>
      <c r="AB59" s="1"/>
      <c r="AC59" s="1"/>
      <c r="AD59" s="1"/>
    </row>
    <row r="60" customFormat="false" ht="18" hidden="false" customHeight="true" outlineLevel="0" collapsed="false">
      <c r="A60" s="1"/>
      <c r="B60" s="35"/>
      <c r="C60" s="8"/>
      <c r="D60" s="26"/>
      <c r="E60" s="27"/>
      <c r="F60" s="36"/>
      <c r="G60" s="36"/>
      <c r="H60" s="36"/>
      <c r="I60" s="36"/>
      <c r="J60" s="37" t="str">
        <f aca="false">IF($E60="","",IFERROR(G60/F60,""))</f>
        <v/>
      </c>
      <c r="K60" s="30" t="str">
        <f aca="false">IF($E60="","",IFERROR(E60/G60,""))</f>
        <v/>
      </c>
      <c r="L60" s="30" t="str">
        <f aca="false">IF($E60="","",IFERROR(E60/F60*1000,""))</f>
        <v/>
      </c>
      <c r="M60" s="37" t="str">
        <f aca="false">IF($E60="","",IFERROR(H60/G60,""))</f>
        <v/>
      </c>
      <c r="N60" s="30" t="str">
        <f aca="false">IF($E60="","",IFERROR(E60/H60,"—"))</f>
        <v/>
      </c>
      <c r="O60" s="30" t="str">
        <f aca="false">IF($E60="","",IFERROR(INDEX('Гео-калькулятор'!$K$7:$K$13,MATCH($C60,'Гео-калькулятор'!$B$7:$B$13,0)),""))</f>
        <v/>
      </c>
      <c r="P60" s="38" t="str">
        <f aca="false">IF($E60="","",IFERROR(N60/O60,""))</f>
        <v/>
      </c>
      <c r="Q60" s="39" t="str">
        <f aca="false">IF($E60="","",IF($I60&lt;&gt;"",$I60,N($H60)*IFERROR(INDEX('Гео-калькулятор'!$E$7:$E$13,MATCH($C60,'Гео-калькулятор'!$B$7:$B$13,0)),0)))</f>
        <v/>
      </c>
      <c r="R60" s="38" t="str">
        <f aca="false">IF($E60="","",IFERROR(Q60/H60,""))</f>
        <v/>
      </c>
      <c r="S60" s="30" t="str">
        <f aca="false">IF($E60="","",IFERROR(E60/Q60,"—"))</f>
        <v/>
      </c>
      <c r="T60" s="30" t="str">
        <f aca="false">IF($E60="","",Q60*IFERROR(INDEX('Гео-калькулятор'!$D$7:$D$13,MATCH($C60,'Гео-калькулятор'!$B$7:$B$13,0)),0))</f>
        <v/>
      </c>
      <c r="U60" s="40" t="str">
        <f aca="false">IF($E60="","",T60-E60)</f>
        <v/>
      </c>
      <c r="V60" s="41" t="str">
        <f aca="false">IF($E60="","",IFERROR(U60/E60,""))</f>
        <v/>
      </c>
      <c r="W60" s="10" t="str">
        <f aca="false">IF($E60="","",IF($I60&lt;&gt;"","факт","прогноз"))</f>
        <v/>
      </c>
      <c r="X60" s="1"/>
      <c r="Y60" s="1"/>
      <c r="Z60" s="1"/>
      <c r="AA60" s="1"/>
      <c r="AB60" s="1"/>
      <c r="AC60" s="1"/>
      <c r="AD60" s="1"/>
    </row>
    <row r="61" customFormat="false" ht="18" hidden="false" customHeight="true" outlineLevel="0" collapsed="false">
      <c r="A61" s="1"/>
      <c r="B61" s="35"/>
      <c r="C61" s="8"/>
      <c r="D61" s="26"/>
      <c r="E61" s="27"/>
      <c r="F61" s="36"/>
      <c r="G61" s="36"/>
      <c r="H61" s="36"/>
      <c r="I61" s="36"/>
      <c r="J61" s="37" t="str">
        <f aca="false">IF($E61="","",IFERROR(G61/F61,""))</f>
        <v/>
      </c>
      <c r="K61" s="30" t="str">
        <f aca="false">IF($E61="","",IFERROR(E61/G61,""))</f>
        <v/>
      </c>
      <c r="L61" s="30" t="str">
        <f aca="false">IF($E61="","",IFERROR(E61/F61*1000,""))</f>
        <v/>
      </c>
      <c r="M61" s="37" t="str">
        <f aca="false">IF($E61="","",IFERROR(H61/G61,""))</f>
        <v/>
      </c>
      <c r="N61" s="30" t="str">
        <f aca="false">IF($E61="","",IFERROR(E61/H61,"—"))</f>
        <v/>
      </c>
      <c r="O61" s="30" t="str">
        <f aca="false">IF($E61="","",IFERROR(INDEX('Гео-калькулятор'!$K$7:$K$13,MATCH($C61,'Гео-калькулятор'!$B$7:$B$13,0)),""))</f>
        <v/>
      </c>
      <c r="P61" s="38" t="str">
        <f aca="false">IF($E61="","",IFERROR(N61/O61,""))</f>
        <v/>
      </c>
      <c r="Q61" s="39" t="str">
        <f aca="false">IF($E61="","",IF($I61&lt;&gt;"",$I61,N($H61)*IFERROR(INDEX('Гео-калькулятор'!$E$7:$E$13,MATCH($C61,'Гео-калькулятор'!$B$7:$B$13,0)),0)))</f>
        <v/>
      </c>
      <c r="R61" s="38" t="str">
        <f aca="false">IF($E61="","",IFERROR(Q61/H61,""))</f>
        <v/>
      </c>
      <c r="S61" s="30" t="str">
        <f aca="false">IF($E61="","",IFERROR(E61/Q61,"—"))</f>
        <v/>
      </c>
      <c r="T61" s="30" t="str">
        <f aca="false">IF($E61="","",Q61*IFERROR(INDEX('Гео-калькулятор'!$D$7:$D$13,MATCH($C61,'Гео-калькулятор'!$B$7:$B$13,0)),0))</f>
        <v/>
      </c>
      <c r="U61" s="40" t="str">
        <f aca="false">IF($E61="","",T61-E61)</f>
        <v/>
      </c>
      <c r="V61" s="41" t="str">
        <f aca="false">IF($E61="","",IFERROR(U61/E61,""))</f>
        <v/>
      </c>
      <c r="W61" s="10" t="str">
        <f aca="false">IF($E61="","",IF($I61&lt;&gt;"","факт","прогноз"))</f>
        <v/>
      </c>
      <c r="X61" s="1"/>
      <c r="Y61" s="1"/>
      <c r="Z61" s="1"/>
      <c r="AA61" s="1"/>
      <c r="AB61" s="1"/>
      <c r="AC61" s="1"/>
      <c r="AD61" s="1"/>
    </row>
    <row r="62" customFormat="false" ht="18" hidden="false" customHeight="true" outlineLevel="0" collapsed="false">
      <c r="A62" s="1"/>
      <c r="B62" s="35"/>
      <c r="C62" s="8"/>
      <c r="D62" s="26"/>
      <c r="E62" s="27"/>
      <c r="F62" s="36"/>
      <c r="G62" s="36"/>
      <c r="H62" s="36"/>
      <c r="I62" s="36"/>
      <c r="J62" s="37" t="str">
        <f aca="false">IF($E62="","",IFERROR(G62/F62,""))</f>
        <v/>
      </c>
      <c r="K62" s="30" t="str">
        <f aca="false">IF($E62="","",IFERROR(E62/G62,""))</f>
        <v/>
      </c>
      <c r="L62" s="30" t="str">
        <f aca="false">IF($E62="","",IFERROR(E62/F62*1000,""))</f>
        <v/>
      </c>
      <c r="M62" s="37" t="str">
        <f aca="false">IF($E62="","",IFERROR(H62/G62,""))</f>
        <v/>
      </c>
      <c r="N62" s="30" t="str">
        <f aca="false">IF($E62="","",IFERROR(E62/H62,"—"))</f>
        <v/>
      </c>
      <c r="O62" s="30" t="str">
        <f aca="false">IF($E62="","",IFERROR(INDEX('Гео-калькулятор'!$K$7:$K$13,MATCH($C62,'Гео-калькулятор'!$B$7:$B$13,0)),""))</f>
        <v/>
      </c>
      <c r="P62" s="38" t="str">
        <f aca="false">IF($E62="","",IFERROR(N62/O62,""))</f>
        <v/>
      </c>
      <c r="Q62" s="39" t="str">
        <f aca="false">IF($E62="","",IF($I62&lt;&gt;"",$I62,N($H62)*IFERROR(INDEX('Гео-калькулятор'!$E$7:$E$13,MATCH($C62,'Гео-калькулятор'!$B$7:$B$13,0)),0)))</f>
        <v/>
      </c>
      <c r="R62" s="38" t="str">
        <f aca="false">IF($E62="","",IFERROR(Q62/H62,""))</f>
        <v/>
      </c>
      <c r="S62" s="30" t="str">
        <f aca="false">IF($E62="","",IFERROR(E62/Q62,"—"))</f>
        <v/>
      </c>
      <c r="T62" s="30" t="str">
        <f aca="false">IF($E62="","",Q62*IFERROR(INDEX('Гео-калькулятор'!$D$7:$D$13,MATCH($C62,'Гео-калькулятор'!$B$7:$B$13,0)),0))</f>
        <v/>
      </c>
      <c r="U62" s="40" t="str">
        <f aca="false">IF($E62="","",T62-E62)</f>
        <v/>
      </c>
      <c r="V62" s="41" t="str">
        <f aca="false">IF($E62="","",IFERROR(U62/E62,""))</f>
        <v/>
      </c>
      <c r="W62" s="10" t="str">
        <f aca="false">IF($E62="","",IF($I62&lt;&gt;"","факт","прогноз"))</f>
        <v/>
      </c>
      <c r="X62" s="1"/>
      <c r="Y62" s="1"/>
      <c r="Z62" s="1"/>
      <c r="AA62" s="1"/>
      <c r="AB62" s="1"/>
      <c r="AC62" s="1"/>
      <c r="AD62" s="1"/>
    </row>
    <row r="63" customFormat="false" ht="18" hidden="false" customHeight="true" outlineLevel="0" collapsed="false">
      <c r="A63" s="1"/>
      <c r="B63" s="35"/>
      <c r="C63" s="8"/>
      <c r="D63" s="26"/>
      <c r="E63" s="27"/>
      <c r="F63" s="36"/>
      <c r="G63" s="36"/>
      <c r="H63" s="36"/>
      <c r="I63" s="36"/>
      <c r="J63" s="37" t="str">
        <f aca="false">IF($E63="","",IFERROR(G63/F63,""))</f>
        <v/>
      </c>
      <c r="K63" s="30" t="str">
        <f aca="false">IF($E63="","",IFERROR(E63/G63,""))</f>
        <v/>
      </c>
      <c r="L63" s="30" t="str">
        <f aca="false">IF($E63="","",IFERROR(E63/F63*1000,""))</f>
        <v/>
      </c>
      <c r="M63" s="37" t="str">
        <f aca="false">IF($E63="","",IFERROR(H63/G63,""))</f>
        <v/>
      </c>
      <c r="N63" s="30" t="str">
        <f aca="false">IF($E63="","",IFERROR(E63/H63,"—"))</f>
        <v/>
      </c>
      <c r="O63" s="30" t="str">
        <f aca="false">IF($E63="","",IFERROR(INDEX('Гео-калькулятор'!$K$7:$K$13,MATCH($C63,'Гео-калькулятор'!$B$7:$B$13,0)),""))</f>
        <v/>
      </c>
      <c r="P63" s="38" t="str">
        <f aca="false">IF($E63="","",IFERROR(N63/O63,""))</f>
        <v/>
      </c>
      <c r="Q63" s="39" t="str">
        <f aca="false">IF($E63="","",IF($I63&lt;&gt;"",$I63,N($H63)*IFERROR(INDEX('Гео-калькулятор'!$E$7:$E$13,MATCH($C63,'Гео-калькулятор'!$B$7:$B$13,0)),0)))</f>
        <v/>
      </c>
      <c r="R63" s="38" t="str">
        <f aca="false">IF($E63="","",IFERROR(Q63/H63,""))</f>
        <v/>
      </c>
      <c r="S63" s="30" t="str">
        <f aca="false">IF($E63="","",IFERROR(E63/Q63,"—"))</f>
        <v/>
      </c>
      <c r="T63" s="30" t="str">
        <f aca="false">IF($E63="","",Q63*IFERROR(INDEX('Гео-калькулятор'!$D$7:$D$13,MATCH($C63,'Гео-калькулятор'!$B$7:$B$13,0)),0))</f>
        <v/>
      </c>
      <c r="U63" s="40" t="str">
        <f aca="false">IF($E63="","",T63-E63)</f>
        <v/>
      </c>
      <c r="V63" s="41" t="str">
        <f aca="false">IF($E63="","",IFERROR(U63/E63,""))</f>
        <v/>
      </c>
      <c r="W63" s="10" t="str">
        <f aca="false">IF($E63="","",IF($I63&lt;&gt;"","факт","прогноз"))</f>
        <v/>
      </c>
      <c r="X63" s="1"/>
      <c r="Y63" s="1"/>
      <c r="Z63" s="1"/>
      <c r="AA63" s="1"/>
      <c r="AB63" s="1"/>
      <c r="AC63" s="1"/>
      <c r="AD63" s="1"/>
    </row>
    <row r="64" customFormat="false" ht="18" hidden="false" customHeight="true" outlineLevel="0" collapsed="false">
      <c r="A64" s="1"/>
      <c r="B64" s="35"/>
      <c r="C64" s="8"/>
      <c r="D64" s="26"/>
      <c r="E64" s="27"/>
      <c r="F64" s="36"/>
      <c r="G64" s="36"/>
      <c r="H64" s="36"/>
      <c r="I64" s="36"/>
      <c r="J64" s="37" t="str">
        <f aca="false">IF($E64="","",IFERROR(G64/F64,""))</f>
        <v/>
      </c>
      <c r="K64" s="30" t="str">
        <f aca="false">IF($E64="","",IFERROR(E64/G64,""))</f>
        <v/>
      </c>
      <c r="L64" s="30" t="str">
        <f aca="false">IF($E64="","",IFERROR(E64/F64*1000,""))</f>
        <v/>
      </c>
      <c r="M64" s="37" t="str">
        <f aca="false">IF($E64="","",IFERROR(H64/G64,""))</f>
        <v/>
      </c>
      <c r="N64" s="30" t="str">
        <f aca="false">IF($E64="","",IFERROR(E64/H64,"—"))</f>
        <v/>
      </c>
      <c r="O64" s="30" t="str">
        <f aca="false">IF($E64="","",IFERROR(INDEX('Гео-калькулятор'!$K$7:$K$13,MATCH($C64,'Гео-калькулятор'!$B$7:$B$13,0)),""))</f>
        <v/>
      </c>
      <c r="P64" s="38" t="str">
        <f aca="false">IF($E64="","",IFERROR(N64/O64,""))</f>
        <v/>
      </c>
      <c r="Q64" s="39" t="str">
        <f aca="false">IF($E64="","",IF($I64&lt;&gt;"",$I64,N($H64)*IFERROR(INDEX('Гео-калькулятор'!$E$7:$E$13,MATCH($C64,'Гео-калькулятор'!$B$7:$B$13,0)),0)))</f>
        <v/>
      </c>
      <c r="R64" s="38" t="str">
        <f aca="false">IF($E64="","",IFERROR(Q64/H64,""))</f>
        <v/>
      </c>
      <c r="S64" s="30" t="str">
        <f aca="false">IF($E64="","",IFERROR(E64/Q64,"—"))</f>
        <v/>
      </c>
      <c r="T64" s="30" t="str">
        <f aca="false">IF($E64="","",Q64*IFERROR(INDEX('Гео-калькулятор'!$D$7:$D$13,MATCH($C64,'Гео-калькулятор'!$B$7:$B$13,0)),0))</f>
        <v/>
      </c>
      <c r="U64" s="40" t="str">
        <f aca="false">IF($E64="","",T64-E64)</f>
        <v/>
      </c>
      <c r="V64" s="41" t="str">
        <f aca="false">IF($E64="","",IFERROR(U64/E64,""))</f>
        <v/>
      </c>
      <c r="W64" s="10" t="str">
        <f aca="false">IF($E64="","",IF($I64&lt;&gt;"","факт","прогноз"))</f>
        <v/>
      </c>
      <c r="X64" s="1"/>
      <c r="Y64" s="1"/>
      <c r="Z64" s="1"/>
      <c r="AA64" s="1"/>
      <c r="AB64" s="1"/>
      <c r="AC64" s="1"/>
      <c r="AD64" s="1"/>
    </row>
    <row r="65" customFormat="false" ht="18" hidden="false" customHeight="true" outlineLevel="0" collapsed="false">
      <c r="A65" s="1"/>
      <c r="B65" s="35"/>
      <c r="C65" s="8"/>
      <c r="D65" s="26"/>
      <c r="E65" s="27"/>
      <c r="F65" s="36"/>
      <c r="G65" s="36"/>
      <c r="H65" s="36"/>
      <c r="I65" s="36"/>
      <c r="J65" s="37" t="str">
        <f aca="false">IF($E65="","",IFERROR(G65/F65,""))</f>
        <v/>
      </c>
      <c r="K65" s="30" t="str">
        <f aca="false">IF($E65="","",IFERROR(E65/G65,""))</f>
        <v/>
      </c>
      <c r="L65" s="30" t="str">
        <f aca="false">IF($E65="","",IFERROR(E65/F65*1000,""))</f>
        <v/>
      </c>
      <c r="M65" s="37" t="str">
        <f aca="false">IF($E65="","",IFERROR(H65/G65,""))</f>
        <v/>
      </c>
      <c r="N65" s="30" t="str">
        <f aca="false">IF($E65="","",IFERROR(E65/H65,"—"))</f>
        <v/>
      </c>
      <c r="O65" s="30" t="str">
        <f aca="false">IF($E65="","",IFERROR(INDEX('Гео-калькулятор'!$K$7:$K$13,MATCH($C65,'Гео-калькулятор'!$B$7:$B$13,0)),""))</f>
        <v/>
      </c>
      <c r="P65" s="38" t="str">
        <f aca="false">IF($E65="","",IFERROR(N65/O65,""))</f>
        <v/>
      </c>
      <c r="Q65" s="39" t="str">
        <f aca="false">IF($E65="","",IF($I65&lt;&gt;"",$I65,N($H65)*IFERROR(INDEX('Гео-калькулятор'!$E$7:$E$13,MATCH($C65,'Гео-калькулятор'!$B$7:$B$13,0)),0)))</f>
        <v/>
      </c>
      <c r="R65" s="38" t="str">
        <f aca="false">IF($E65="","",IFERROR(Q65/H65,""))</f>
        <v/>
      </c>
      <c r="S65" s="30" t="str">
        <f aca="false">IF($E65="","",IFERROR(E65/Q65,"—"))</f>
        <v/>
      </c>
      <c r="T65" s="30" t="str">
        <f aca="false">IF($E65="","",Q65*IFERROR(INDEX('Гео-калькулятор'!$D$7:$D$13,MATCH($C65,'Гео-калькулятор'!$B$7:$B$13,0)),0))</f>
        <v/>
      </c>
      <c r="U65" s="40" t="str">
        <f aca="false">IF($E65="","",T65-E65)</f>
        <v/>
      </c>
      <c r="V65" s="41" t="str">
        <f aca="false">IF($E65="","",IFERROR(U65/E65,""))</f>
        <v/>
      </c>
      <c r="W65" s="10" t="str">
        <f aca="false">IF($E65="","",IF($I65&lt;&gt;"","факт","прогноз"))</f>
        <v/>
      </c>
      <c r="X65" s="1"/>
      <c r="Y65" s="1"/>
      <c r="Z65" s="1"/>
      <c r="AA65" s="1"/>
      <c r="AB65" s="1"/>
      <c r="AC65" s="1"/>
      <c r="AD65" s="1"/>
    </row>
    <row r="66" customFormat="false" ht="18" hidden="false" customHeight="true" outlineLevel="0" collapsed="false">
      <c r="A66" s="1"/>
      <c r="B66" s="35"/>
      <c r="C66" s="8"/>
      <c r="D66" s="26"/>
      <c r="E66" s="27"/>
      <c r="F66" s="36"/>
      <c r="G66" s="36"/>
      <c r="H66" s="36"/>
      <c r="I66" s="36"/>
      <c r="J66" s="37" t="str">
        <f aca="false">IF($E66="","",IFERROR(G66/F66,""))</f>
        <v/>
      </c>
      <c r="K66" s="30" t="str">
        <f aca="false">IF($E66="","",IFERROR(E66/G66,""))</f>
        <v/>
      </c>
      <c r="L66" s="30" t="str">
        <f aca="false">IF($E66="","",IFERROR(E66/F66*1000,""))</f>
        <v/>
      </c>
      <c r="M66" s="37" t="str">
        <f aca="false">IF($E66="","",IFERROR(H66/G66,""))</f>
        <v/>
      </c>
      <c r="N66" s="30" t="str">
        <f aca="false">IF($E66="","",IFERROR(E66/H66,"—"))</f>
        <v/>
      </c>
      <c r="O66" s="30" t="str">
        <f aca="false">IF($E66="","",IFERROR(INDEX('Гео-калькулятор'!$K$7:$K$13,MATCH($C66,'Гео-калькулятор'!$B$7:$B$13,0)),""))</f>
        <v/>
      </c>
      <c r="P66" s="38" t="str">
        <f aca="false">IF($E66="","",IFERROR(N66/O66,""))</f>
        <v/>
      </c>
      <c r="Q66" s="39" t="str">
        <f aca="false">IF($E66="","",IF($I66&lt;&gt;"",$I66,N($H66)*IFERROR(INDEX('Гео-калькулятор'!$E$7:$E$13,MATCH($C66,'Гео-калькулятор'!$B$7:$B$13,0)),0)))</f>
        <v/>
      </c>
      <c r="R66" s="38" t="str">
        <f aca="false">IF($E66="","",IFERROR(Q66/H66,""))</f>
        <v/>
      </c>
      <c r="S66" s="30" t="str">
        <f aca="false">IF($E66="","",IFERROR(E66/Q66,"—"))</f>
        <v/>
      </c>
      <c r="T66" s="30" t="str">
        <f aca="false">IF($E66="","",Q66*IFERROR(INDEX('Гео-калькулятор'!$D$7:$D$13,MATCH($C66,'Гео-калькулятор'!$B$7:$B$13,0)),0))</f>
        <v/>
      </c>
      <c r="U66" s="40" t="str">
        <f aca="false">IF($E66="","",T66-E66)</f>
        <v/>
      </c>
      <c r="V66" s="41" t="str">
        <f aca="false">IF($E66="","",IFERROR(U66/E66,""))</f>
        <v/>
      </c>
      <c r="W66" s="10" t="str">
        <f aca="false">IF($E66="","",IF($I66&lt;&gt;"","факт","прогноз"))</f>
        <v/>
      </c>
      <c r="X66" s="1"/>
      <c r="Y66" s="1"/>
      <c r="Z66" s="1"/>
      <c r="AA66" s="1"/>
      <c r="AB66" s="1"/>
      <c r="AC66" s="1"/>
      <c r="AD66" s="1"/>
    </row>
    <row r="67" customFormat="false" ht="18" hidden="false" customHeight="true" outlineLevel="0" collapsed="false">
      <c r="A67" s="1"/>
      <c r="B67" s="35"/>
      <c r="C67" s="8"/>
      <c r="D67" s="26"/>
      <c r="E67" s="27"/>
      <c r="F67" s="36"/>
      <c r="G67" s="36"/>
      <c r="H67" s="36"/>
      <c r="I67" s="36"/>
      <c r="J67" s="37" t="str">
        <f aca="false">IF($E67="","",IFERROR(G67/F67,""))</f>
        <v/>
      </c>
      <c r="K67" s="30" t="str">
        <f aca="false">IF($E67="","",IFERROR(E67/G67,""))</f>
        <v/>
      </c>
      <c r="L67" s="30" t="str">
        <f aca="false">IF($E67="","",IFERROR(E67/F67*1000,""))</f>
        <v/>
      </c>
      <c r="M67" s="37" t="str">
        <f aca="false">IF($E67="","",IFERROR(H67/G67,""))</f>
        <v/>
      </c>
      <c r="N67" s="30" t="str">
        <f aca="false">IF($E67="","",IFERROR(E67/H67,"—"))</f>
        <v/>
      </c>
      <c r="O67" s="30" t="str">
        <f aca="false">IF($E67="","",IFERROR(INDEX('Гео-калькулятор'!$K$7:$K$13,MATCH($C67,'Гео-калькулятор'!$B$7:$B$13,0)),""))</f>
        <v/>
      </c>
      <c r="P67" s="38" t="str">
        <f aca="false">IF($E67="","",IFERROR(N67/O67,""))</f>
        <v/>
      </c>
      <c r="Q67" s="39" t="str">
        <f aca="false">IF($E67="","",IF($I67&lt;&gt;"",$I67,N($H67)*IFERROR(INDEX('Гео-калькулятор'!$E$7:$E$13,MATCH($C67,'Гео-калькулятор'!$B$7:$B$13,0)),0)))</f>
        <v/>
      </c>
      <c r="R67" s="38" t="str">
        <f aca="false">IF($E67="","",IFERROR(Q67/H67,""))</f>
        <v/>
      </c>
      <c r="S67" s="30" t="str">
        <f aca="false">IF($E67="","",IFERROR(E67/Q67,"—"))</f>
        <v/>
      </c>
      <c r="T67" s="30" t="str">
        <f aca="false">IF($E67="","",Q67*IFERROR(INDEX('Гео-калькулятор'!$D$7:$D$13,MATCH($C67,'Гео-калькулятор'!$B$7:$B$13,0)),0))</f>
        <v/>
      </c>
      <c r="U67" s="40" t="str">
        <f aca="false">IF($E67="","",T67-E67)</f>
        <v/>
      </c>
      <c r="V67" s="41" t="str">
        <f aca="false">IF($E67="","",IFERROR(U67/E67,""))</f>
        <v/>
      </c>
      <c r="W67" s="10" t="str">
        <f aca="false">IF($E67="","",IF($I67&lt;&gt;"","факт","прогноз"))</f>
        <v/>
      </c>
      <c r="X67" s="1"/>
      <c r="Y67" s="1"/>
      <c r="Z67" s="1"/>
      <c r="AA67" s="1"/>
      <c r="AB67" s="1"/>
      <c r="AC67" s="1"/>
      <c r="AD67" s="1"/>
    </row>
    <row r="68" customFormat="false" ht="18" hidden="false" customHeight="true" outlineLevel="0" collapsed="false">
      <c r="A68" s="1"/>
      <c r="B68" s="35"/>
      <c r="C68" s="8"/>
      <c r="D68" s="26"/>
      <c r="E68" s="27"/>
      <c r="F68" s="36"/>
      <c r="G68" s="36"/>
      <c r="H68" s="36"/>
      <c r="I68" s="36"/>
      <c r="J68" s="37" t="str">
        <f aca="false">IF($E68="","",IFERROR(G68/F68,""))</f>
        <v/>
      </c>
      <c r="K68" s="30" t="str">
        <f aca="false">IF($E68="","",IFERROR(E68/G68,""))</f>
        <v/>
      </c>
      <c r="L68" s="30" t="str">
        <f aca="false">IF($E68="","",IFERROR(E68/F68*1000,""))</f>
        <v/>
      </c>
      <c r="M68" s="37" t="str">
        <f aca="false">IF($E68="","",IFERROR(H68/G68,""))</f>
        <v/>
      </c>
      <c r="N68" s="30" t="str">
        <f aca="false">IF($E68="","",IFERROR(E68/H68,"—"))</f>
        <v/>
      </c>
      <c r="O68" s="30" t="str">
        <f aca="false">IF($E68="","",IFERROR(INDEX('Гео-калькулятор'!$K$7:$K$13,MATCH($C68,'Гео-калькулятор'!$B$7:$B$13,0)),""))</f>
        <v/>
      </c>
      <c r="P68" s="38" t="str">
        <f aca="false">IF($E68="","",IFERROR(N68/O68,""))</f>
        <v/>
      </c>
      <c r="Q68" s="39" t="str">
        <f aca="false">IF($E68="","",IF($I68&lt;&gt;"",$I68,N($H68)*IFERROR(INDEX('Гео-калькулятор'!$E$7:$E$13,MATCH($C68,'Гео-калькулятор'!$B$7:$B$13,0)),0)))</f>
        <v/>
      </c>
      <c r="R68" s="38" t="str">
        <f aca="false">IF($E68="","",IFERROR(Q68/H68,""))</f>
        <v/>
      </c>
      <c r="S68" s="30" t="str">
        <f aca="false">IF($E68="","",IFERROR(E68/Q68,"—"))</f>
        <v/>
      </c>
      <c r="T68" s="30" t="str">
        <f aca="false">IF($E68="","",Q68*IFERROR(INDEX('Гео-калькулятор'!$D$7:$D$13,MATCH($C68,'Гео-калькулятор'!$B$7:$B$13,0)),0))</f>
        <v/>
      </c>
      <c r="U68" s="40" t="str">
        <f aca="false">IF($E68="","",T68-E68)</f>
        <v/>
      </c>
      <c r="V68" s="41" t="str">
        <f aca="false">IF($E68="","",IFERROR(U68/E68,""))</f>
        <v/>
      </c>
      <c r="W68" s="10" t="str">
        <f aca="false">IF($E68="","",IF($I68&lt;&gt;"","факт","прогноз"))</f>
        <v/>
      </c>
      <c r="X68" s="1"/>
      <c r="Y68" s="1"/>
      <c r="Z68" s="1"/>
      <c r="AA68" s="1"/>
      <c r="AB68" s="1"/>
      <c r="AC68" s="1"/>
      <c r="AD68" s="1"/>
    </row>
    <row r="69" customFormat="false" ht="18" hidden="false" customHeight="true" outlineLevel="0" collapsed="false">
      <c r="A69" s="1"/>
      <c r="B69" s="35"/>
      <c r="C69" s="8"/>
      <c r="D69" s="26"/>
      <c r="E69" s="27"/>
      <c r="F69" s="36"/>
      <c r="G69" s="36"/>
      <c r="H69" s="36"/>
      <c r="I69" s="36"/>
      <c r="J69" s="37" t="str">
        <f aca="false">IF($E69="","",IFERROR(G69/F69,""))</f>
        <v/>
      </c>
      <c r="K69" s="30" t="str">
        <f aca="false">IF($E69="","",IFERROR(E69/G69,""))</f>
        <v/>
      </c>
      <c r="L69" s="30" t="str">
        <f aca="false">IF($E69="","",IFERROR(E69/F69*1000,""))</f>
        <v/>
      </c>
      <c r="M69" s="37" t="str">
        <f aca="false">IF($E69="","",IFERROR(H69/G69,""))</f>
        <v/>
      </c>
      <c r="N69" s="30" t="str">
        <f aca="false">IF($E69="","",IFERROR(E69/H69,"—"))</f>
        <v/>
      </c>
      <c r="O69" s="30" t="str">
        <f aca="false">IF($E69="","",IFERROR(INDEX('Гео-калькулятор'!$K$7:$K$13,MATCH($C69,'Гео-калькулятор'!$B$7:$B$13,0)),""))</f>
        <v/>
      </c>
      <c r="P69" s="38" t="str">
        <f aca="false">IF($E69="","",IFERROR(N69/O69,""))</f>
        <v/>
      </c>
      <c r="Q69" s="39" t="str">
        <f aca="false">IF($E69="","",IF($I69&lt;&gt;"",$I69,N($H69)*IFERROR(INDEX('Гео-калькулятор'!$E$7:$E$13,MATCH($C69,'Гео-калькулятор'!$B$7:$B$13,0)),0)))</f>
        <v/>
      </c>
      <c r="R69" s="38" t="str">
        <f aca="false">IF($E69="","",IFERROR(Q69/H69,""))</f>
        <v/>
      </c>
      <c r="S69" s="30" t="str">
        <f aca="false">IF($E69="","",IFERROR(E69/Q69,"—"))</f>
        <v/>
      </c>
      <c r="T69" s="30" t="str">
        <f aca="false">IF($E69="","",Q69*IFERROR(INDEX('Гео-калькулятор'!$D$7:$D$13,MATCH($C69,'Гео-калькулятор'!$B$7:$B$13,0)),0))</f>
        <v/>
      </c>
      <c r="U69" s="40" t="str">
        <f aca="false">IF($E69="","",T69-E69)</f>
        <v/>
      </c>
      <c r="V69" s="41" t="str">
        <f aca="false">IF($E69="","",IFERROR(U69/E69,""))</f>
        <v/>
      </c>
      <c r="W69" s="10" t="str">
        <f aca="false">IF($E69="","",IF($I69&lt;&gt;"","факт","прогноз"))</f>
        <v/>
      </c>
      <c r="X69" s="1"/>
      <c r="Y69" s="1"/>
      <c r="Z69" s="1"/>
      <c r="AA69" s="1"/>
      <c r="AB69" s="1"/>
      <c r="AC69" s="1"/>
      <c r="AD69" s="1"/>
    </row>
    <row r="70" customFormat="false" ht="18" hidden="false" customHeight="true" outlineLevel="0" collapsed="false">
      <c r="A70" s="1"/>
      <c r="B70" s="35"/>
      <c r="C70" s="8"/>
      <c r="D70" s="26"/>
      <c r="E70" s="27"/>
      <c r="F70" s="36"/>
      <c r="G70" s="36"/>
      <c r="H70" s="36"/>
      <c r="I70" s="36"/>
      <c r="J70" s="37" t="str">
        <f aca="false">IF($E70="","",IFERROR(G70/F70,""))</f>
        <v/>
      </c>
      <c r="K70" s="30" t="str">
        <f aca="false">IF($E70="","",IFERROR(E70/G70,""))</f>
        <v/>
      </c>
      <c r="L70" s="30" t="str">
        <f aca="false">IF($E70="","",IFERROR(E70/F70*1000,""))</f>
        <v/>
      </c>
      <c r="M70" s="37" t="str">
        <f aca="false">IF($E70="","",IFERROR(H70/G70,""))</f>
        <v/>
      </c>
      <c r="N70" s="30" t="str">
        <f aca="false">IF($E70="","",IFERROR(E70/H70,"—"))</f>
        <v/>
      </c>
      <c r="O70" s="30" t="str">
        <f aca="false">IF($E70="","",IFERROR(INDEX('Гео-калькулятор'!$K$7:$K$13,MATCH($C70,'Гео-калькулятор'!$B$7:$B$13,0)),""))</f>
        <v/>
      </c>
      <c r="P70" s="38" t="str">
        <f aca="false">IF($E70="","",IFERROR(N70/O70,""))</f>
        <v/>
      </c>
      <c r="Q70" s="39" t="str">
        <f aca="false">IF($E70="","",IF($I70&lt;&gt;"",$I70,N($H70)*IFERROR(INDEX('Гео-калькулятор'!$E$7:$E$13,MATCH($C70,'Гео-калькулятор'!$B$7:$B$13,0)),0)))</f>
        <v/>
      </c>
      <c r="R70" s="38" t="str">
        <f aca="false">IF($E70="","",IFERROR(Q70/H70,""))</f>
        <v/>
      </c>
      <c r="S70" s="30" t="str">
        <f aca="false">IF($E70="","",IFERROR(E70/Q70,"—"))</f>
        <v/>
      </c>
      <c r="T70" s="30" t="str">
        <f aca="false">IF($E70="","",Q70*IFERROR(INDEX('Гео-калькулятор'!$D$7:$D$13,MATCH($C70,'Гео-калькулятор'!$B$7:$B$13,0)),0))</f>
        <v/>
      </c>
      <c r="U70" s="40" t="str">
        <f aca="false">IF($E70="","",T70-E70)</f>
        <v/>
      </c>
      <c r="V70" s="41" t="str">
        <f aca="false">IF($E70="","",IFERROR(U70/E70,""))</f>
        <v/>
      </c>
      <c r="W70" s="10" t="str">
        <f aca="false">IF($E70="","",IF($I70&lt;&gt;"","факт","прогноз"))</f>
        <v/>
      </c>
      <c r="X70" s="1"/>
      <c r="Y70" s="1"/>
      <c r="Z70" s="1"/>
      <c r="AA70" s="1"/>
      <c r="AB70" s="1"/>
      <c r="AC70" s="1"/>
      <c r="AD70" s="1"/>
    </row>
    <row r="71" customFormat="false" ht="18" hidden="false" customHeight="true" outlineLevel="0" collapsed="false">
      <c r="A71" s="1"/>
      <c r="B71" s="35"/>
      <c r="C71" s="8"/>
      <c r="D71" s="26"/>
      <c r="E71" s="27"/>
      <c r="F71" s="36"/>
      <c r="G71" s="36"/>
      <c r="H71" s="36"/>
      <c r="I71" s="36"/>
      <c r="J71" s="37" t="str">
        <f aca="false">IF($E71="","",IFERROR(G71/F71,""))</f>
        <v/>
      </c>
      <c r="K71" s="30" t="str">
        <f aca="false">IF($E71="","",IFERROR(E71/G71,""))</f>
        <v/>
      </c>
      <c r="L71" s="30" t="str">
        <f aca="false">IF($E71="","",IFERROR(E71/F71*1000,""))</f>
        <v/>
      </c>
      <c r="M71" s="37" t="str">
        <f aca="false">IF($E71="","",IFERROR(H71/G71,""))</f>
        <v/>
      </c>
      <c r="N71" s="30" t="str">
        <f aca="false">IF($E71="","",IFERROR(E71/H71,"—"))</f>
        <v/>
      </c>
      <c r="O71" s="30" t="str">
        <f aca="false">IF($E71="","",IFERROR(INDEX('Гео-калькулятор'!$K$7:$K$13,MATCH($C71,'Гео-калькулятор'!$B$7:$B$13,0)),""))</f>
        <v/>
      </c>
      <c r="P71" s="38" t="str">
        <f aca="false">IF($E71="","",IFERROR(N71/O71,""))</f>
        <v/>
      </c>
      <c r="Q71" s="39" t="str">
        <f aca="false">IF($E71="","",IF($I71&lt;&gt;"",$I71,N($H71)*IFERROR(INDEX('Гео-калькулятор'!$E$7:$E$13,MATCH($C71,'Гео-калькулятор'!$B$7:$B$13,0)),0)))</f>
        <v/>
      </c>
      <c r="R71" s="38" t="str">
        <f aca="false">IF($E71="","",IFERROR(Q71/H71,""))</f>
        <v/>
      </c>
      <c r="S71" s="30" t="str">
        <f aca="false">IF($E71="","",IFERROR(E71/Q71,"—"))</f>
        <v/>
      </c>
      <c r="T71" s="30" t="str">
        <f aca="false">IF($E71="","",Q71*IFERROR(INDEX('Гео-калькулятор'!$D$7:$D$13,MATCH($C71,'Гео-калькулятор'!$B$7:$B$13,0)),0))</f>
        <v/>
      </c>
      <c r="U71" s="40" t="str">
        <f aca="false">IF($E71="","",T71-E71)</f>
        <v/>
      </c>
      <c r="V71" s="41" t="str">
        <f aca="false">IF($E71="","",IFERROR(U71/E71,""))</f>
        <v/>
      </c>
      <c r="W71" s="10" t="str">
        <f aca="false">IF($E71="","",IF($I71&lt;&gt;"","факт","прогноз"))</f>
        <v/>
      </c>
      <c r="X71" s="1"/>
      <c r="Y71" s="1"/>
      <c r="Z71" s="1"/>
      <c r="AA71" s="1"/>
      <c r="AB71" s="1"/>
      <c r="AC71" s="1"/>
      <c r="AD71" s="1"/>
    </row>
    <row r="72" customFormat="false" ht="18" hidden="false" customHeight="true" outlineLevel="0" collapsed="false">
      <c r="A72" s="1"/>
      <c r="B72" s="35"/>
      <c r="C72" s="8"/>
      <c r="D72" s="26"/>
      <c r="E72" s="27"/>
      <c r="F72" s="36"/>
      <c r="G72" s="36"/>
      <c r="H72" s="36"/>
      <c r="I72" s="36"/>
      <c r="J72" s="37" t="str">
        <f aca="false">IF($E72="","",IFERROR(G72/F72,""))</f>
        <v/>
      </c>
      <c r="K72" s="30" t="str">
        <f aca="false">IF($E72="","",IFERROR(E72/G72,""))</f>
        <v/>
      </c>
      <c r="L72" s="30" t="str">
        <f aca="false">IF($E72="","",IFERROR(E72/F72*1000,""))</f>
        <v/>
      </c>
      <c r="M72" s="37" t="str">
        <f aca="false">IF($E72="","",IFERROR(H72/G72,""))</f>
        <v/>
      </c>
      <c r="N72" s="30" t="str">
        <f aca="false">IF($E72="","",IFERROR(E72/H72,"—"))</f>
        <v/>
      </c>
      <c r="O72" s="30" t="str">
        <f aca="false">IF($E72="","",IFERROR(INDEX('Гео-калькулятор'!$K$7:$K$13,MATCH($C72,'Гео-калькулятор'!$B$7:$B$13,0)),""))</f>
        <v/>
      </c>
      <c r="P72" s="38" t="str">
        <f aca="false">IF($E72="","",IFERROR(N72/O72,""))</f>
        <v/>
      </c>
      <c r="Q72" s="39" t="str">
        <f aca="false">IF($E72="","",IF($I72&lt;&gt;"",$I72,N($H72)*IFERROR(INDEX('Гео-калькулятор'!$E$7:$E$13,MATCH($C72,'Гео-калькулятор'!$B$7:$B$13,0)),0)))</f>
        <v/>
      </c>
      <c r="R72" s="38" t="str">
        <f aca="false">IF($E72="","",IFERROR(Q72/H72,""))</f>
        <v/>
      </c>
      <c r="S72" s="30" t="str">
        <f aca="false">IF($E72="","",IFERROR(E72/Q72,"—"))</f>
        <v/>
      </c>
      <c r="T72" s="30" t="str">
        <f aca="false">IF($E72="","",Q72*IFERROR(INDEX('Гео-калькулятор'!$D$7:$D$13,MATCH($C72,'Гео-калькулятор'!$B$7:$B$13,0)),0))</f>
        <v/>
      </c>
      <c r="U72" s="40" t="str">
        <f aca="false">IF($E72="","",T72-E72)</f>
        <v/>
      </c>
      <c r="V72" s="41" t="str">
        <f aca="false">IF($E72="","",IFERROR(U72/E72,""))</f>
        <v/>
      </c>
      <c r="W72" s="10" t="str">
        <f aca="false">IF($E72="","",IF($I72&lt;&gt;"","факт","прогноз"))</f>
        <v/>
      </c>
      <c r="X72" s="1"/>
      <c r="Y72" s="1"/>
      <c r="Z72" s="1"/>
      <c r="AA72" s="1"/>
      <c r="AB72" s="1"/>
      <c r="AC72" s="1"/>
      <c r="AD72" s="1"/>
    </row>
    <row r="73" customFormat="false" ht="18" hidden="false" customHeight="true" outlineLevel="0" collapsed="false">
      <c r="A73" s="1"/>
      <c r="B73" s="35"/>
      <c r="C73" s="8"/>
      <c r="D73" s="26"/>
      <c r="E73" s="27"/>
      <c r="F73" s="36"/>
      <c r="G73" s="36"/>
      <c r="H73" s="36"/>
      <c r="I73" s="36"/>
      <c r="J73" s="37" t="str">
        <f aca="false">IF($E73="","",IFERROR(G73/F73,""))</f>
        <v/>
      </c>
      <c r="K73" s="30" t="str">
        <f aca="false">IF($E73="","",IFERROR(E73/G73,""))</f>
        <v/>
      </c>
      <c r="L73" s="30" t="str">
        <f aca="false">IF($E73="","",IFERROR(E73/F73*1000,""))</f>
        <v/>
      </c>
      <c r="M73" s="37" t="str">
        <f aca="false">IF($E73="","",IFERROR(H73/G73,""))</f>
        <v/>
      </c>
      <c r="N73" s="30" t="str">
        <f aca="false">IF($E73="","",IFERROR(E73/H73,"—"))</f>
        <v/>
      </c>
      <c r="O73" s="30" t="str">
        <f aca="false">IF($E73="","",IFERROR(INDEX('Гео-калькулятор'!$K$7:$K$13,MATCH($C73,'Гео-калькулятор'!$B$7:$B$13,0)),""))</f>
        <v/>
      </c>
      <c r="P73" s="38" t="str">
        <f aca="false">IF($E73="","",IFERROR(N73/O73,""))</f>
        <v/>
      </c>
      <c r="Q73" s="39" t="str">
        <f aca="false">IF($E73="","",IF($I73&lt;&gt;"",$I73,N($H73)*IFERROR(INDEX('Гео-калькулятор'!$E$7:$E$13,MATCH($C73,'Гео-калькулятор'!$B$7:$B$13,0)),0)))</f>
        <v/>
      </c>
      <c r="R73" s="38" t="str">
        <f aca="false">IF($E73="","",IFERROR(Q73/H73,""))</f>
        <v/>
      </c>
      <c r="S73" s="30" t="str">
        <f aca="false">IF($E73="","",IFERROR(E73/Q73,"—"))</f>
        <v/>
      </c>
      <c r="T73" s="30" t="str">
        <f aca="false">IF($E73="","",Q73*IFERROR(INDEX('Гео-калькулятор'!$D$7:$D$13,MATCH($C73,'Гео-калькулятор'!$B$7:$B$13,0)),0))</f>
        <v/>
      </c>
      <c r="U73" s="40" t="str">
        <f aca="false">IF($E73="","",T73-E73)</f>
        <v/>
      </c>
      <c r="V73" s="41" t="str">
        <f aca="false">IF($E73="","",IFERROR(U73/E73,""))</f>
        <v/>
      </c>
      <c r="W73" s="10" t="str">
        <f aca="false">IF($E73="","",IF($I73&lt;&gt;"","факт","прогноз"))</f>
        <v/>
      </c>
      <c r="X73" s="1"/>
      <c r="Y73" s="1"/>
      <c r="Z73" s="1"/>
      <c r="AA73" s="1"/>
      <c r="AB73" s="1"/>
      <c r="AC73" s="1"/>
      <c r="AD73" s="1"/>
    </row>
    <row r="74" customFormat="false" ht="18" hidden="false" customHeight="true" outlineLevel="0" collapsed="false">
      <c r="A74" s="1"/>
      <c r="B74" s="35"/>
      <c r="C74" s="8"/>
      <c r="D74" s="26"/>
      <c r="E74" s="27"/>
      <c r="F74" s="36"/>
      <c r="G74" s="36"/>
      <c r="H74" s="36"/>
      <c r="I74" s="36"/>
      <c r="J74" s="37" t="str">
        <f aca="false">IF($E74="","",IFERROR(G74/F74,""))</f>
        <v/>
      </c>
      <c r="K74" s="30" t="str">
        <f aca="false">IF($E74="","",IFERROR(E74/G74,""))</f>
        <v/>
      </c>
      <c r="L74" s="30" t="str">
        <f aca="false">IF($E74="","",IFERROR(E74/F74*1000,""))</f>
        <v/>
      </c>
      <c r="M74" s="37" t="str">
        <f aca="false">IF($E74="","",IFERROR(H74/G74,""))</f>
        <v/>
      </c>
      <c r="N74" s="30" t="str">
        <f aca="false">IF($E74="","",IFERROR(E74/H74,"—"))</f>
        <v/>
      </c>
      <c r="O74" s="30" t="str">
        <f aca="false">IF($E74="","",IFERROR(INDEX('Гео-калькулятор'!$K$7:$K$13,MATCH($C74,'Гео-калькулятор'!$B$7:$B$13,0)),""))</f>
        <v/>
      </c>
      <c r="P74" s="38" t="str">
        <f aca="false">IF($E74="","",IFERROR(N74/O74,""))</f>
        <v/>
      </c>
      <c r="Q74" s="39" t="str">
        <f aca="false">IF($E74="","",IF($I74&lt;&gt;"",$I74,N($H74)*IFERROR(INDEX('Гео-калькулятор'!$E$7:$E$13,MATCH($C74,'Гео-калькулятор'!$B$7:$B$13,0)),0)))</f>
        <v/>
      </c>
      <c r="R74" s="38" t="str">
        <f aca="false">IF($E74="","",IFERROR(Q74/H74,""))</f>
        <v/>
      </c>
      <c r="S74" s="30" t="str">
        <f aca="false">IF($E74="","",IFERROR(E74/Q74,"—"))</f>
        <v/>
      </c>
      <c r="T74" s="30" t="str">
        <f aca="false">IF($E74="","",Q74*IFERROR(INDEX('Гео-калькулятор'!$D$7:$D$13,MATCH($C74,'Гео-калькулятор'!$B$7:$B$13,0)),0))</f>
        <v/>
      </c>
      <c r="U74" s="40" t="str">
        <f aca="false">IF($E74="","",T74-E74)</f>
        <v/>
      </c>
      <c r="V74" s="41" t="str">
        <f aca="false">IF($E74="","",IFERROR(U74/E74,""))</f>
        <v/>
      </c>
      <c r="W74" s="10" t="str">
        <f aca="false">IF($E74="","",IF($I74&lt;&gt;"","факт","прогноз"))</f>
        <v/>
      </c>
      <c r="X74" s="1"/>
      <c r="Y74" s="1"/>
      <c r="Z74" s="1"/>
      <c r="AA74" s="1"/>
      <c r="AB74" s="1"/>
      <c r="AC74" s="1"/>
      <c r="AD74" s="1"/>
    </row>
    <row r="75" customFormat="false" ht="18" hidden="false" customHeight="true" outlineLevel="0" collapsed="false">
      <c r="A75" s="1"/>
      <c r="B75" s="35"/>
      <c r="C75" s="8"/>
      <c r="D75" s="26"/>
      <c r="E75" s="27"/>
      <c r="F75" s="36"/>
      <c r="G75" s="36"/>
      <c r="H75" s="36"/>
      <c r="I75" s="36"/>
      <c r="J75" s="37" t="str">
        <f aca="false">IF($E75="","",IFERROR(G75/F75,""))</f>
        <v/>
      </c>
      <c r="K75" s="30" t="str">
        <f aca="false">IF($E75="","",IFERROR(E75/G75,""))</f>
        <v/>
      </c>
      <c r="L75" s="30" t="str">
        <f aca="false">IF($E75="","",IFERROR(E75/F75*1000,""))</f>
        <v/>
      </c>
      <c r="M75" s="37" t="str">
        <f aca="false">IF($E75="","",IFERROR(H75/G75,""))</f>
        <v/>
      </c>
      <c r="N75" s="30" t="str">
        <f aca="false">IF($E75="","",IFERROR(E75/H75,"—"))</f>
        <v/>
      </c>
      <c r="O75" s="30" t="str">
        <f aca="false">IF($E75="","",IFERROR(INDEX('Гео-калькулятор'!$K$7:$K$13,MATCH($C75,'Гео-калькулятор'!$B$7:$B$13,0)),""))</f>
        <v/>
      </c>
      <c r="P75" s="38" t="str">
        <f aca="false">IF($E75="","",IFERROR(N75/O75,""))</f>
        <v/>
      </c>
      <c r="Q75" s="39" t="str">
        <f aca="false">IF($E75="","",IF($I75&lt;&gt;"",$I75,N($H75)*IFERROR(INDEX('Гео-калькулятор'!$E$7:$E$13,MATCH($C75,'Гео-калькулятор'!$B$7:$B$13,0)),0)))</f>
        <v/>
      </c>
      <c r="R75" s="38" t="str">
        <f aca="false">IF($E75="","",IFERROR(Q75/H75,""))</f>
        <v/>
      </c>
      <c r="S75" s="30" t="str">
        <f aca="false">IF($E75="","",IFERROR(E75/Q75,"—"))</f>
        <v/>
      </c>
      <c r="T75" s="30" t="str">
        <f aca="false">IF($E75="","",Q75*IFERROR(INDEX('Гео-калькулятор'!$D$7:$D$13,MATCH($C75,'Гео-калькулятор'!$B$7:$B$13,0)),0))</f>
        <v/>
      </c>
      <c r="U75" s="40" t="str">
        <f aca="false">IF($E75="","",T75-E75)</f>
        <v/>
      </c>
      <c r="V75" s="41" t="str">
        <f aca="false">IF($E75="","",IFERROR(U75/E75,""))</f>
        <v/>
      </c>
      <c r="W75" s="10" t="str">
        <f aca="false">IF($E75="","",IF($I75&lt;&gt;"","факт","прогноз"))</f>
        <v/>
      </c>
      <c r="X75" s="1"/>
      <c r="Y75" s="1"/>
      <c r="Z75" s="1"/>
      <c r="AA75" s="1"/>
      <c r="AB75" s="1"/>
      <c r="AC75" s="1"/>
      <c r="AD75" s="1"/>
    </row>
    <row r="76" customFormat="false" ht="18" hidden="false" customHeight="true" outlineLevel="0" collapsed="false">
      <c r="A76" s="1"/>
      <c r="B76" s="35"/>
      <c r="C76" s="8"/>
      <c r="D76" s="26"/>
      <c r="E76" s="27"/>
      <c r="F76" s="36"/>
      <c r="G76" s="36"/>
      <c r="H76" s="36"/>
      <c r="I76" s="36"/>
      <c r="J76" s="37" t="str">
        <f aca="false">IF($E76="","",IFERROR(G76/F76,""))</f>
        <v/>
      </c>
      <c r="K76" s="30" t="str">
        <f aca="false">IF($E76="","",IFERROR(E76/G76,""))</f>
        <v/>
      </c>
      <c r="L76" s="30" t="str">
        <f aca="false">IF($E76="","",IFERROR(E76/F76*1000,""))</f>
        <v/>
      </c>
      <c r="M76" s="37" t="str">
        <f aca="false">IF($E76="","",IFERROR(H76/G76,""))</f>
        <v/>
      </c>
      <c r="N76" s="30" t="str">
        <f aca="false">IF($E76="","",IFERROR(E76/H76,"—"))</f>
        <v/>
      </c>
      <c r="O76" s="30" t="str">
        <f aca="false">IF($E76="","",IFERROR(INDEX('Гео-калькулятор'!$K$7:$K$13,MATCH($C76,'Гео-калькулятор'!$B$7:$B$13,0)),""))</f>
        <v/>
      </c>
      <c r="P76" s="38" t="str">
        <f aca="false">IF($E76="","",IFERROR(N76/O76,""))</f>
        <v/>
      </c>
      <c r="Q76" s="39" t="str">
        <f aca="false">IF($E76="","",IF($I76&lt;&gt;"",$I76,N($H76)*IFERROR(INDEX('Гео-калькулятор'!$E$7:$E$13,MATCH($C76,'Гео-калькулятор'!$B$7:$B$13,0)),0)))</f>
        <v/>
      </c>
      <c r="R76" s="38" t="str">
        <f aca="false">IF($E76="","",IFERROR(Q76/H76,""))</f>
        <v/>
      </c>
      <c r="S76" s="30" t="str">
        <f aca="false">IF($E76="","",IFERROR(E76/Q76,"—"))</f>
        <v/>
      </c>
      <c r="T76" s="30" t="str">
        <f aca="false">IF($E76="","",Q76*IFERROR(INDEX('Гео-калькулятор'!$D$7:$D$13,MATCH($C76,'Гео-калькулятор'!$B$7:$B$13,0)),0))</f>
        <v/>
      </c>
      <c r="U76" s="40" t="str">
        <f aca="false">IF($E76="","",T76-E76)</f>
        <v/>
      </c>
      <c r="V76" s="41" t="str">
        <f aca="false">IF($E76="","",IFERROR(U76/E76,""))</f>
        <v/>
      </c>
      <c r="W76" s="10" t="str">
        <f aca="false">IF($E76="","",IF($I76&lt;&gt;"","факт","прогноз"))</f>
        <v/>
      </c>
      <c r="X76" s="1"/>
      <c r="Y76" s="1"/>
      <c r="Z76" s="1"/>
      <c r="AA76" s="1"/>
      <c r="AB76" s="1"/>
      <c r="AC76" s="1"/>
      <c r="AD76" s="1"/>
    </row>
    <row r="77" customFormat="false" ht="18" hidden="false" customHeight="true" outlineLevel="0" collapsed="false">
      <c r="A77" s="1"/>
      <c r="B77" s="35"/>
      <c r="C77" s="8"/>
      <c r="D77" s="26"/>
      <c r="E77" s="27"/>
      <c r="F77" s="36"/>
      <c r="G77" s="36"/>
      <c r="H77" s="36"/>
      <c r="I77" s="36"/>
      <c r="J77" s="37" t="str">
        <f aca="false">IF($E77="","",IFERROR(G77/F77,""))</f>
        <v/>
      </c>
      <c r="K77" s="30" t="str">
        <f aca="false">IF($E77="","",IFERROR(E77/G77,""))</f>
        <v/>
      </c>
      <c r="L77" s="30" t="str">
        <f aca="false">IF($E77="","",IFERROR(E77/F77*1000,""))</f>
        <v/>
      </c>
      <c r="M77" s="37" t="str">
        <f aca="false">IF($E77="","",IFERROR(H77/G77,""))</f>
        <v/>
      </c>
      <c r="N77" s="30" t="str">
        <f aca="false">IF($E77="","",IFERROR(E77/H77,"—"))</f>
        <v/>
      </c>
      <c r="O77" s="30" t="str">
        <f aca="false">IF($E77="","",IFERROR(INDEX('Гео-калькулятор'!$K$7:$K$13,MATCH($C77,'Гео-калькулятор'!$B$7:$B$13,0)),""))</f>
        <v/>
      </c>
      <c r="P77" s="38" t="str">
        <f aca="false">IF($E77="","",IFERROR(N77/O77,""))</f>
        <v/>
      </c>
      <c r="Q77" s="39" t="str">
        <f aca="false">IF($E77="","",IF($I77&lt;&gt;"",$I77,N($H77)*IFERROR(INDEX('Гео-калькулятор'!$E$7:$E$13,MATCH($C77,'Гео-калькулятор'!$B$7:$B$13,0)),0)))</f>
        <v/>
      </c>
      <c r="R77" s="38" t="str">
        <f aca="false">IF($E77="","",IFERROR(Q77/H77,""))</f>
        <v/>
      </c>
      <c r="S77" s="30" t="str">
        <f aca="false">IF($E77="","",IFERROR(E77/Q77,"—"))</f>
        <v/>
      </c>
      <c r="T77" s="30" t="str">
        <f aca="false">IF($E77="","",Q77*IFERROR(INDEX('Гео-калькулятор'!$D$7:$D$13,MATCH($C77,'Гео-калькулятор'!$B$7:$B$13,0)),0))</f>
        <v/>
      </c>
      <c r="U77" s="40" t="str">
        <f aca="false">IF($E77="","",T77-E77)</f>
        <v/>
      </c>
      <c r="V77" s="41" t="str">
        <f aca="false">IF($E77="","",IFERROR(U77/E77,""))</f>
        <v/>
      </c>
      <c r="W77" s="10" t="str">
        <f aca="false">IF($E77="","",IF($I77&lt;&gt;"","факт","прогноз"))</f>
        <v/>
      </c>
      <c r="X77" s="1"/>
      <c r="Y77" s="1"/>
      <c r="Z77" s="1"/>
      <c r="AA77" s="1"/>
      <c r="AB77" s="1"/>
      <c r="AC77" s="1"/>
      <c r="AD77" s="1"/>
    </row>
    <row r="78" customFormat="false" ht="18" hidden="false" customHeight="true" outlineLevel="0" collapsed="false">
      <c r="A78" s="1"/>
      <c r="B78" s="35"/>
      <c r="C78" s="8"/>
      <c r="D78" s="26"/>
      <c r="E78" s="27"/>
      <c r="F78" s="36"/>
      <c r="G78" s="36"/>
      <c r="H78" s="36"/>
      <c r="I78" s="36"/>
      <c r="J78" s="37" t="str">
        <f aca="false">IF($E78="","",IFERROR(G78/F78,""))</f>
        <v/>
      </c>
      <c r="K78" s="30" t="str">
        <f aca="false">IF($E78="","",IFERROR(E78/G78,""))</f>
        <v/>
      </c>
      <c r="L78" s="30" t="str">
        <f aca="false">IF($E78="","",IFERROR(E78/F78*1000,""))</f>
        <v/>
      </c>
      <c r="M78" s="37" t="str">
        <f aca="false">IF($E78="","",IFERROR(H78/G78,""))</f>
        <v/>
      </c>
      <c r="N78" s="30" t="str">
        <f aca="false">IF($E78="","",IFERROR(E78/H78,"—"))</f>
        <v/>
      </c>
      <c r="O78" s="30" t="str">
        <f aca="false">IF($E78="","",IFERROR(INDEX('Гео-калькулятор'!$K$7:$K$13,MATCH($C78,'Гео-калькулятор'!$B$7:$B$13,0)),""))</f>
        <v/>
      </c>
      <c r="P78" s="38" t="str">
        <f aca="false">IF($E78="","",IFERROR(N78/O78,""))</f>
        <v/>
      </c>
      <c r="Q78" s="39" t="str">
        <f aca="false">IF($E78="","",IF($I78&lt;&gt;"",$I78,N($H78)*IFERROR(INDEX('Гео-калькулятор'!$E$7:$E$13,MATCH($C78,'Гео-калькулятор'!$B$7:$B$13,0)),0)))</f>
        <v/>
      </c>
      <c r="R78" s="38" t="str">
        <f aca="false">IF($E78="","",IFERROR(Q78/H78,""))</f>
        <v/>
      </c>
      <c r="S78" s="30" t="str">
        <f aca="false">IF($E78="","",IFERROR(E78/Q78,"—"))</f>
        <v/>
      </c>
      <c r="T78" s="30" t="str">
        <f aca="false">IF($E78="","",Q78*IFERROR(INDEX('Гео-калькулятор'!$D$7:$D$13,MATCH($C78,'Гео-калькулятор'!$B$7:$B$13,0)),0))</f>
        <v/>
      </c>
      <c r="U78" s="40" t="str">
        <f aca="false">IF($E78="","",T78-E78)</f>
        <v/>
      </c>
      <c r="V78" s="41" t="str">
        <f aca="false">IF($E78="","",IFERROR(U78/E78,""))</f>
        <v/>
      </c>
      <c r="W78" s="10" t="str">
        <f aca="false">IF($E78="","",IF($I78&lt;&gt;"","факт","прогноз"))</f>
        <v/>
      </c>
      <c r="X78" s="1"/>
      <c r="Y78" s="1"/>
      <c r="Z78" s="1"/>
      <c r="AA78" s="1"/>
      <c r="AB78" s="1"/>
      <c r="AC78" s="1"/>
      <c r="AD78" s="1"/>
    </row>
    <row r="79" customFormat="false" ht="18" hidden="false" customHeight="true" outlineLevel="0" collapsed="false">
      <c r="A79" s="1"/>
      <c r="B79" s="35"/>
      <c r="C79" s="8"/>
      <c r="D79" s="26"/>
      <c r="E79" s="27"/>
      <c r="F79" s="36"/>
      <c r="G79" s="36"/>
      <c r="H79" s="36"/>
      <c r="I79" s="36"/>
      <c r="J79" s="37" t="str">
        <f aca="false">IF($E79="","",IFERROR(G79/F79,""))</f>
        <v/>
      </c>
      <c r="K79" s="30" t="str">
        <f aca="false">IF($E79="","",IFERROR(E79/G79,""))</f>
        <v/>
      </c>
      <c r="L79" s="30" t="str">
        <f aca="false">IF($E79="","",IFERROR(E79/F79*1000,""))</f>
        <v/>
      </c>
      <c r="M79" s="37" t="str">
        <f aca="false">IF($E79="","",IFERROR(H79/G79,""))</f>
        <v/>
      </c>
      <c r="N79" s="30" t="str">
        <f aca="false">IF($E79="","",IFERROR(E79/H79,"—"))</f>
        <v/>
      </c>
      <c r="O79" s="30" t="str">
        <f aca="false">IF($E79="","",IFERROR(INDEX('Гео-калькулятор'!$K$7:$K$13,MATCH($C79,'Гео-калькулятор'!$B$7:$B$13,0)),""))</f>
        <v/>
      </c>
      <c r="P79" s="38" t="str">
        <f aca="false">IF($E79="","",IFERROR(N79/O79,""))</f>
        <v/>
      </c>
      <c r="Q79" s="39" t="str">
        <f aca="false">IF($E79="","",IF($I79&lt;&gt;"",$I79,N($H79)*IFERROR(INDEX('Гео-калькулятор'!$E$7:$E$13,MATCH($C79,'Гео-калькулятор'!$B$7:$B$13,0)),0)))</f>
        <v/>
      </c>
      <c r="R79" s="38" t="str">
        <f aca="false">IF($E79="","",IFERROR(Q79/H79,""))</f>
        <v/>
      </c>
      <c r="S79" s="30" t="str">
        <f aca="false">IF($E79="","",IFERROR(E79/Q79,"—"))</f>
        <v/>
      </c>
      <c r="T79" s="30" t="str">
        <f aca="false">IF($E79="","",Q79*IFERROR(INDEX('Гео-калькулятор'!$D$7:$D$13,MATCH($C79,'Гео-калькулятор'!$B$7:$B$13,0)),0))</f>
        <v/>
      </c>
      <c r="U79" s="40" t="str">
        <f aca="false">IF($E79="","",T79-E79)</f>
        <v/>
      </c>
      <c r="V79" s="41" t="str">
        <f aca="false">IF($E79="","",IFERROR(U79/E79,""))</f>
        <v/>
      </c>
      <c r="W79" s="10" t="str">
        <f aca="false">IF($E79="","",IF($I79&lt;&gt;"","факт","прогноз"))</f>
        <v/>
      </c>
      <c r="X79" s="1"/>
      <c r="Y79" s="1"/>
      <c r="Z79" s="1"/>
      <c r="AA79" s="1"/>
      <c r="AB79" s="1"/>
      <c r="AC79" s="1"/>
      <c r="AD79" s="1"/>
    </row>
    <row r="80" customFormat="false" ht="18" hidden="false" customHeight="true" outlineLevel="0" collapsed="false">
      <c r="A80" s="1"/>
      <c r="B80" s="35"/>
      <c r="C80" s="8"/>
      <c r="D80" s="26"/>
      <c r="E80" s="27"/>
      <c r="F80" s="36"/>
      <c r="G80" s="36"/>
      <c r="H80" s="36"/>
      <c r="I80" s="36"/>
      <c r="J80" s="37" t="str">
        <f aca="false">IF($E80="","",IFERROR(G80/F80,""))</f>
        <v/>
      </c>
      <c r="K80" s="30" t="str">
        <f aca="false">IF($E80="","",IFERROR(E80/G80,""))</f>
        <v/>
      </c>
      <c r="L80" s="30" t="str">
        <f aca="false">IF($E80="","",IFERROR(E80/F80*1000,""))</f>
        <v/>
      </c>
      <c r="M80" s="37" t="str">
        <f aca="false">IF($E80="","",IFERROR(H80/G80,""))</f>
        <v/>
      </c>
      <c r="N80" s="30" t="str">
        <f aca="false">IF($E80="","",IFERROR(E80/H80,"—"))</f>
        <v/>
      </c>
      <c r="O80" s="30" t="str">
        <f aca="false">IF($E80="","",IFERROR(INDEX('Гео-калькулятор'!$K$7:$K$13,MATCH($C80,'Гео-калькулятор'!$B$7:$B$13,0)),""))</f>
        <v/>
      </c>
      <c r="P80" s="38" t="str">
        <f aca="false">IF($E80="","",IFERROR(N80/O80,""))</f>
        <v/>
      </c>
      <c r="Q80" s="39" t="str">
        <f aca="false">IF($E80="","",IF($I80&lt;&gt;"",$I80,N($H80)*IFERROR(INDEX('Гео-калькулятор'!$E$7:$E$13,MATCH($C80,'Гео-калькулятор'!$B$7:$B$13,0)),0)))</f>
        <v/>
      </c>
      <c r="R80" s="38" t="str">
        <f aca="false">IF($E80="","",IFERROR(Q80/H80,""))</f>
        <v/>
      </c>
      <c r="S80" s="30" t="str">
        <f aca="false">IF($E80="","",IFERROR(E80/Q80,"—"))</f>
        <v/>
      </c>
      <c r="T80" s="30" t="str">
        <f aca="false">IF($E80="","",Q80*IFERROR(INDEX('Гео-калькулятор'!$D$7:$D$13,MATCH($C80,'Гео-калькулятор'!$B$7:$B$13,0)),0))</f>
        <v/>
      </c>
      <c r="U80" s="40" t="str">
        <f aca="false">IF($E80="","",T80-E80)</f>
        <v/>
      </c>
      <c r="V80" s="41" t="str">
        <f aca="false">IF($E80="","",IFERROR(U80/E80,""))</f>
        <v/>
      </c>
      <c r="W80" s="10" t="str">
        <f aca="false">IF($E80="","",IF($I80&lt;&gt;"","факт","прогноз"))</f>
        <v/>
      </c>
      <c r="X80" s="1"/>
      <c r="Y80" s="1"/>
      <c r="Z80" s="1"/>
      <c r="AA80" s="1"/>
      <c r="AB80" s="1"/>
      <c r="AC80" s="1"/>
      <c r="AD80" s="1"/>
    </row>
    <row r="81" customFormat="false" ht="18" hidden="false" customHeight="true" outlineLevel="0" collapsed="false">
      <c r="A81" s="1"/>
      <c r="B81" s="35"/>
      <c r="C81" s="8"/>
      <c r="D81" s="26"/>
      <c r="E81" s="27"/>
      <c r="F81" s="36"/>
      <c r="G81" s="36"/>
      <c r="H81" s="36"/>
      <c r="I81" s="36"/>
      <c r="J81" s="37" t="str">
        <f aca="false">IF($E81="","",IFERROR(G81/F81,""))</f>
        <v/>
      </c>
      <c r="K81" s="30" t="str">
        <f aca="false">IF($E81="","",IFERROR(E81/G81,""))</f>
        <v/>
      </c>
      <c r="L81" s="30" t="str">
        <f aca="false">IF($E81="","",IFERROR(E81/F81*1000,""))</f>
        <v/>
      </c>
      <c r="M81" s="37" t="str">
        <f aca="false">IF($E81="","",IFERROR(H81/G81,""))</f>
        <v/>
      </c>
      <c r="N81" s="30" t="str">
        <f aca="false">IF($E81="","",IFERROR(E81/H81,"—"))</f>
        <v/>
      </c>
      <c r="O81" s="30" t="str">
        <f aca="false">IF($E81="","",IFERROR(INDEX('Гео-калькулятор'!$K$7:$K$13,MATCH($C81,'Гео-калькулятор'!$B$7:$B$13,0)),""))</f>
        <v/>
      </c>
      <c r="P81" s="38" t="str">
        <f aca="false">IF($E81="","",IFERROR(N81/O81,""))</f>
        <v/>
      </c>
      <c r="Q81" s="39" t="str">
        <f aca="false">IF($E81="","",IF($I81&lt;&gt;"",$I81,N($H81)*IFERROR(INDEX('Гео-калькулятор'!$E$7:$E$13,MATCH($C81,'Гео-калькулятор'!$B$7:$B$13,0)),0)))</f>
        <v/>
      </c>
      <c r="R81" s="38" t="str">
        <f aca="false">IF($E81="","",IFERROR(Q81/H81,""))</f>
        <v/>
      </c>
      <c r="S81" s="30" t="str">
        <f aca="false">IF($E81="","",IFERROR(E81/Q81,"—"))</f>
        <v/>
      </c>
      <c r="T81" s="30" t="str">
        <f aca="false">IF($E81="","",Q81*IFERROR(INDEX('Гео-калькулятор'!$D$7:$D$13,MATCH($C81,'Гео-калькулятор'!$B$7:$B$13,0)),0))</f>
        <v/>
      </c>
      <c r="U81" s="40" t="str">
        <f aca="false">IF($E81="","",T81-E81)</f>
        <v/>
      </c>
      <c r="V81" s="41" t="str">
        <f aca="false">IF($E81="","",IFERROR(U81/E81,""))</f>
        <v/>
      </c>
      <c r="W81" s="10" t="str">
        <f aca="false">IF($E81="","",IF($I81&lt;&gt;"","факт","прогноз"))</f>
        <v/>
      </c>
      <c r="X81" s="1"/>
      <c r="Y81" s="1"/>
      <c r="Z81" s="1"/>
      <c r="AA81" s="1"/>
      <c r="AB81" s="1"/>
      <c r="AC81" s="1"/>
      <c r="AD81" s="1"/>
    </row>
    <row r="82" customFormat="false" ht="18" hidden="false" customHeight="true" outlineLevel="0" collapsed="false">
      <c r="A82" s="1"/>
      <c r="B82" s="35"/>
      <c r="C82" s="8"/>
      <c r="D82" s="26"/>
      <c r="E82" s="27"/>
      <c r="F82" s="36"/>
      <c r="G82" s="36"/>
      <c r="H82" s="36"/>
      <c r="I82" s="36"/>
      <c r="J82" s="37" t="str">
        <f aca="false">IF($E82="","",IFERROR(G82/F82,""))</f>
        <v/>
      </c>
      <c r="K82" s="30" t="str">
        <f aca="false">IF($E82="","",IFERROR(E82/G82,""))</f>
        <v/>
      </c>
      <c r="L82" s="30" t="str">
        <f aca="false">IF($E82="","",IFERROR(E82/F82*1000,""))</f>
        <v/>
      </c>
      <c r="M82" s="37" t="str">
        <f aca="false">IF($E82="","",IFERROR(H82/G82,""))</f>
        <v/>
      </c>
      <c r="N82" s="30" t="str">
        <f aca="false">IF($E82="","",IFERROR(E82/H82,"—"))</f>
        <v/>
      </c>
      <c r="O82" s="30" t="str">
        <f aca="false">IF($E82="","",IFERROR(INDEX('Гео-калькулятор'!$K$7:$K$13,MATCH($C82,'Гео-калькулятор'!$B$7:$B$13,0)),""))</f>
        <v/>
      </c>
      <c r="P82" s="38" t="str">
        <f aca="false">IF($E82="","",IFERROR(N82/O82,""))</f>
        <v/>
      </c>
      <c r="Q82" s="39" t="str">
        <f aca="false">IF($E82="","",IF($I82&lt;&gt;"",$I82,N($H82)*IFERROR(INDEX('Гео-калькулятор'!$E$7:$E$13,MATCH($C82,'Гео-калькулятор'!$B$7:$B$13,0)),0)))</f>
        <v/>
      </c>
      <c r="R82" s="38" t="str">
        <f aca="false">IF($E82="","",IFERROR(Q82/H82,""))</f>
        <v/>
      </c>
      <c r="S82" s="30" t="str">
        <f aca="false">IF($E82="","",IFERROR(E82/Q82,"—"))</f>
        <v/>
      </c>
      <c r="T82" s="30" t="str">
        <f aca="false">IF($E82="","",Q82*IFERROR(INDEX('Гео-калькулятор'!$D$7:$D$13,MATCH($C82,'Гео-калькулятор'!$B$7:$B$13,0)),0))</f>
        <v/>
      </c>
      <c r="U82" s="40" t="str">
        <f aca="false">IF($E82="","",T82-E82)</f>
        <v/>
      </c>
      <c r="V82" s="41" t="str">
        <f aca="false">IF($E82="","",IFERROR(U82/E82,""))</f>
        <v/>
      </c>
      <c r="W82" s="10" t="str">
        <f aca="false">IF($E82="","",IF($I82&lt;&gt;"","факт","прогноз"))</f>
        <v/>
      </c>
      <c r="X82" s="1"/>
      <c r="Y82" s="1"/>
      <c r="Z82" s="1"/>
      <c r="AA82" s="1"/>
      <c r="AB82" s="1"/>
      <c r="AC82" s="1"/>
      <c r="AD82" s="1"/>
    </row>
    <row r="83" customFormat="false" ht="18" hidden="false" customHeight="true" outlineLevel="0" collapsed="false">
      <c r="A83" s="1"/>
      <c r="B83" s="35"/>
      <c r="C83" s="8"/>
      <c r="D83" s="26"/>
      <c r="E83" s="27"/>
      <c r="F83" s="36"/>
      <c r="G83" s="36"/>
      <c r="H83" s="36"/>
      <c r="I83" s="36"/>
      <c r="J83" s="37" t="str">
        <f aca="false">IF($E83="","",IFERROR(G83/F83,""))</f>
        <v/>
      </c>
      <c r="K83" s="30" t="str">
        <f aca="false">IF($E83="","",IFERROR(E83/G83,""))</f>
        <v/>
      </c>
      <c r="L83" s="30" t="str">
        <f aca="false">IF($E83="","",IFERROR(E83/F83*1000,""))</f>
        <v/>
      </c>
      <c r="M83" s="37" t="str">
        <f aca="false">IF($E83="","",IFERROR(H83/G83,""))</f>
        <v/>
      </c>
      <c r="N83" s="30" t="str">
        <f aca="false">IF($E83="","",IFERROR(E83/H83,"—"))</f>
        <v/>
      </c>
      <c r="O83" s="30" t="str">
        <f aca="false">IF($E83="","",IFERROR(INDEX('Гео-калькулятор'!$K$7:$K$13,MATCH($C83,'Гео-калькулятор'!$B$7:$B$13,0)),""))</f>
        <v/>
      </c>
      <c r="P83" s="38" t="str">
        <f aca="false">IF($E83="","",IFERROR(N83/O83,""))</f>
        <v/>
      </c>
      <c r="Q83" s="39" t="str">
        <f aca="false">IF($E83="","",IF($I83&lt;&gt;"",$I83,N($H83)*IFERROR(INDEX('Гео-калькулятор'!$E$7:$E$13,MATCH($C83,'Гео-калькулятор'!$B$7:$B$13,0)),0)))</f>
        <v/>
      </c>
      <c r="R83" s="38" t="str">
        <f aca="false">IF($E83="","",IFERROR(Q83/H83,""))</f>
        <v/>
      </c>
      <c r="S83" s="30" t="str">
        <f aca="false">IF($E83="","",IFERROR(E83/Q83,"—"))</f>
        <v/>
      </c>
      <c r="T83" s="30" t="str">
        <f aca="false">IF($E83="","",Q83*IFERROR(INDEX('Гео-калькулятор'!$D$7:$D$13,MATCH($C83,'Гео-калькулятор'!$B$7:$B$13,0)),0))</f>
        <v/>
      </c>
      <c r="U83" s="40" t="str">
        <f aca="false">IF($E83="","",T83-E83)</f>
        <v/>
      </c>
      <c r="V83" s="41" t="str">
        <f aca="false">IF($E83="","",IFERROR(U83/E83,""))</f>
        <v/>
      </c>
      <c r="W83" s="10" t="str">
        <f aca="false">IF($E83="","",IF($I83&lt;&gt;"","факт","прогноз"))</f>
        <v/>
      </c>
      <c r="X83" s="1"/>
      <c r="Y83" s="1"/>
      <c r="Z83" s="1"/>
      <c r="AA83" s="1"/>
      <c r="AB83" s="1"/>
      <c r="AC83" s="1"/>
      <c r="AD83" s="1"/>
    </row>
    <row r="84" customFormat="false" ht="18" hidden="false" customHeight="true" outlineLevel="0" collapsed="false">
      <c r="A84" s="1"/>
      <c r="B84" s="35"/>
      <c r="C84" s="8"/>
      <c r="D84" s="26"/>
      <c r="E84" s="27"/>
      <c r="F84" s="36"/>
      <c r="G84" s="36"/>
      <c r="H84" s="36"/>
      <c r="I84" s="36"/>
      <c r="J84" s="37" t="str">
        <f aca="false">IF($E84="","",IFERROR(G84/F84,""))</f>
        <v/>
      </c>
      <c r="K84" s="30" t="str">
        <f aca="false">IF($E84="","",IFERROR(E84/G84,""))</f>
        <v/>
      </c>
      <c r="L84" s="30" t="str">
        <f aca="false">IF($E84="","",IFERROR(E84/F84*1000,""))</f>
        <v/>
      </c>
      <c r="M84" s="37" t="str">
        <f aca="false">IF($E84="","",IFERROR(H84/G84,""))</f>
        <v/>
      </c>
      <c r="N84" s="30" t="str">
        <f aca="false">IF($E84="","",IFERROR(E84/H84,"—"))</f>
        <v/>
      </c>
      <c r="O84" s="30" t="str">
        <f aca="false">IF($E84="","",IFERROR(INDEX('Гео-калькулятор'!$K$7:$K$13,MATCH($C84,'Гео-калькулятор'!$B$7:$B$13,0)),""))</f>
        <v/>
      </c>
      <c r="P84" s="38" t="str">
        <f aca="false">IF($E84="","",IFERROR(N84/O84,""))</f>
        <v/>
      </c>
      <c r="Q84" s="39" t="str">
        <f aca="false">IF($E84="","",IF($I84&lt;&gt;"",$I84,N($H84)*IFERROR(INDEX('Гео-калькулятор'!$E$7:$E$13,MATCH($C84,'Гео-калькулятор'!$B$7:$B$13,0)),0)))</f>
        <v/>
      </c>
      <c r="R84" s="38" t="str">
        <f aca="false">IF($E84="","",IFERROR(Q84/H84,""))</f>
        <v/>
      </c>
      <c r="S84" s="30" t="str">
        <f aca="false">IF($E84="","",IFERROR(E84/Q84,"—"))</f>
        <v/>
      </c>
      <c r="T84" s="30" t="str">
        <f aca="false">IF($E84="","",Q84*IFERROR(INDEX('Гео-калькулятор'!$D$7:$D$13,MATCH($C84,'Гео-калькулятор'!$B$7:$B$13,0)),0))</f>
        <v/>
      </c>
      <c r="U84" s="40" t="str">
        <f aca="false">IF($E84="","",T84-E84)</f>
        <v/>
      </c>
      <c r="V84" s="41" t="str">
        <f aca="false">IF($E84="","",IFERROR(U84/E84,""))</f>
        <v/>
      </c>
      <c r="W84" s="10" t="str">
        <f aca="false">IF($E84="","",IF($I84&lt;&gt;"","факт","прогноз"))</f>
        <v/>
      </c>
      <c r="X84" s="1"/>
      <c r="Y84" s="1"/>
      <c r="Z84" s="1"/>
      <c r="AA84" s="1"/>
      <c r="AB84" s="1"/>
      <c r="AC84" s="1"/>
      <c r="AD84" s="1"/>
    </row>
    <row r="85" customFormat="false" ht="18" hidden="false" customHeight="true" outlineLevel="0" collapsed="false">
      <c r="A85" s="1"/>
      <c r="B85" s="35"/>
      <c r="C85" s="8"/>
      <c r="D85" s="26"/>
      <c r="E85" s="27"/>
      <c r="F85" s="36"/>
      <c r="G85" s="36"/>
      <c r="H85" s="36"/>
      <c r="I85" s="36"/>
      <c r="J85" s="37" t="str">
        <f aca="false">IF($E85="","",IFERROR(G85/F85,""))</f>
        <v/>
      </c>
      <c r="K85" s="30" t="str">
        <f aca="false">IF($E85="","",IFERROR(E85/G85,""))</f>
        <v/>
      </c>
      <c r="L85" s="30" t="str">
        <f aca="false">IF($E85="","",IFERROR(E85/F85*1000,""))</f>
        <v/>
      </c>
      <c r="M85" s="37" t="str">
        <f aca="false">IF($E85="","",IFERROR(H85/G85,""))</f>
        <v/>
      </c>
      <c r="N85" s="30" t="str">
        <f aca="false">IF($E85="","",IFERROR(E85/H85,"—"))</f>
        <v/>
      </c>
      <c r="O85" s="30" t="str">
        <f aca="false">IF($E85="","",IFERROR(INDEX('Гео-калькулятор'!$K$7:$K$13,MATCH($C85,'Гео-калькулятор'!$B$7:$B$13,0)),""))</f>
        <v/>
      </c>
      <c r="P85" s="38" t="str">
        <f aca="false">IF($E85="","",IFERROR(N85/O85,""))</f>
        <v/>
      </c>
      <c r="Q85" s="39" t="str">
        <f aca="false">IF($E85="","",IF($I85&lt;&gt;"",$I85,N($H85)*IFERROR(INDEX('Гео-калькулятор'!$E$7:$E$13,MATCH($C85,'Гео-калькулятор'!$B$7:$B$13,0)),0)))</f>
        <v/>
      </c>
      <c r="R85" s="38" t="str">
        <f aca="false">IF($E85="","",IFERROR(Q85/H85,""))</f>
        <v/>
      </c>
      <c r="S85" s="30" t="str">
        <f aca="false">IF($E85="","",IFERROR(E85/Q85,"—"))</f>
        <v/>
      </c>
      <c r="T85" s="30" t="str">
        <f aca="false">IF($E85="","",Q85*IFERROR(INDEX('Гео-калькулятор'!$D$7:$D$13,MATCH($C85,'Гео-калькулятор'!$B$7:$B$13,0)),0))</f>
        <v/>
      </c>
      <c r="U85" s="40" t="str">
        <f aca="false">IF($E85="","",T85-E85)</f>
        <v/>
      </c>
      <c r="V85" s="41" t="str">
        <f aca="false">IF($E85="","",IFERROR(U85/E85,""))</f>
        <v/>
      </c>
      <c r="W85" s="10" t="str">
        <f aca="false">IF($E85="","",IF($I85&lt;&gt;"","факт","прогноз"))</f>
        <v/>
      </c>
      <c r="X85" s="1"/>
      <c r="Y85" s="1"/>
      <c r="Z85" s="1"/>
      <c r="AA85" s="1"/>
      <c r="AB85" s="1"/>
      <c r="AC85" s="1"/>
      <c r="AD85" s="1"/>
    </row>
    <row r="86" customFormat="false" ht="18" hidden="false" customHeight="true" outlineLevel="0" collapsed="false">
      <c r="A86" s="1"/>
      <c r="B86" s="35"/>
      <c r="C86" s="8"/>
      <c r="D86" s="26"/>
      <c r="E86" s="27"/>
      <c r="F86" s="36"/>
      <c r="G86" s="36"/>
      <c r="H86" s="36"/>
      <c r="I86" s="36"/>
      <c r="J86" s="37" t="str">
        <f aca="false">IF($E86="","",IFERROR(G86/F86,""))</f>
        <v/>
      </c>
      <c r="K86" s="30" t="str">
        <f aca="false">IF($E86="","",IFERROR(E86/G86,""))</f>
        <v/>
      </c>
      <c r="L86" s="30" t="str">
        <f aca="false">IF($E86="","",IFERROR(E86/F86*1000,""))</f>
        <v/>
      </c>
      <c r="M86" s="37" t="str">
        <f aca="false">IF($E86="","",IFERROR(H86/G86,""))</f>
        <v/>
      </c>
      <c r="N86" s="30" t="str">
        <f aca="false">IF($E86="","",IFERROR(E86/H86,"—"))</f>
        <v/>
      </c>
      <c r="O86" s="30" t="str">
        <f aca="false">IF($E86="","",IFERROR(INDEX('Гео-калькулятор'!$K$7:$K$13,MATCH($C86,'Гео-калькулятор'!$B$7:$B$13,0)),""))</f>
        <v/>
      </c>
      <c r="P86" s="38" t="str">
        <f aca="false">IF($E86="","",IFERROR(N86/O86,""))</f>
        <v/>
      </c>
      <c r="Q86" s="39" t="str">
        <f aca="false">IF($E86="","",IF($I86&lt;&gt;"",$I86,N($H86)*IFERROR(INDEX('Гео-калькулятор'!$E$7:$E$13,MATCH($C86,'Гео-калькулятор'!$B$7:$B$13,0)),0)))</f>
        <v/>
      </c>
      <c r="R86" s="38" t="str">
        <f aca="false">IF($E86="","",IFERROR(Q86/H86,""))</f>
        <v/>
      </c>
      <c r="S86" s="30" t="str">
        <f aca="false">IF($E86="","",IFERROR(E86/Q86,"—"))</f>
        <v/>
      </c>
      <c r="T86" s="30" t="str">
        <f aca="false">IF($E86="","",Q86*IFERROR(INDEX('Гео-калькулятор'!$D$7:$D$13,MATCH($C86,'Гео-калькулятор'!$B$7:$B$13,0)),0))</f>
        <v/>
      </c>
      <c r="U86" s="40" t="str">
        <f aca="false">IF($E86="","",T86-E86)</f>
        <v/>
      </c>
      <c r="V86" s="41" t="str">
        <f aca="false">IF($E86="","",IFERROR(U86/E86,""))</f>
        <v/>
      </c>
      <c r="W86" s="10" t="str">
        <f aca="false">IF($E86="","",IF($I86&lt;&gt;"","факт","прогноз"))</f>
        <v/>
      </c>
      <c r="X86" s="1"/>
      <c r="Y86" s="1"/>
      <c r="Z86" s="1"/>
      <c r="AA86" s="1"/>
      <c r="AB86" s="1"/>
      <c r="AC86" s="1"/>
      <c r="AD86" s="1"/>
    </row>
    <row r="87" customFormat="false" ht="18" hidden="false" customHeight="true" outlineLevel="0" collapsed="false">
      <c r="A87" s="1"/>
      <c r="B87" s="35"/>
      <c r="C87" s="8"/>
      <c r="D87" s="26"/>
      <c r="E87" s="27"/>
      <c r="F87" s="36"/>
      <c r="G87" s="36"/>
      <c r="H87" s="36"/>
      <c r="I87" s="36"/>
      <c r="J87" s="37" t="str">
        <f aca="false">IF($E87="","",IFERROR(G87/F87,""))</f>
        <v/>
      </c>
      <c r="K87" s="30" t="str">
        <f aca="false">IF($E87="","",IFERROR(E87/G87,""))</f>
        <v/>
      </c>
      <c r="L87" s="30" t="str">
        <f aca="false">IF($E87="","",IFERROR(E87/F87*1000,""))</f>
        <v/>
      </c>
      <c r="M87" s="37" t="str">
        <f aca="false">IF($E87="","",IFERROR(H87/G87,""))</f>
        <v/>
      </c>
      <c r="N87" s="30" t="str">
        <f aca="false">IF($E87="","",IFERROR(E87/H87,"—"))</f>
        <v/>
      </c>
      <c r="O87" s="30" t="str">
        <f aca="false">IF($E87="","",IFERROR(INDEX('Гео-калькулятор'!$K$7:$K$13,MATCH($C87,'Гео-калькулятор'!$B$7:$B$13,0)),""))</f>
        <v/>
      </c>
      <c r="P87" s="38" t="str">
        <f aca="false">IF($E87="","",IFERROR(N87/O87,""))</f>
        <v/>
      </c>
      <c r="Q87" s="39" t="str">
        <f aca="false">IF($E87="","",IF($I87&lt;&gt;"",$I87,N($H87)*IFERROR(INDEX('Гео-калькулятор'!$E$7:$E$13,MATCH($C87,'Гео-калькулятор'!$B$7:$B$13,0)),0)))</f>
        <v/>
      </c>
      <c r="R87" s="38" t="str">
        <f aca="false">IF($E87="","",IFERROR(Q87/H87,""))</f>
        <v/>
      </c>
      <c r="S87" s="30" t="str">
        <f aca="false">IF($E87="","",IFERROR(E87/Q87,"—"))</f>
        <v/>
      </c>
      <c r="T87" s="30" t="str">
        <f aca="false">IF($E87="","",Q87*IFERROR(INDEX('Гео-калькулятор'!$D$7:$D$13,MATCH($C87,'Гео-калькулятор'!$B$7:$B$13,0)),0))</f>
        <v/>
      </c>
      <c r="U87" s="40" t="str">
        <f aca="false">IF($E87="","",T87-E87)</f>
        <v/>
      </c>
      <c r="V87" s="41" t="str">
        <f aca="false">IF($E87="","",IFERROR(U87/E87,""))</f>
        <v/>
      </c>
      <c r="W87" s="10" t="str">
        <f aca="false">IF($E87="","",IF($I87&lt;&gt;"","факт","прогноз"))</f>
        <v/>
      </c>
      <c r="X87" s="1"/>
      <c r="Y87" s="1"/>
      <c r="Z87" s="1"/>
      <c r="AA87" s="1"/>
      <c r="AB87" s="1"/>
      <c r="AC87" s="1"/>
      <c r="AD87" s="1"/>
    </row>
    <row r="88" customFormat="false" ht="18" hidden="false" customHeight="true" outlineLevel="0" collapsed="false">
      <c r="A88" s="1"/>
      <c r="B88" s="35"/>
      <c r="C88" s="8"/>
      <c r="D88" s="26"/>
      <c r="E88" s="27"/>
      <c r="F88" s="36"/>
      <c r="G88" s="36"/>
      <c r="H88" s="36"/>
      <c r="I88" s="36"/>
      <c r="J88" s="37" t="str">
        <f aca="false">IF($E88="","",IFERROR(G88/F88,""))</f>
        <v/>
      </c>
      <c r="K88" s="30" t="str">
        <f aca="false">IF($E88="","",IFERROR(E88/G88,""))</f>
        <v/>
      </c>
      <c r="L88" s="30" t="str">
        <f aca="false">IF($E88="","",IFERROR(E88/F88*1000,""))</f>
        <v/>
      </c>
      <c r="M88" s="37" t="str">
        <f aca="false">IF($E88="","",IFERROR(H88/G88,""))</f>
        <v/>
      </c>
      <c r="N88" s="30" t="str">
        <f aca="false">IF($E88="","",IFERROR(E88/H88,"—"))</f>
        <v/>
      </c>
      <c r="O88" s="30" t="str">
        <f aca="false">IF($E88="","",IFERROR(INDEX('Гео-калькулятор'!$K$7:$K$13,MATCH($C88,'Гео-калькулятор'!$B$7:$B$13,0)),""))</f>
        <v/>
      </c>
      <c r="P88" s="38" t="str">
        <f aca="false">IF($E88="","",IFERROR(N88/O88,""))</f>
        <v/>
      </c>
      <c r="Q88" s="39" t="str">
        <f aca="false">IF($E88="","",IF($I88&lt;&gt;"",$I88,N($H88)*IFERROR(INDEX('Гео-калькулятор'!$E$7:$E$13,MATCH($C88,'Гео-калькулятор'!$B$7:$B$13,0)),0)))</f>
        <v/>
      </c>
      <c r="R88" s="38" t="str">
        <f aca="false">IF($E88="","",IFERROR(Q88/H88,""))</f>
        <v/>
      </c>
      <c r="S88" s="30" t="str">
        <f aca="false">IF($E88="","",IFERROR(E88/Q88,"—"))</f>
        <v/>
      </c>
      <c r="T88" s="30" t="str">
        <f aca="false">IF($E88="","",Q88*IFERROR(INDEX('Гео-калькулятор'!$D$7:$D$13,MATCH($C88,'Гео-калькулятор'!$B$7:$B$13,0)),0))</f>
        <v/>
      </c>
      <c r="U88" s="40" t="str">
        <f aca="false">IF($E88="","",T88-E88)</f>
        <v/>
      </c>
      <c r="V88" s="41" t="str">
        <f aca="false">IF($E88="","",IFERROR(U88/E88,""))</f>
        <v/>
      </c>
      <c r="W88" s="10" t="str">
        <f aca="false">IF($E88="","",IF($I88&lt;&gt;"","факт","прогноз"))</f>
        <v/>
      </c>
      <c r="X88" s="1"/>
      <c r="Y88" s="1"/>
      <c r="Z88" s="1"/>
      <c r="AA88" s="1"/>
      <c r="AB88" s="1"/>
      <c r="AC88" s="1"/>
      <c r="AD88" s="1"/>
    </row>
    <row r="89" customFormat="false" ht="18" hidden="false" customHeight="true" outlineLevel="0" collapsed="false">
      <c r="A89" s="1"/>
      <c r="B89" s="35"/>
      <c r="C89" s="8"/>
      <c r="D89" s="26"/>
      <c r="E89" s="27"/>
      <c r="F89" s="36"/>
      <c r="G89" s="36"/>
      <c r="H89" s="36"/>
      <c r="I89" s="36"/>
      <c r="J89" s="37" t="str">
        <f aca="false">IF($E89="","",IFERROR(G89/F89,""))</f>
        <v/>
      </c>
      <c r="K89" s="30" t="str">
        <f aca="false">IF($E89="","",IFERROR(E89/G89,""))</f>
        <v/>
      </c>
      <c r="L89" s="30" t="str">
        <f aca="false">IF($E89="","",IFERROR(E89/F89*1000,""))</f>
        <v/>
      </c>
      <c r="M89" s="37" t="str">
        <f aca="false">IF($E89="","",IFERROR(H89/G89,""))</f>
        <v/>
      </c>
      <c r="N89" s="30" t="str">
        <f aca="false">IF($E89="","",IFERROR(E89/H89,"—"))</f>
        <v/>
      </c>
      <c r="O89" s="30" t="str">
        <f aca="false">IF($E89="","",IFERROR(INDEX('Гео-калькулятор'!$K$7:$K$13,MATCH($C89,'Гео-калькулятор'!$B$7:$B$13,0)),""))</f>
        <v/>
      </c>
      <c r="P89" s="38" t="str">
        <f aca="false">IF($E89="","",IFERROR(N89/O89,""))</f>
        <v/>
      </c>
      <c r="Q89" s="39" t="str">
        <f aca="false">IF($E89="","",IF($I89&lt;&gt;"",$I89,N($H89)*IFERROR(INDEX('Гео-калькулятор'!$E$7:$E$13,MATCH($C89,'Гео-калькулятор'!$B$7:$B$13,0)),0)))</f>
        <v/>
      </c>
      <c r="R89" s="38" t="str">
        <f aca="false">IF($E89="","",IFERROR(Q89/H89,""))</f>
        <v/>
      </c>
      <c r="S89" s="30" t="str">
        <f aca="false">IF($E89="","",IFERROR(E89/Q89,"—"))</f>
        <v/>
      </c>
      <c r="T89" s="30" t="str">
        <f aca="false">IF($E89="","",Q89*IFERROR(INDEX('Гео-калькулятор'!$D$7:$D$13,MATCH($C89,'Гео-калькулятор'!$B$7:$B$13,0)),0))</f>
        <v/>
      </c>
      <c r="U89" s="40" t="str">
        <f aca="false">IF($E89="","",T89-E89)</f>
        <v/>
      </c>
      <c r="V89" s="41" t="str">
        <f aca="false">IF($E89="","",IFERROR(U89/E89,""))</f>
        <v/>
      </c>
      <c r="W89" s="10" t="str">
        <f aca="false">IF($E89="","",IF($I89&lt;&gt;"","факт","прогноз"))</f>
        <v/>
      </c>
      <c r="X89" s="1"/>
      <c r="Y89" s="1"/>
      <c r="Z89" s="1"/>
      <c r="AA89" s="1"/>
      <c r="AB89" s="1"/>
      <c r="AC89" s="1"/>
      <c r="AD89" s="1"/>
    </row>
    <row r="90" customFormat="false" ht="18" hidden="false" customHeight="true" outlineLevel="0" collapsed="false">
      <c r="A90" s="1"/>
      <c r="B90" s="35"/>
      <c r="C90" s="8"/>
      <c r="D90" s="26"/>
      <c r="E90" s="27"/>
      <c r="F90" s="36"/>
      <c r="G90" s="36"/>
      <c r="H90" s="36"/>
      <c r="I90" s="36"/>
      <c r="J90" s="37" t="str">
        <f aca="false">IF($E90="","",IFERROR(G90/F90,""))</f>
        <v/>
      </c>
      <c r="K90" s="30" t="str">
        <f aca="false">IF($E90="","",IFERROR(E90/G90,""))</f>
        <v/>
      </c>
      <c r="L90" s="30" t="str">
        <f aca="false">IF($E90="","",IFERROR(E90/F90*1000,""))</f>
        <v/>
      </c>
      <c r="M90" s="37" t="str">
        <f aca="false">IF($E90="","",IFERROR(H90/G90,""))</f>
        <v/>
      </c>
      <c r="N90" s="30" t="str">
        <f aca="false">IF($E90="","",IFERROR(E90/H90,"—"))</f>
        <v/>
      </c>
      <c r="O90" s="30" t="str">
        <f aca="false">IF($E90="","",IFERROR(INDEX('Гео-калькулятор'!$K$7:$K$13,MATCH($C90,'Гео-калькулятор'!$B$7:$B$13,0)),""))</f>
        <v/>
      </c>
      <c r="P90" s="38" t="str">
        <f aca="false">IF($E90="","",IFERROR(N90/O90,""))</f>
        <v/>
      </c>
      <c r="Q90" s="39" t="str">
        <f aca="false">IF($E90="","",IF($I90&lt;&gt;"",$I90,N($H90)*IFERROR(INDEX('Гео-калькулятор'!$E$7:$E$13,MATCH($C90,'Гео-калькулятор'!$B$7:$B$13,0)),0)))</f>
        <v/>
      </c>
      <c r="R90" s="38" t="str">
        <f aca="false">IF($E90="","",IFERROR(Q90/H90,""))</f>
        <v/>
      </c>
      <c r="S90" s="30" t="str">
        <f aca="false">IF($E90="","",IFERROR(E90/Q90,"—"))</f>
        <v/>
      </c>
      <c r="T90" s="30" t="str">
        <f aca="false">IF($E90="","",Q90*IFERROR(INDEX('Гео-калькулятор'!$D$7:$D$13,MATCH($C90,'Гео-калькулятор'!$B$7:$B$13,0)),0))</f>
        <v/>
      </c>
      <c r="U90" s="40" t="str">
        <f aca="false">IF($E90="","",T90-E90)</f>
        <v/>
      </c>
      <c r="V90" s="41" t="str">
        <f aca="false">IF($E90="","",IFERROR(U90/E90,""))</f>
        <v/>
      </c>
      <c r="W90" s="10" t="str">
        <f aca="false">IF($E90="","",IF($I90&lt;&gt;"","факт","прогноз"))</f>
        <v/>
      </c>
      <c r="X90" s="1"/>
      <c r="Y90" s="1"/>
      <c r="Z90" s="1"/>
      <c r="AA90" s="1"/>
      <c r="AB90" s="1"/>
      <c r="AC90" s="1"/>
      <c r="AD90" s="1"/>
    </row>
    <row r="91" customFormat="false" ht="18" hidden="false" customHeight="true" outlineLevel="0" collapsed="false">
      <c r="A91" s="1"/>
      <c r="B91" s="35"/>
      <c r="C91" s="8"/>
      <c r="D91" s="26"/>
      <c r="E91" s="27"/>
      <c r="F91" s="36"/>
      <c r="G91" s="36"/>
      <c r="H91" s="36"/>
      <c r="I91" s="36"/>
      <c r="J91" s="37" t="str">
        <f aca="false">IF($E91="","",IFERROR(G91/F91,""))</f>
        <v/>
      </c>
      <c r="K91" s="30" t="str">
        <f aca="false">IF($E91="","",IFERROR(E91/G91,""))</f>
        <v/>
      </c>
      <c r="L91" s="30" t="str">
        <f aca="false">IF($E91="","",IFERROR(E91/F91*1000,""))</f>
        <v/>
      </c>
      <c r="M91" s="37" t="str">
        <f aca="false">IF($E91="","",IFERROR(H91/G91,""))</f>
        <v/>
      </c>
      <c r="N91" s="30" t="str">
        <f aca="false">IF($E91="","",IFERROR(E91/H91,"—"))</f>
        <v/>
      </c>
      <c r="O91" s="30" t="str">
        <f aca="false">IF($E91="","",IFERROR(INDEX('Гео-калькулятор'!$K$7:$K$13,MATCH($C91,'Гео-калькулятор'!$B$7:$B$13,0)),""))</f>
        <v/>
      </c>
      <c r="P91" s="38" t="str">
        <f aca="false">IF($E91="","",IFERROR(N91/O91,""))</f>
        <v/>
      </c>
      <c r="Q91" s="39" t="str">
        <f aca="false">IF($E91="","",IF($I91&lt;&gt;"",$I91,N($H91)*IFERROR(INDEX('Гео-калькулятор'!$E$7:$E$13,MATCH($C91,'Гео-калькулятор'!$B$7:$B$13,0)),0)))</f>
        <v/>
      </c>
      <c r="R91" s="38" t="str">
        <f aca="false">IF($E91="","",IFERROR(Q91/H91,""))</f>
        <v/>
      </c>
      <c r="S91" s="30" t="str">
        <f aca="false">IF($E91="","",IFERROR(E91/Q91,"—"))</f>
        <v/>
      </c>
      <c r="T91" s="30" t="str">
        <f aca="false">IF($E91="","",Q91*IFERROR(INDEX('Гео-калькулятор'!$D$7:$D$13,MATCH($C91,'Гео-калькулятор'!$B$7:$B$13,0)),0))</f>
        <v/>
      </c>
      <c r="U91" s="40" t="str">
        <f aca="false">IF($E91="","",T91-E91)</f>
        <v/>
      </c>
      <c r="V91" s="41" t="str">
        <f aca="false">IF($E91="","",IFERROR(U91/E91,""))</f>
        <v/>
      </c>
      <c r="W91" s="10" t="str">
        <f aca="false">IF($E91="","",IF($I91&lt;&gt;"","факт","прогноз"))</f>
        <v/>
      </c>
      <c r="X91" s="1"/>
      <c r="Y91" s="1"/>
      <c r="Z91" s="1"/>
      <c r="AA91" s="1"/>
      <c r="AB91" s="1"/>
      <c r="AC91" s="1"/>
      <c r="AD91" s="1"/>
    </row>
    <row r="92" customFormat="false" ht="18" hidden="false" customHeight="true" outlineLevel="0" collapsed="false">
      <c r="A92" s="1"/>
      <c r="B92" s="35"/>
      <c r="C92" s="8"/>
      <c r="D92" s="26"/>
      <c r="E92" s="27"/>
      <c r="F92" s="36"/>
      <c r="G92" s="36"/>
      <c r="H92" s="36"/>
      <c r="I92" s="36"/>
      <c r="J92" s="37" t="str">
        <f aca="false">IF($E92="","",IFERROR(G92/F92,""))</f>
        <v/>
      </c>
      <c r="K92" s="30" t="str">
        <f aca="false">IF($E92="","",IFERROR(E92/G92,""))</f>
        <v/>
      </c>
      <c r="L92" s="30" t="str">
        <f aca="false">IF($E92="","",IFERROR(E92/F92*1000,""))</f>
        <v/>
      </c>
      <c r="M92" s="37" t="str">
        <f aca="false">IF($E92="","",IFERROR(H92/G92,""))</f>
        <v/>
      </c>
      <c r="N92" s="30" t="str">
        <f aca="false">IF($E92="","",IFERROR(E92/H92,"—"))</f>
        <v/>
      </c>
      <c r="O92" s="30" t="str">
        <f aca="false">IF($E92="","",IFERROR(INDEX('Гео-калькулятор'!$K$7:$K$13,MATCH($C92,'Гео-калькулятор'!$B$7:$B$13,0)),""))</f>
        <v/>
      </c>
      <c r="P92" s="38" t="str">
        <f aca="false">IF($E92="","",IFERROR(N92/O92,""))</f>
        <v/>
      </c>
      <c r="Q92" s="39" t="str">
        <f aca="false">IF($E92="","",IF($I92&lt;&gt;"",$I92,N($H92)*IFERROR(INDEX('Гео-калькулятор'!$E$7:$E$13,MATCH($C92,'Гео-калькулятор'!$B$7:$B$13,0)),0)))</f>
        <v/>
      </c>
      <c r="R92" s="38" t="str">
        <f aca="false">IF($E92="","",IFERROR(Q92/H92,""))</f>
        <v/>
      </c>
      <c r="S92" s="30" t="str">
        <f aca="false">IF($E92="","",IFERROR(E92/Q92,"—"))</f>
        <v/>
      </c>
      <c r="T92" s="30" t="str">
        <f aca="false">IF($E92="","",Q92*IFERROR(INDEX('Гео-калькулятор'!$D$7:$D$13,MATCH($C92,'Гео-калькулятор'!$B$7:$B$13,0)),0))</f>
        <v/>
      </c>
      <c r="U92" s="40" t="str">
        <f aca="false">IF($E92="","",T92-E92)</f>
        <v/>
      </c>
      <c r="V92" s="41" t="str">
        <f aca="false">IF($E92="","",IFERROR(U92/E92,""))</f>
        <v/>
      </c>
      <c r="W92" s="10" t="str">
        <f aca="false">IF($E92="","",IF($I92&lt;&gt;"","факт","прогноз"))</f>
        <v/>
      </c>
      <c r="X92" s="1"/>
      <c r="Y92" s="1"/>
      <c r="Z92" s="1"/>
      <c r="AA92" s="1"/>
      <c r="AB92" s="1"/>
      <c r="AC92" s="1"/>
      <c r="AD92" s="1"/>
    </row>
    <row r="93" customFormat="false" ht="18" hidden="false" customHeight="true" outlineLevel="0" collapsed="false">
      <c r="A93" s="1"/>
      <c r="B93" s="35"/>
      <c r="C93" s="8"/>
      <c r="D93" s="26"/>
      <c r="E93" s="27"/>
      <c r="F93" s="36"/>
      <c r="G93" s="36"/>
      <c r="H93" s="36"/>
      <c r="I93" s="36"/>
      <c r="J93" s="37" t="str">
        <f aca="false">IF($E93="","",IFERROR(G93/F93,""))</f>
        <v/>
      </c>
      <c r="K93" s="30" t="str">
        <f aca="false">IF($E93="","",IFERROR(E93/G93,""))</f>
        <v/>
      </c>
      <c r="L93" s="30" t="str">
        <f aca="false">IF($E93="","",IFERROR(E93/F93*1000,""))</f>
        <v/>
      </c>
      <c r="M93" s="37" t="str">
        <f aca="false">IF($E93="","",IFERROR(H93/G93,""))</f>
        <v/>
      </c>
      <c r="N93" s="30" t="str">
        <f aca="false">IF($E93="","",IFERROR(E93/H93,"—"))</f>
        <v/>
      </c>
      <c r="O93" s="30" t="str">
        <f aca="false">IF($E93="","",IFERROR(INDEX('Гео-калькулятор'!$K$7:$K$13,MATCH($C93,'Гео-калькулятор'!$B$7:$B$13,0)),""))</f>
        <v/>
      </c>
      <c r="P93" s="38" t="str">
        <f aca="false">IF($E93="","",IFERROR(N93/O93,""))</f>
        <v/>
      </c>
      <c r="Q93" s="39" t="str">
        <f aca="false">IF($E93="","",IF($I93&lt;&gt;"",$I93,N($H93)*IFERROR(INDEX('Гео-калькулятор'!$E$7:$E$13,MATCH($C93,'Гео-калькулятор'!$B$7:$B$13,0)),0)))</f>
        <v/>
      </c>
      <c r="R93" s="38" t="str">
        <f aca="false">IF($E93="","",IFERROR(Q93/H93,""))</f>
        <v/>
      </c>
      <c r="S93" s="30" t="str">
        <f aca="false">IF($E93="","",IFERROR(E93/Q93,"—"))</f>
        <v/>
      </c>
      <c r="T93" s="30" t="str">
        <f aca="false">IF($E93="","",Q93*IFERROR(INDEX('Гео-калькулятор'!$D$7:$D$13,MATCH($C93,'Гео-калькулятор'!$B$7:$B$13,0)),0))</f>
        <v/>
      </c>
      <c r="U93" s="40" t="str">
        <f aca="false">IF($E93="","",T93-E93)</f>
        <v/>
      </c>
      <c r="V93" s="41" t="str">
        <f aca="false">IF($E93="","",IFERROR(U93/E93,""))</f>
        <v/>
      </c>
      <c r="W93" s="10" t="str">
        <f aca="false">IF($E93="","",IF($I93&lt;&gt;"","факт","прогноз"))</f>
        <v/>
      </c>
      <c r="X93" s="1"/>
      <c r="Y93" s="1"/>
      <c r="Z93" s="1"/>
      <c r="AA93" s="1"/>
      <c r="AB93" s="1"/>
      <c r="AC93" s="1"/>
      <c r="AD93" s="1"/>
    </row>
    <row r="94" customFormat="false" ht="18" hidden="false" customHeight="true" outlineLevel="0" collapsed="false">
      <c r="A94" s="1"/>
      <c r="B94" s="35"/>
      <c r="C94" s="8"/>
      <c r="D94" s="26"/>
      <c r="E94" s="27"/>
      <c r="F94" s="36"/>
      <c r="G94" s="36"/>
      <c r="H94" s="36"/>
      <c r="I94" s="36"/>
      <c r="J94" s="37" t="str">
        <f aca="false">IF($E94="","",IFERROR(G94/F94,""))</f>
        <v/>
      </c>
      <c r="K94" s="30" t="str">
        <f aca="false">IF($E94="","",IFERROR(E94/G94,""))</f>
        <v/>
      </c>
      <c r="L94" s="30" t="str">
        <f aca="false">IF($E94="","",IFERROR(E94/F94*1000,""))</f>
        <v/>
      </c>
      <c r="M94" s="37" t="str">
        <f aca="false">IF($E94="","",IFERROR(H94/G94,""))</f>
        <v/>
      </c>
      <c r="N94" s="30" t="str">
        <f aca="false">IF($E94="","",IFERROR(E94/H94,"—"))</f>
        <v/>
      </c>
      <c r="O94" s="30" t="str">
        <f aca="false">IF($E94="","",IFERROR(INDEX('Гео-калькулятор'!$K$7:$K$13,MATCH($C94,'Гео-калькулятор'!$B$7:$B$13,0)),""))</f>
        <v/>
      </c>
      <c r="P94" s="38" t="str">
        <f aca="false">IF($E94="","",IFERROR(N94/O94,""))</f>
        <v/>
      </c>
      <c r="Q94" s="39" t="str">
        <f aca="false">IF($E94="","",IF($I94&lt;&gt;"",$I94,N($H94)*IFERROR(INDEX('Гео-калькулятор'!$E$7:$E$13,MATCH($C94,'Гео-калькулятор'!$B$7:$B$13,0)),0)))</f>
        <v/>
      </c>
      <c r="R94" s="38" t="str">
        <f aca="false">IF($E94="","",IFERROR(Q94/H94,""))</f>
        <v/>
      </c>
      <c r="S94" s="30" t="str">
        <f aca="false">IF($E94="","",IFERROR(E94/Q94,"—"))</f>
        <v/>
      </c>
      <c r="T94" s="30" t="str">
        <f aca="false">IF($E94="","",Q94*IFERROR(INDEX('Гео-калькулятор'!$D$7:$D$13,MATCH($C94,'Гео-калькулятор'!$B$7:$B$13,0)),0))</f>
        <v/>
      </c>
      <c r="U94" s="40" t="str">
        <f aca="false">IF($E94="","",T94-E94)</f>
        <v/>
      </c>
      <c r="V94" s="41" t="str">
        <f aca="false">IF($E94="","",IFERROR(U94/E94,""))</f>
        <v/>
      </c>
      <c r="W94" s="10" t="str">
        <f aca="false">IF($E94="","",IF($I94&lt;&gt;"","факт","прогноз"))</f>
        <v/>
      </c>
      <c r="X94" s="1"/>
      <c r="Y94" s="1"/>
      <c r="Z94" s="1"/>
      <c r="AA94" s="1"/>
      <c r="AB94" s="1"/>
      <c r="AC94" s="1"/>
      <c r="AD94" s="1"/>
    </row>
    <row r="95" customFormat="false" ht="18" hidden="false" customHeight="true" outlineLevel="0" collapsed="false">
      <c r="A95" s="1"/>
      <c r="B95" s="35"/>
      <c r="C95" s="8"/>
      <c r="D95" s="26"/>
      <c r="E95" s="27"/>
      <c r="F95" s="36"/>
      <c r="G95" s="36"/>
      <c r="H95" s="36"/>
      <c r="I95" s="36"/>
      <c r="J95" s="37" t="str">
        <f aca="false">IF($E95="","",IFERROR(G95/F95,""))</f>
        <v/>
      </c>
      <c r="K95" s="30" t="str">
        <f aca="false">IF($E95="","",IFERROR(E95/G95,""))</f>
        <v/>
      </c>
      <c r="L95" s="30" t="str">
        <f aca="false">IF($E95="","",IFERROR(E95/F95*1000,""))</f>
        <v/>
      </c>
      <c r="M95" s="37" t="str">
        <f aca="false">IF($E95="","",IFERROR(H95/G95,""))</f>
        <v/>
      </c>
      <c r="N95" s="30" t="str">
        <f aca="false">IF($E95="","",IFERROR(E95/H95,"—"))</f>
        <v/>
      </c>
      <c r="O95" s="30" t="str">
        <f aca="false">IF($E95="","",IFERROR(INDEX('Гео-калькулятор'!$K$7:$K$13,MATCH($C95,'Гео-калькулятор'!$B$7:$B$13,0)),""))</f>
        <v/>
      </c>
      <c r="P95" s="38" t="str">
        <f aca="false">IF($E95="","",IFERROR(N95/O95,""))</f>
        <v/>
      </c>
      <c r="Q95" s="39" t="str">
        <f aca="false">IF($E95="","",IF($I95&lt;&gt;"",$I95,N($H95)*IFERROR(INDEX('Гео-калькулятор'!$E$7:$E$13,MATCH($C95,'Гео-калькулятор'!$B$7:$B$13,0)),0)))</f>
        <v/>
      </c>
      <c r="R95" s="38" t="str">
        <f aca="false">IF($E95="","",IFERROR(Q95/H95,""))</f>
        <v/>
      </c>
      <c r="S95" s="30" t="str">
        <f aca="false">IF($E95="","",IFERROR(E95/Q95,"—"))</f>
        <v/>
      </c>
      <c r="T95" s="30" t="str">
        <f aca="false">IF($E95="","",Q95*IFERROR(INDEX('Гео-калькулятор'!$D$7:$D$13,MATCH($C95,'Гео-калькулятор'!$B$7:$B$13,0)),0))</f>
        <v/>
      </c>
      <c r="U95" s="40" t="str">
        <f aca="false">IF($E95="","",T95-E95)</f>
        <v/>
      </c>
      <c r="V95" s="41" t="str">
        <f aca="false">IF($E95="","",IFERROR(U95/E95,""))</f>
        <v/>
      </c>
      <c r="W95" s="10" t="str">
        <f aca="false">IF($E95="","",IF($I95&lt;&gt;"","факт","прогноз"))</f>
        <v/>
      </c>
      <c r="X95" s="1"/>
      <c r="Y95" s="1"/>
      <c r="Z95" s="1"/>
      <c r="AA95" s="1"/>
      <c r="AB95" s="1"/>
      <c r="AC95" s="1"/>
      <c r="AD95" s="1"/>
    </row>
    <row r="96" customFormat="false" ht="18" hidden="false" customHeight="true" outlineLevel="0" collapsed="false">
      <c r="A96" s="1"/>
      <c r="B96" s="35"/>
      <c r="C96" s="8"/>
      <c r="D96" s="26"/>
      <c r="E96" s="27"/>
      <c r="F96" s="36"/>
      <c r="G96" s="36"/>
      <c r="H96" s="36"/>
      <c r="I96" s="36"/>
      <c r="J96" s="37" t="str">
        <f aca="false">IF($E96="","",IFERROR(G96/F96,""))</f>
        <v/>
      </c>
      <c r="K96" s="30" t="str">
        <f aca="false">IF($E96="","",IFERROR(E96/G96,""))</f>
        <v/>
      </c>
      <c r="L96" s="30" t="str">
        <f aca="false">IF($E96="","",IFERROR(E96/F96*1000,""))</f>
        <v/>
      </c>
      <c r="M96" s="37" t="str">
        <f aca="false">IF($E96="","",IFERROR(H96/G96,""))</f>
        <v/>
      </c>
      <c r="N96" s="30" t="str">
        <f aca="false">IF($E96="","",IFERROR(E96/H96,"—"))</f>
        <v/>
      </c>
      <c r="O96" s="30" t="str">
        <f aca="false">IF($E96="","",IFERROR(INDEX('Гео-калькулятор'!$K$7:$K$13,MATCH($C96,'Гео-калькулятор'!$B$7:$B$13,0)),""))</f>
        <v/>
      </c>
      <c r="P96" s="38" t="str">
        <f aca="false">IF($E96="","",IFERROR(N96/O96,""))</f>
        <v/>
      </c>
      <c r="Q96" s="39" t="str">
        <f aca="false">IF($E96="","",IF($I96&lt;&gt;"",$I96,N($H96)*IFERROR(INDEX('Гео-калькулятор'!$E$7:$E$13,MATCH($C96,'Гео-калькулятор'!$B$7:$B$13,0)),0)))</f>
        <v/>
      </c>
      <c r="R96" s="38" t="str">
        <f aca="false">IF($E96="","",IFERROR(Q96/H96,""))</f>
        <v/>
      </c>
      <c r="S96" s="30" t="str">
        <f aca="false">IF($E96="","",IFERROR(E96/Q96,"—"))</f>
        <v/>
      </c>
      <c r="T96" s="30" t="str">
        <f aca="false">IF($E96="","",Q96*IFERROR(INDEX('Гео-калькулятор'!$D$7:$D$13,MATCH($C96,'Гео-калькулятор'!$B$7:$B$13,0)),0))</f>
        <v/>
      </c>
      <c r="U96" s="40" t="str">
        <f aca="false">IF($E96="","",T96-E96)</f>
        <v/>
      </c>
      <c r="V96" s="41" t="str">
        <f aca="false">IF($E96="","",IFERROR(U96/E96,""))</f>
        <v/>
      </c>
      <c r="W96" s="10" t="str">
        <f aca="false">IF($E96="","",IF($I96&lt;&gt;"","факт","прогноз"))</f>
        <v/>
      </c>
      <c r="X96" s="1"/>
      <c r="Y96" s="1"/>
      <c r="Z96" s="1"/>
      <c r="AA96" s="1"/>
      <c r="AB96" s="1"/>
      <c r="AC96" s="1"/>
      <c r="AD96" s="1"/>
    </row>
    <row r="97" customFormat="false" ht="18" hidden="false" customHeight="true" outlineLevel="0" collapsed="false">
      <c r="A97" s="1"/>
      <c r="B97" s="35"/>
      <c r="C97" s="8"/>
      <c r="D97" s="26"/>
      <c r="E97" s="27"/>
      <c r="F97" s="36"/>
      <c r="G97" s="36"/>
      <c r="H97" s="36"/>
      <c r="I97" s="36"/>
      <c r="J97" s="37" t="str">
        <f aca="false">IF($E97="","",IFERROR(G97/F97,""))</f>
        <v/>
      </c>
      <c r="K97" s="30" t="str">
        <f aca="false">IF($E97="","",IFERROR(E97/G97,""))</f>
        <v/>
      </c>
      <c r="L97" s="30" t="str">
        <f aca="false">IF($E97="","",IFERROR(E97/F97*1000,""))</f>
        <v/>
      </c>
      <c r="M97" s="37" t="str">
        <f aca="false">IF($E97="","",IFERROR(H97/G97,""))</f>
        <v/>
      </c>
      <c r="N97" s="30" t="str">
        <f aca="false">IF($E97="","",IFERROR(E97/H97,"—"))</f>
        <v/>
      </c>
      <c r="O97" s="30" t="str">
        <f aca="false">IF($E97="","",IFERROR(INDEX('Гео-калькулятор'!$K$7:$K$13,MATCH($C97,'Гео-калькулятор'!$B$7:$B$13,0)),""))</f>
        <v/>
      </c>
      <c r="P97" s="38" t="str">
        <f aca="false">IF($E97="","",IFERROR(N97/O97,""))</f>
        <v/>
      </c>
      <c r="Q97" s="39" t="str">
        <f aca="false">IF($E97="","",IF($I97&lt;&gt;"",$I97,N($H97)*IFERROR(INDEX('Гео-калькулятор'!$E$7:$E$13,MATCH($C97,'Гео-калькулятор'!$B$7:$B$13,0)),0)))</f>
        <v/>
      </c>
      <c r="R97" s="38" t="str">
        <f aca="false">IF($E97="","",IFERROR(Q97/H97,""))</f>
        <v/>
      </c>
      <c r="S97" s="30" t="str">
        <f aca="false">IF($E97="","",IFERROR(E97/Q97,"—"))</f>
        <v/>
      </c>
      <c r="T97" s="30" t="str">
        <f aca="false">IF($E97="","",Q97*IFERROR(INDEX('Гео-калькулятор'!$D$7:$D$13,MATCH($C97,'Гео-калькулятор'!$B$7:$B$13,0)),0))</f>
        <v/>
      </c>
      <c r="U97" s="40" t="str">
        <f aca="false">IF($E97="","",T97-E97)</f>
        <v/>
      </c>
      <c r="V97" s="41" t="str">
        <f aca="false">IF($E97="","",IFERROR(U97/E97,""))</f>
        <v/>
      </c>
      <c r="W97" s="10" t="str">
        <f aca="false">IF($E97="","",IF($I97&lt;&gt;"","факт","прогноз"))</f>
        <v/>
      </c>
      <c r="X97" s="1"/>
      <c r="Y97" s="1"/>
      <c r="Z97" s="1"/>
      <c r="AA97" s="1"/>
      <c r="AB97" s="1"/>
      <c r="AC97" s="1"/>
      <c r="AD97" s="1"/>
    </row>
    <row r="98" customFormat="false" ht="18" hidden="false" customHeight="true" outlineLevel="0" collapsed="false">
      <c r="A98" s="1"/>
      <c r="B98" s="35"/>
      <c r="C98" s="8"/>
      <c r="D98" s="26"/>
      <c r="E98" s="27"/>
      <c r="F98" s="36"/>
      <c r="G98" s="36"/>
      <c r="H98" s="36"/>
      <c r="I98" s="36"/>
      <c r="J98" s="37" t="str">
        <f aca="false">IF($E98="","",IFERROR(G98/F98,""))</f>
        <v/>
      </c>
      <c r="K98" s="30" t="str">
        <f aca="false">IF($E98="","",IFERROR(E98/G98,""))</f>
        <v/>
      </c>
      <c r="L98" s="30" t="str">
        <f aca="false">IF($E98="","",IFERROR(E98/F98*1000,""))</f>
        <v/>
      </c>
      <c r="M98" s="37" t="str">
        <f aca="false">IF($E98="","",IFERROR(H98/G98,""))</f>
        <v/>
      </c>
      <c r="N98" s="30" t="str">
        <f aca="false">IF($E98="","",IFERROR(E98/H98,"—"))</f>
        <v/>
      </c>
      <c r="O98" s="30" t="str">
        <f aca="false">IF($E98="","",IFERROR(INDEX('Гео-калькулятор'!$K$7:$K$13,MATCH($C98,'Гео-калькулятор'!$B$7:$B$13,0)),""))</f>
        <v/>
      </c>
      <c r="P98" s="38" t="str">
        <f aca="false">IF($E98="","",IFERROR(N98/O98,""))</f>
        <v/>
      </c>
      <c r="Q98" s="39" t="str">
        <f aca="false">IF($E98="","",IF($I98&lt;&gt;"",$I98,N($H98)*IFERROR(INDEX('Гео-калькулятор'!$E$7:$E$13,MATCH($C98,'Гео-калькулятор'!$B$7:$B$13,0)),0)))</f>
        <v/>
      </c>
      <c r="R98" s="38" t="str">
        <f aca="false">IF($E98="","",IFERROR(Q98/H98,""))</f>
        <v/>
      </c>
      <c r="S98" s="30" t="str">
        <f aca="false">IF($E98="","",IFERROR(E98/Q98,"—"))</f>
        <v/>
      </c>
      <c r="T98" s="30" t="str">
        <f aca="false">IF($E98="","",Q98*IFERROR(INDEX('Гео-калькулятор'!$D$7:$D$13,MATCH($C98,'Гео-калькулятор'!$B$7:$B$13,0)),0))</f>
        <v/>
      </c>
      <c r="U98" s="40" t="str">
        <f aca="false">IF($E98="","",T98-E98)</f>
        <v/>
      </c>
      <c r="V98" s="41" t="str">
        <f aca="false">IF($E98="","",IFERROR(U98/E98,""))</f>
        <v/>
      </c>
      <c r="W98" s="10" t="str">
        <f aca="false">IF($E98="","",IF($I98&lt;&gt;"","факт","прогноз"))</f>
        <v/>
      </c>
      <c r="X98" s="1"/>
      <c r="Y98" s="1"/>
      <c r="Z98" s="1"/>
      <c r="AA98" s="1"/>
      <c r="AB98" s="1"/>
      <c r="AC98" s="1"/>
      <c r="AD98" s="1"/>
    </row>
    <row r="99" customFormat="false" ht="18" hidden="false" customHeight="true" outlineLevel="0" collapsed="false">
      <c r="A99" s="1"/>
      <c r="B99" s="35"/>
      <c r="C99" s="8"/>
      <c r="D99" s="26"/>
      <c r="E99" s="27"/>
      <c r="F99" s="36"/>
      <c r="G99" s="36"/>
      <c r="H99" s="36"/>
      <c r="I99" s="36"/>
      <c r="J99" s="37" t="str">
        <f aca="false">IF($E99="","",IFERROR(G99/F99,""))</f>
        <v/>
      </c>
      <c r="K99" s="30" t="str">
        <f aca="false">IF($E99="","",IFERROR(E99/G99,""))</f>
        <v/>
      </c>
      <c r="L99" s="30" t="str">
        <f aca="false">IF($E99="","",IFERROR(E99/F99*1000,""))</f>
        <v/>
      </c>
      <c r="M99" s="37" t="str">
        <f aca="false">IF($E99="","",IFERROR(H99/G99,""))</f>
        <v/>
      </c>
      <c r="N99" s="30" t="str">
        <f aca="false">IF($E99="","",IFERROR(E99/H99,"—"))</f>
        <v/>
      </c>
      <c r="O99" s="30" t="str">
        <f aca="false">IF($E99="","",IFERROR(INDEX('Гео-калькулятор'!$K$7:$K$13,MATCH($C99,'Гео-калькулятор'!$B$7:$B$13,0)),""))</f>
        <v/>
      </c>
      <c r="P99" s="38" t="str">
        <f aca="false">IF($E99="","",IFERROR(N99/O99,""))</f>
        <v/>
      </c>
      <c r="Q99" s="39" t="str">
        <f aca="false">IF($E99="","",IF($I99&lt;&gt;"",$I99,N($H99)*IFERROR(INDEX('Гео-калькулятор'!$E$7:$E$13,MATCH($C99,'Гео-калькулятор'!$B$7:$B$13,0)),0)))</f>
        <v/>
      </c>
      <c r="R99" s="38" t="str">
        <f aca="false">IF($E99="","",IFERROR(Q99/H99,""))</f>
        <v/>
      </c>
      <c r="S99" s="30" t="str">
        <f aca="false">IF($E99="","",IFERROR(E99/Q99,"—"))</f>
        <v/>
      </c>
      <c r="T99" s="30" t="str">
        <f aca="false">IF($E99="","",Q99*IFERROR(INDEX('Гео-калькулятор'!$D$7:$D$13,MATCH($C99,'Гео-калькулятор'!$B$7:$B$13,0)),0))</f>
        <v/>
      </c>
      <c r="U99" s="40" t="str">
        <f aca="false">IF($E99="","",T99-E99)</f>
        <v/>
      </c>
      <c r="V99" s="41" t="str">
        <f aca="false">IF($E99="","",IFERROR(U99/E99,""))</f>
        <v/>
      </c>
      <c r="W99" s="10" t="str">
        <f aca="false">IF($E99="","",IF($I99&lt;&gt;"","факт","прогноз"))</f>
        <v/>
      </c>
      <c r="X99" s="1"/>
      <c r="Y99" s="1"/>
      <c r="Z99" s="1"/>
      <c r="AA99" s="1"/>
      <c r="AB99" s="1"/>
      <c r="AC99" s="1"/>
      <c r="AD99" s="1"/>
    </row>
    <row r="100" customFormat="false" ht="18" hidden="false" customHeight="true" outlineLevel="0" collapsed="false">
      <c r="A100" s="1"/>
      <c r="B100" s="35"/>
      <c r="C100" s="8"/>
      <c r="D100" s="26"/>
      <c r="E100" s="27"/>
      <c r="F100" s="36"/>
      <c r="G100" s="36"/>
      <c r="H100" s="36"/>
      <c r="I100" s="36"/>
      <c r="J100" s="37" t="str">
        <f aca="false">IF($E100="","",IFERROR(G100/F100,""))</f>
        <v/>
      </c>
      <c r="K100" s="30" t="str">
        <f aca="false">IF($E100="","",IFERROR(E100/G100,""))</f>
        <v/>
      </c>
      <c r="L100" s="30" t="str">
        <f aca="false">IF($E100="","",IFERROR(E100/F100*1000,""))</f>
        <v/>
      </c>
      <c r="M100" s="37" t="str">
        <f aca="false">IF($E100="","",IFERROR(H100/G100,""))</f>
        <v/>
      </c>
      <c r="N100" s="30" t="str">
        <f aca="false">IF($E100="","",IFERROR(E100/H100,"—"))</f>
        <v/>
      </c>
      <c r="O100" s="30" t="str">
        <f aca="false">IF($E100="","",IFERROR(INDEX('Гео-калькулятор'!$K$7:$K$13,MATCH($C100,'Гео-калькулятор'!$B$7:$B$13,0)),""))</f>
        <v/>
      </c>
      <c r="P100" s="38" t="str">
        <f aca="false">IF($E100="","",IFERROR(N100/O100,""))</f>
        <v/>
      </c>
      <c r="Q100" s="39" t="str">
        <f aca="false">IF($E100="","",IF($I100&lt;&gt;"",$I100,N($H100)*IFERROR(INDEX('Гео-калькулятор'!$E$7:$E$13,MATCH($C100,'Гео-калькулятор'!$B$7:$B$13,0)),0)))</f>
        <v/>
      </c>
      <c r="R100" s="38" t="str">
        <f aca="false">IF($E100="","",IFERROR(Q100/H100,""))</f>
        <v/>
      </c>
      <c r="S100" s="30" t="str">
        <f aca="false">IF($E100="","",IFERROR(E100/Q100,"—"))</f>
        <v/>
      </c>
      <c r="T100" s="30" t="str">
        <f aca="false">IF($E100="","",Q100*IFERROR(INDEX('Гео-калькулятор'!$D$7:$D$13,MATCH($C100,'Гео-калькулятор'!$B$7:$B$13,0)),0))</f>
        <v/>
      </c>
      <c r="U100" s="40" t="str">
        <f aca="false">IF($E100="","",T100-E100)</f>
        <v/>
      </c>
      <c r="V100" s="41" t="str">
        <f aca="false">IF($E100="","",IFERROR(U100/E100,""))</f>
        <v/>
      </c>
      <c r="W100" s="10" t="str">
        <f aca="false">IF($E100="","",IF($I100&lt;&gt;"","факт","прогноз"))</f>
        <v/>
      </c>
      <c r="X100" s="1"/>
      <c r="Y100" s="1"/>
      <c r="Z100" s="1"/>
      <c r="AA100" s="1"/>
      <c r="AB100" s="1"/>
      <c r="AC100" s="1"/>
      <c r="AD100" s="1"/>
    </row>
    <row r="101" customFormat="false" ht="18" hidden="false" customHeight="true" outlineLevel="0" collapsed="false">
      <c r="A101" s="1"/>
      <c r="B101" s="35"/>
      <c r="C101" s="8"/>
      <c r="D101" s="26"/>
      <c r="E101" s="27"/>
      <c r="F101" s="36"/>
      <c r="G101" s="36"/>
      <c r="H101" s="36"/>
      <c r="I101" s="36"/>
      <c r="J101" s="37" t="str">
        <f aca="false">IF($E101="","",IFERROR(G101/F101,""))</f>
        <v/>
      </c>
      <c r="K101" s="30" t="str">
        <f aca="false">IF($E101="","",IFERROR(E101/G101,""))</f>
        <v/>
      </c>
      <c r="L101" s="30" t="str">
        <f aca="false">IF($E101="","",IFERROR(E101/F101*1000,""))</f>
        <v/>
      </c>
      <c r="M101" s="37" t="str">
        <f aca="false">IF($E101="","",IFERROR(H101/G101,""))</f>
        <v/>
      </c>
      <c r="N101" s="30" t="str">
        <f aca="false">IF($E101="","",IFERROR(E101/H101,"—"))</f>
        <v/>
      </c>
      <c r="O101" s="30" t="str">
        <f aca="false">IF($E101="","",IFERROR(INDEX('Гео-калькулятор'!$K$7:$K$13,MATCH($C101,'Гео-калькулятор'!$B$7:$B$13,0)),""))</f>
        <v/>
      </c>
      <c r="P101" s="38" t="str">
        <f aca="false">IF($E101="","",IFERROR(N101/O101,""))</f>
        <v/>
      </c>
      <c r="Q101" s="39" t="str">
        <f aca="false">IF($E101="","",IF($I101&lt;&gt;"",$I101,N($H101)*IFERROR(INDEX('Гео-калькулятор'!$E$7:$E$13,MATCH($C101,'Гео-калькулятор'!$B$7:$B$13,0)),0)))</f>
        <v/>
      </c>
      <c r="R101" s="38" t="str">
        <f aca="false">IF($E101="","",IFERROR(Q101/H101,""))</f>
        <v/>
      </c>
      <c r="S101" s="30" t="str">
        <f aca="false">IF($E101="","",IFERROR(E101/Q101,"—"))</f>
        <v/>
      </c>
      <c r="T101" s="30" t="str">
        <f aca="false">IF($E101="","",Q101*IFERROR(INDEX('Гео-калькулятор'!$D$7:$D$13,MATCH($C101,'Гео-калькулятор'!$B$7:$B$13,0)),0))</f>
        <v/>
      </c>
      <c r="U101" s="40" t="str">
        <f aca="false">IF($E101="","",T101-E101)</f>
        <v/>
      </c>
      <c r="V101" s="41" t="str">
        <f aca="false">IF($E101="","",IFERROR(U101/E101,""))</f>
        <v/>
      </c>
      <c r="W101" s="10" t="str">
        <f aca="false">IF($E101="","",IF($I101&lt;&gt;"","факт","прогноз"))</f>
        <v/>
      </c>
      <c r="X101" s="1"/>
      <c r="Y101" s="1"/>
      <c r="Z101" s="1"/>
      <c r="AA101" s="1"/>
      <c r="AB101" s="1"/>
      <c r="AC101" s="1"/>
      <c r="AD101" s="1"/>
    </row>
    <row r="102" customFormat="false" ht="18" hidden="false" customHeight="true" outlineLevel="0" collapsed="false">
      <c r="A102" s="1"/>
      <c r="B102" s="35"/>
      <c r="C102" s="8"/>
      <c r="D102" s="26"/>
      <c r="E102" s="27"/>
      <c r="F102" s="36"/>
      <c r="G102" s="36"/>
      <c r="H102" s="36"/>
      <c r="I102" s="36"/>
      <c r="J102" s="37" t="str">
        <f aca="false">IF($E102="","",IFERROR(G102/F102,""))</f>
        <v/>
      </c>
      <c r="K102" s="30" t="str">
        <f aca="false">IF($E102="","",IFERROR(E102/G102,""))</f>
        <v/>
      </c>
      <c r="L102" s="30" t="str">
        <f aca="false">IF($E102="","",IFERROR(E102/F102*1000,""))</f>
        <v/>
      </c>
      <c r="M102" s="37" t="str">
        <f aca="false">IF($E102="","",IFERROR(H102/G102,""))</f>
        <v/>
      </c>
      <c r="N102" s="30" t="str">
        <f aca="false">IF($E102="","",IFERROR(E102/H102,"—"))</f>
        <v/>
      </c>
      <c r="O102" s="30" t="str">
        <f aca="false">IF($E102="","",IFERROR(INDEX('Гео-калькулятор'!$K$7:$K$13,MATCH($C102,'Гео-калькулятор'!$B$7:$B$13,0)),""))</f>
        <v/>
      </c>
      <c r="P102" s="38" t="str">
        <f aca="false">IF($E102="","",IFERROR(N102/O102,""))</f>
        <v/>
      </c>
      <c r="Q102" s="39" t="str">
        <f aca="false">IF($E102="","",IF($I102&lt;&gt;"",$I102,N($H102)*IFERROR(INDEX('Гео-калькулятор'!$E$7:$E$13,MATCH($C102,'Гео-калькулятор'!$B$7:$B$13,0)),0)))</f>
        <v/>
      </c>
      <c r="R102" s="38" t="str">
        <f aca="false">IF($E102="","",IFERROR(Q102/H102,""))</f>
        <v/>
      </c>
      <c r="S102" s="30" t="str">
        <f aca="false">IF($E102="","",IFERROR(E102/Q102,"—"))</f>
        <v/>
      </c>
      <c r="T102" s="30" t="str">
        <f aca="false">IF($E102="","",Q102*IFERROR(INDEX('Гео-калькулятор'!$D$7:$D$13,MATCH($C102,'Гео-калькулятор'!$B$7:$B$13,0)),0))</f>
        <v/>
      </c>
      <c r="U102" s="40" t="str">
        <f aca="false">IF($E102="","",T102-E102)</f>
        <v/>
      </c>
      <c r="V102" s="41" t="str">
        <f aca="false">IF($E102="","",IFERROR(U102/E102,""))</f>
        <v/>
      </c>
      <c r="W102" s="10" t="str">
        <f aca="false">IF($E102="","",IF($I102&lt;&gt;"","факт","прогноз"))</f>
        <v/>
      </c>
      <c r="X102" s="1"/>
      <c r="Y102" s="1"/>
      <c r="Z102" s="1"/>
      <c r="AA102" s="1"/>
      <c r="AB102" s="1"/>
      <c r="AC102" s="1"/>
      <c r="AD102" s="1"/>
    </row>
    <row r="103" customFormat="false" ht="18" hidden="false" customHeight="true" outlineLevel="0" collapsed="false">
      <c r="A103" s="1"/>
      <c r="B103" s="35"/>
      <c r="C103" s="8"/>
      <c r="D103" s="26"/>
      <c r="E103" s="27"/>
      <c r="F103" s="36"/>
      <c r="G103" s="36"/>
      <c r="H103" s="36"/>
      <c r="I103" s="36"/>
      <c r="J103" s="37" t="str">
        <f aca="false">IF($E103="","",IFERROR(G103/F103,""))</f>
        <v/>
      </c>
      <c r="K103" s="30" t="str">
        <f aca="false">IF($E103="","",IFERROR(E103/G103,""))</f>
        <v/>
      </c>
      <c r="L103" s="30" t="str">
        <f aca="false">IF($E103="","",IFERROR(E103/F103*1000,""))</f>
        <v/>
      </c>
      <c r="M103" s="37" t="str">
        <f aca="false">IF($E103="","",IFERROR(H103/G103,""))</f>
        <v/>
      </c>
      <c r="N103" s="30" t="str">
        <f aca="false">IF($E103="","",IFERROR(E103/H103,"—"))</f>
        <v/>
      </c>
      <c r="O103" s="30" t="str">
        <f aca="false">IF($E103="","",IFERROR(INDEX('Гео-калькулятор'!$K$7:$K$13,MATCH($C103,'Гео-калькулятор'!$B$7:$B$13,0)),""))</f>
        <v/>
      </c>
      <c r="P103" s="38" t="str">
        <f aca="false">IF($E103="","",IFERROR(N103/O103,""))</f>
        <v/>
      </c>
      <c r="Q103" s="39" t="str">
        <f aca="false">IF($E103="","",IF($I103&lt;&gt;"",$I103,N($H103)*IFERROR(INDEX('Гео-калькулятор'!$E$7:$E$13,MATCH($C103,'Гео-калькулятор'!$B$7:$B$13,0)),0)))</f>
        <v/>
      </c>
      <c r="R103" s="38" t="str">
        <f aca="false">IF($E103="","",IFERROR(Q103/H103,""))</f>
        <v/>
      </c>
      <c r="S103" s="30" t="str">
        <f aca="false">IF($E103="","",IFERROR(E103/Q103,"—"))</f>
        <v/>
      </c>
      <c r="T103" s="30" t="str">
        <f aca="false">IF($E103="","",Q103*IFERROR(INDEX('Гео-калькулятор'!$D$7:$D$13,MATCH($C103,'Гео-калькулятор'!$B$7:$B$13,0)),0))</f>
        <v/>
      </c>
      <c r="U103" s="40" t="str">
        <f aca="false">IF($E103="","",T103-E103)</f>
        <v/>
      </c>
      <c r="V103" s="41" t="str">
        <f aca="false">IF($E103="","",IFERROR(U103/E103,""))</f>
        <v/>
      </c>
      <c r="W103" s="10" t="str">
        <f aca="false">IF($E103="","",IF($I103&lt;&gt;"","факт","прогноз"))</f>
        <v/>
      </c>
      <c r="X103" s="1"/>
      <c r="Y103" s="1"/>
      <c r="Z103" s="1"/>
      <c r="AA103" s="1"/>
      <c r="AB103" s="1"/>
      <c r="AC103" s="1"/>
      <c r="AD103" s="1"/>
    </row>
    <row r="104" customFormat="false" ht="18" hidden="false" customHeight="true" outlineLevel="0" collapsed="false">
      <c r="A104" s="1"/>
      <c r="B104" s="35"/>
      <c r="C104" s="8"/>
      <c r="D104" s="26"/>
      <c r="E104" s="27"/>
      <c r="F104" s="36"/>
      <c r="G104" s="36"/>
      <c r="H104" s="36"/>
      <c r="I104" s="36"/>
      <c r="J104" s="37" t="str">
        <f aca="false">IF($E104="","",IFERROR(G104/F104,""))</f>
        <v/>
      </c>
      <c r="K104" s="30" t="str">
        <f aca="false">IF($E104="","",IFERROR(E104/G104,""))</f>
        <v/>
      </c>
      <c r="L104" s="30" t="str">
        <f aca="false">IF($E104="","",IFERROR(E104/F104*1000,""))</f>
        <v/>
      </c>
      <c r="M104" s="37" t="str">
        <f aca="false">IF($E104="","",IFERROR(H104/G104,""))</f>
        <v/>
      </c>
      <c r="N104" s="30" t="str">
        <f aca="false">IF($E104="","",IFERROR(E104/H104,"—"))</f>
        <v/>
      </c>
      <c r="O104" s="30" t="str">
        <f aca="false">IF($E104="","",IFERROR(INDEX('Гео-калькулятор'!$K$7:$K$13,MATCH($C104,'Гео-калькулятор'!$B$7:$B$13,0)),""))</f>
        <v/>
      </c>
      <c r="P104" s="38" t="str">
        <f aca="false">IF($E104="","",IFERROR(N104/O104,""))</f>
        <v/>
      </c>
      <c r="Q104" s="39" t="str">
        <f aca="false">IF($E104="","",IF($I104&lt;&gt;"",$I104,N($H104)*IFERROR(INDEX('Гео-калькулятор'!$E$7:$E$13,MATCH($C104,'Гео-калькулятор'!$B$7:$B$13,0)),0)))</f>
        <v/>
      </c>
      <c r="R104" s="38" t="str">
        <f aca="false">IF($E104="","",IFERROR(Q104/H104,""))</f>
        <v/>
      </c>
      <c r="S104" s="30" t="str">
        <f aca="false">IF($E104="","",IFERROR(E104/Q104,"—"))</f>
        <v/>
      </c>
      <c r="T104" s="30" t="str">
        <f aca="false">IF($E104="","",Q104*IFERROR(INDEX('Гео-калькулятор'!$D$7:$D$13,MATCH($C104,'Гео-калькулятор'!$B$7:$B$13,0)),0))</f>
        <v/>
      </c>
      <c r="U104" s="40" t="str">
        <f aca="false">IF($E104="","",T104-E104)</f>
        <v/>
      </c>
      <c r="V104" s="41" t="str">
        <f aca="false">IF($E104="","",IFERROR(U104/E104,""))</f>
        <v/>
      </c>
      <c r="W104" s="10" t="str">
        <f aca="false">IF($E104="","",IF($I104&lt;&gt;"","факт","прогноз"))</f>
        <v/>
      </c>
      <c r="X104" s="1"/>
      <c r="Y104" s="1"/>
      <c r="Z104" s="1"/>
      <c r="AA104" s="1"/>
      <c r="AB104" s="1"/>
      <c r="AC104" s="1"/>
      <c r="AD104" s="1"/>
    </row>
    <row r="105" customFormat="false" ht="18" hidden="false" customHeight="true" outlineLevel="0" collapsed="false">
      <c r="A105" s="1"/>
      <c r="B105" s="35"/>
      <c r="C105" s="8"/>
      <c r="D105" s="26"/>
      <c r="E105" s="27"/>
      <c r="F105" s="36"/>
      <c r="G105" s="36"/>
      <c r="H105" s="36"/>
      <c r="I105" s="36"/>
      <c r="J105" s="37" t="str">
        <f aca="false">IF($E105="","",IFERROR(G105/F105,""))</f>
        <v/>
      </c>
      <c r="K105" s="30" t="str">
        <f aca="false">IF($E105="","",IFERROR(E105/G105,""))</f>
        <v/>
      </c>
      <c r="L105" s="30" t="str">
        <f aca="false">IF($E105="","",IFERROR(E105/F105*1000,""))</f>
        <v/>
      </c>
      <c r="M105" s="37" t="str">
        <f aca="false">IF($E105="","",IFERROR(H105/G105,""))</f>
        <v/>
      </c>
      <c r="N105" s="30" t="str">
        <f aca="false">IF($E105="","",IFERROR(E105/H105,"—"))</f>
        <v/>
      </c>
      <c r="O105" s="30" t="str">
        <f aca="false">IF($E105="","",IFERROR(INDEX('Гео-калькулятор'!$K$7:$K$13,MATCH($C105,'Гео-калькулятор'!$B$7:$B$13,0)),""))</f>
        <v/>
      </c>
      <c r="P105" s="38" t="str">
        <f aca="false">IF($E105="","",IFERROR(N105/O105,""))</f>
        <v/>
      </c>
      <c r="Q105" s="39" t="str">
        <f aca="false">IF($E105="","",IF($I105&lt;&gt;"",$I105,N($H105)*IFERROR(INDEX('Гео-калькулятор'!$E$7:$E$13,MATCH($C105,'Гео-калькулятор'!$B$7:$B$13,0)),0)))</f>
        <v/>
      </c>
      <c r="R105" s="38" t="str">
        <f aca="false">IF($E105="","",IFERROR(Q105/H105,""))</f>
        <v/>
      </c>
      <c r="S105" s="30" t="str">
        <f aca="false">IF($E105="","",IFERROR(E105/Q105,"—"))</f>
        <v/>
      </c>
      <c r="T105" s="30" t="str">
        <f aca="false">IF($E105="","",Q105*IFERROR(INDEX('Гео-калькулятор'!$D$7:$D$13,MATCH($C105,'Гео-калькулятор'!$B$7:$B$13,0)),0))</f>
        <v/>
      </c>
      <c r="U105" s="40" t="str">
        <f aca="false">IF($E105="","",T105-E105)</f>
        <v/>
      </c>
      <c r="V105" s="41" t="str">
        <f aca="false">IF($E105="","",IFERROR(U105/E105,""))</f>
        <v/>
      </c>
      <c r="W105" s="10" t="str">
        <f aca="false">IF($E105="","",IF($I105&lt;&gt;"","факт","прогноз"))</f>
        <v/>
      </c>
      <c r="X105" s="1"/>
      <c r="Y105" s="1"/>
      <c r="Z105" s="1"/>
      <c r="AA105" s="1"/>
      <c r="AB105" s="1"/>
      <c r="AC105" s="1"/>
      <c r="AD105" s="1"/>
    </row>
    <row r="106" customFormat="false" ht="18" hidden="false" customHeight="true" outlineLevel="0" collapsed="false">
      <c r="A106" s="1"/>
      <c r="B106" s="35"/>
      <c r="C106" s="8"/>
      <c r="D106" s="26"/>
      <c r="E106" s="27"/>
      <c r="F106" s="36"/>
      <c r="G106" s="36"/>
      <c r="H106" s="36"/>
      <c r="I106" s="36"/>
      <c r="J106" s="37" t="str">
        <f aca="false">IF($E106="","",IFERROR(G106/F106,""))</f>
        <v/>
      </c>
      <c r="K106" s="30" t="str">
        <f aca="false">IF($E106="","",IFERROR(E106/G106,""))</f>
        <v/>
      </c>
      <c r="L106" s="30" t="str">
        <f aca="false">IF($E106="","",IFERROR(E106/F106*1000,""))</f>
        <v/>
      </c>
      <c r="M106" s="37" t="str">
        <f aca="false">IF($E106="","",IFERROR(H106/G106,""))</f>
        <v/>
      </c>
      <c r="N106" s="30" t="str">
        <f aca="false">IF($E106="","",IFERROR(E106/H106,"—"))</f>
        <v/>
      </c>
      <c r="O106" s="30" t="str">
        <f aca="false">IF($E106="","",IFERROR(INDEX('Гео-калькулятор'!$K$7:$K$13,MATCH($C106,'Гео-калькулятор'!$B$7:$B$13,0)),""))</f>
        <v/>
      </c>
      <c r="P106" s="38" t="str">
        <f aca="false">IF($E106="","",IFERROR(N106/O106,""))</f>
        <v/>
      </c>
      <c r="Q106" s="39" t="str">
        <f aca="false">IF($E106="","",IF($I106&lt;&gt;"",$I106,N($H106)*IFERROR(INDEX('Гео-калькулятор'!$E$7:$E$13,MATCH($C106,'Гео-калькулятор'!$B$7:$B$13,0)),0)))</f>
        <v/>
      </c>
      <c r="R106" s="38" t="str">
        <f aca="false">IF($E106="","",IFERROR(Q106/H106,""))</f>
        <v/>
      </c>
      <c r="S106" s="30" t="str">
        <f aca="false">IF($E106="","",IFERROR(E106/Q106,"—"))</f>
        <v/>
      </c>
      <c r="T106" s="30" t="str">
        <f aca="false">IF($E106="","",Q106*IFERROR(INDEX('Гео-калькулятор'!$D$7:$D$13,MATCH($C106,'Гео-калькулятор'!$B$7:$B$13,0)),0))</f>
        <v/>
      </c>
      <c r="U106" s="40" t="str">
        <f aca="false">IF($E106="","",T106-E106)</f>
        <v/>
      </c>
      <c r="V106" s="41" t="str">
        <f aca="false">IF($E106="","",IFERROR(U106/E106,""))</f>
        <v/>
      </c>
      <c r="W106" s="10" t="str">
        <f aca="false">IF($E106="","",IF($I106&lt;&gt;"","факт","прогноз"))</f>
        <v/>
      </c>
      <c r="X106" s="1"/>
      <c r="Y106" s="1"/>
      <c r="Z106" s="1"/>
      <c r="AA106" s="1"/>
      <c r="AB106" s="1"/>
      <c r="AC106" s="1"/>
      <c r="AD106" s="1"/>
    </row>
    <row r="107" customFormat="false" ht="18" hidden="false" customHeight="true" outlineLevel="0" collapsed="false">
      <c r="A107" s="1"/>
      <c r="B107" s="35"/>
      <c r="C107" s="8"/>
      <c r="D107" s="26"/>
      <c r="E107" s="27"/>
      <c r="F107" s="36"/>
      <c r="G107" s="36"/>
      <c r="H107" s="36"/>
      <c r="I107" s="36"/>
      <c r="J107" s="37" t="str">
        <f aca="false">IF($E107="","",IFERROR(G107/F107,""))</f>
        <v/>
      </c>
      <c r="K107" s="30" t="str">
        <f aca="false">IF($E107="","",IFERROR(E107/G107,""))</f>
        <v/>
      </c>
      <c r="L107" s="30" t="str">
        <f aca="false">IF($E107="","",IFERROR(E107/F107*1000,""))</f>
        <v/>
      </c>
      <c r="M107" s="37" t="str">
        <f aca="false">IF($E107="","",IFERROR(H107/G107,""))</f>
        <v/>
      </c>
      <c r="N107" s="30" t="str">
        <f aca="false">IF($E107="","",IFERROR(E107/H107,"—"))</f>
        <v/>
      </c>
      <c r="O107" s="30" t="str">
        <f aca="false">IF($E107="","",IFERROR(INDEX('Гео-калькулятор'!$K$7:$K$13,MATCH($C107,'Гео-калькулятор'!$B$7:$B$13,0)),""))</f>
        <v/>
      </c>
      <c r="P107" s="38" t="str">
        <f aca="false">IF($E107="","",IFERROR(N107/O107,""))</f>
        <v/>
      </c>
      <c r="Q107" s="39" t="str">
        <f aca="false">IF($E107="","",IF($I107&lt;&gt;"",$I107,N($H107)*IFERROR(INDEX('Гео-калькулятор'!$E$7:$E$13,MATCH($C107,'Гео-калькулятор'!$B$7:$B$13,0)),0)))</f>
        <v/>
      </c>
      <c r="R107" s="38" t="str">
        <f aca="false">IF($E107="","",IFERROR(Q107/H107,""))</f>
        <v/>
      </c>
      <c r="S107" s="30" t="str">
        <f aca="false">IF($E107="","",IFERROR(E107/Q107,"—"))</f>
        <v/>
      </c>
      <c r="T107" s="30" t="str">
        <f aca="false">IF($E107="","",Q107*IFERROR(INDEX('Гео-калькулятор'!$D$7:$D$13,MATCH($C107,'Гео-калькулятор'!$B$7:$B$13,0)),0))</f>
        <v/>
      </c>
      <c r="U107" s="40" t="str">
        <f aca="false">IF($E107="","",T107-E107)</f>
        <v/>
      </c>
      <c r="V107" s="41" t="str">
        <f aca="false">IF($E107="","",IFERROR(U107/E107,""))</f>
        <v/>
      </c>
      <c r="W107" s="10" t="str">
        <f aca="false">IF($E107="","",IF($I107&lt;&gt;"","факт","прогноз"))</f>
        <v/>
      </c>
      <c r="X107" s="1"/>
      <c r="Y107" s="1"/>
      <c r="Z107" s="1"/>
      <c r="AA107" s="1"/>
      <c r="AB107" s="1"/>
      <c r="AC107" s="1"/>
      <c r="AD107" s="1"/>
    </row>
    <row r="108" customFormat="false" ht="18" hidden="false" customHeight="true" outlineLevel="0" collapsed="false">
      <c r="A108" s="1"/>
      <c r="B108" s="35"/>
      <c r="C108" s="8"/>
      <c r="D108" s="26"/>
      <c r="E108" s="27"/>
      <c r="F108" s="36"/>
      <c r="G108" s="36"/>
      <c r="H108" s="36"/>
      <c r="I108" s="36"/>
      <c r="J108" s="37" t="str">
        <f aca="false">IF($E108="","",IFERROR(G108/F108,""))</f>
        <v/>
      </c>
      <c r="K108" s="30" t="str">
        <f aca="false">IF($E108="","",IFERROR(E108/G108,""))</f>
        <v/>
      </c>
      <c r="L108" s="30" t="str">
        <f aca="false">IF($E108="","",IFERROR(E108/F108*1000,""))</f>
        <v/>
      </c>
      <c r="M108" s="37" t="str">
        <f aca="false">IF($E108="","",IFERROR(H108/G108,""))</f>
        <v/>
      </c>
      <c r="N108" s="30" t="str">
        <f aca="false">IF($E108="","",IFERROR(E108/H108,"—"))</f>
        <v/>
      </c>
      <c r="O108" s="30" t="str">
        <f aca="false">IF($E108="","",IFERROR(INDEX('Гео-калькулятор'!$K$7:$K$13,MATCH($C108,'Гео-калькулятор'!$B$7:$B$13,0)),""))</f>
        <v/>
      </c>
      <c r="P108" s="38" t="str">
        <f aca="false">IF($E108="","",IFERROR(N108/O108,""))</f>
        <v/>
      </c>
      <c r="Q108" s="39" t="str">
        <f aca="false">IF($E108="","",IF($I108&lt;&gt;"",$I108,N($H108)*IFERROR(INDEX('Гео-калькулятор'!$E$7:$E$13,MATCH($C108,'Гео-калькулятор'!$B$7:$B$13,0)),0)))</f>
        <v/>
      </c>
      <c r="R108" s="38" t="str">
        <f aca="false">IF($E108="","",IFERROR(Q108/H108,""))</f>
        <v/>
      </c>
      <c r="S108" s="30" t="str">
        <f aca="false">IF($E108="","",IFERROR(E108/Q108,"—"))</f>
        <v/>
      </c>
      <c r="T108" s="30" t="str">
        <f aca="false">IF($E108="","",Q108*IFERROR(INDEX('Гео-калькулятор'!$D$7:$D$13,MATCH($C108,'Гео-калькулятор'!$B$7:$B$13,0)),0))</f>
        <v/>
      </c>
      <c r="U108" s="40" t="str">
        <f aca="false">IF($E108="","",T108-E108)</f>
        <v/>
      </c>
      <c r="V108" s="41" t="str">
        <f aca="false">IF($E108="","",IFERROR(U108/E108,""))</f>
        <v/>
      </c>
      <c r="W108" s="10" t="str">
        <f aca="false">IF($E108="","",IF($I108&lt;&gt;"","факт","прогноз"))</f>
        <v/>
      </c>
      <c r="X108" s="1"/>
      <c r="Y108" s="1"/>
      <c r="Z108" s="1"/>
      <c r="AA108" s="1"/>
      <c r="AB108" s="1"/>
      <c r="AC108" s="1"/>
      <c r="AD108" s="1"/>
    </row>
    <row r="109" customFormat="false" ht="18" hidden="false" customHeight="true" outlineLevel="0" collapsed="false">
      <c r="A109" s="1"/>
      <c r="B109" s="35"/>
      <c r="C109" s="8"/>
      <c r="D109" s="26"/>
      <c r="E109" s="27"/>
      <c r="F109" s="36"/>
      <c r="G109" s="36"/>
      <c r="H109" s="36"/>
      <c r="I109" s="36"/>
      <c r="J109" s="37" t="str">
        <f aca="false">IF($E109="","",IFERROR(G109/F109,""))</f>
        <v/>
      </c>
      <c r="K109" s="30" t="str">
        <f aca="false">IF($E109="","",IFERROR(E109/G109,""))</f>
        <v/>
      </c>
      <c r="L109" s="30" t="str">
        <f aca="false">IF($E109="","",IFERROR(E109/F109*1000,""))</f>
        <v/>
      </c>
      <c r="M109" s="37" t="str">
        <f aca="false">IF($E109="","",IFERROR(H109/G109,""))</f>
        <v/>
      </c>
      <c r="N109" s="30" t="str">
        <f aca="false">IF($E109="","",IFERROR(E109/H109,"—"))</f>
        <v/>
      </c>
      <c r="O109" s="30" t="str">
        <f aca="false">IF($E109="","",IFERROR(INDEX('Гео-калькулятор'!$K$7:$K$13,MATCH($C109,'Гео-калькулятор'!$B$7:$B$13,0)),""))</f>
        <v/>
      </c>
      <c r="P109" s="38" t="str">
        <f aca="false">IF($E109="","",IFERROR(N109/O109,""))</f>
        <v/>
      </c>
      <c r="Q109" s="39" t="str">
        <f aca="false">IF($E109="","",IF($I109&lt;&gt;"",$I109,N($H109)*IFERROR(INDEX('Гео-калькулятор'!$E$7:$E$13,MATCH($C109,'Гео-калькулятор'!$B$7:$B$13,0)),0)))</f>
        <v/>
      </c>
      <c r="R109" s="38" t="str">
        <f aca="false">IF($E109="","",IFERROR(Q109/H109,""))</f>
        <v/>
      </c>
      <c r="S109" s="30" t="str">
        <f aca="false">IF($E109="","",IFERROR(E109/Q109,"—"))</f>
        <v/>
      </c>
      <c r="T109" s="30" t="str">
        <f aca="false">IF($E109="","",Q109*IFERROR(INDEX('Гео-калькулятор'!$D$7:$D$13,MATCH($C109,'Гео-калькулятор'!$B$7:$B$13,0)),0))</f>
        <v/>
      </c>
      <c r="U109" s="40" t="str">
        <f aca="false">IF($E109="","",T109-E109)</f>
        <v/>
      </c>
      <c r="V109" s="41" t="str">
        <f aca="false">IF($E109="","",IFERROR(U109/E109,""))</f>
        <v/>
      </c>
      <c r="W109" s="10" t="str">
        <f aca="false">IF($E109="","",IF($I109&lt;&gt;"","факт","прогноз"))</f>
        <v/>
      </c>
      <c r="X109" s="1"/>
      <c r="Y109" s="1"/>
      <c r="Z109" s="1"/>
      <c r="AA109" s="1"/>
      <c r="AB109" s="1"/>
      <c r="AC109" s="1"/>
      <c r="AD109" s="1"/>
    </row>
    <row r="110" customFormat="false" ht="18" hidden="false" customHeight="true" outlineLevel="0" collapsed="false">
      <c r="A110" s="1"/>
      <c r="B110" s="35"/>
      <c r="C110" s="8"/>
      <c r="D110" s="26"/>
      <c r="E110" s="27"/>
      <c r="F110" s="36"/>
      <c r="G110" s="36"/>
      <c r="H110" s="36"/>
      <c r="I110" s="36"/>
      <c r="J110" s="37" t="str">
        <f aca="false">IF($E110="","",IFERROR(G110/F110,""))</f>
        <v/>
      </c>
      <c r="K110" s="30" t="str">
        <f aca="false">IF($E110="","",IFERROR(E110/G110,""))</f>
        <v/>
      </c>
      <c r="L110" s="30" t="str">
        <f aca="false">IF($E110="","",IFERROR(E110/F110*1000,""))</f>
        <v/>
      </c>
      <c r="M110" s="37" t="str">
        <f aca="false">IF($E110="","",IFERROR(H110/G110,""))</f>
        <v/>
      </c>
      <c r="N110" s="30" t="str">
        <f aca="false">IF($E110="","",IFERROR(E110/H110,"—"))</f>
        <v/>
      </c>
      <c r="O110" s="30" t="str">
        <f aca="false">IF($E110="","",IFERROR(INDEX('Гео-калькулятор'!$K$7:$K$13,MATCH($C110,'Гео-калькулятор'!$B$7:$B$13,0)),""))</f>
        <v/>
      </c>
      <c r="P110" s="38" t="str">
        <f aca="false">IF($E110="","",IFERROR(N110/O110,""))</f>
        <v/>
      </c>
      <c r="Q110" s="39" t="str">
        <f aca="false">IF($E110="","",IF($I110&lt;&gt;"",$I110,N($H110)*IFERROR(INDEX('Гео-калькулятор'!$E$7:$E$13,MATCH($C110,'Гео-калькулятор'!$B$7:$B$13,0)),0)))</f>
        <v/>
      </c>
      <c r="R110" s="38" t="str">
        <f aca="false">IF($E110="","",IFERROR(Q110/H110,""))</f>
        <v/>
      </c>
      <c r="S110" s="30" t="str">
        <f aca="false">IF($E110="","",IFERROR(E110/Q110,"—"))</f>
        <v/>
      </c>
      <c r="T110" s="30" t="str">
        <f aca="false">IF($E110="","",Q110*IFERROR(INDEX('Гео-калькулятор'!$D$7:$D$13,MATCH($C110,'Гео-калькулятор'!$B$7:$B$13,0)),0))</f>
        <v/>
      </c>
      <c r="U110" s="40" t="str">
        <f aca="false">IF($E110="","",T110-E110)</f>
        <v/>
      </c>
      <c r="V110" s="41" t="str">
        <f aca="false">IF($E110="","",IFERROR(U110/E110,""))</f>
        <v/>
      </c>
      <c r="W110" s="10" t="str">
        <f aca="false">IF($E110="","",IF($I110&lt;&gt;"","факт","прогноз"))</f>
        <v/>
      </c>
      <c r="X110" s="1"/>
      <c r="Y110" s="1"/>
      <c r="Z110" s="1"/>
      <c r="AA110" s="1"/>
      <c r="AB110" s="1"/>
      <c r="AC110" s="1"/>
      <c r="AD110" s="1"/>
    </row>
    <row r="111" customFormat="false" ht="18" hidden="false" customHeight="true" outlineLevel="0" collapsed="false">
      <c r="A111" s="1"/>
      <c r="B111" s="35"/>
      <c r="C111" s="8"/>
      <c r="D111" s="26"/>
      <c r="E111" s="27"/>
      <c r="F111" s="36"/>
      <c r="G111" s="36"/>
      <c r="H111" s="36"/>
      <c r="I111" s="36"/>
      <c r="J111" s="37" t="str">
        <f aca="false">IF($E111="","",IFERROR(G111/F111,""))</f>
        <v/>
      </c>
      <c r="K111" s="30" t="str">
        <f aca="false">IF($E111="","",IFERROR(E111/G111,""))</f>
        <v/>
      </c>
      <c r="L111" s="30" t="str">
        <f aca="false">IF($E111="","",IFERROR(E111/F111*1000,""))</f>
        <v/>
      </c>
      <c r="M111" s="37" t="str">
        <f aca="false">IF($E111="","",IFERROR(H111/G111,""))</f>
        <v/>
      </c>
      <c r="N111" s="30" t="str">
        <f aca="false">IF($E111="","",IFERROR(E111/H111,"—"))</f>
        <v/>
      </c>
      <c r="O111" s="30" t="str">
        <f aca="false">IF($E111="","",IFERROR(INDEX('Гео-калькулятор'!$K$7:$K$13,MATCH($C111,'Гео-калькулятор'!$B$7:$B$13,0)),""))</f>
        <v/>
      </c>
      <c r="P111" s="38" t="str">
        <f aca="false">IF($E111="","",IFERROR(N111/O111,""))</f>
        <v/>
      </c>
      <c r="Q111" s="39" t="str">
        <f aca="false">IF($E111="","",IF($I111&lt;&gt;"",$I111,N($H111)*IFERROR(INDEX('Гео-калькулятор'!$E$7:$E$13,MATCH($C111,'Гео-калькулятор'!$B$7:$B$13,0)),0)))</f>
        <v/>
      </c>
      <c r="R111" s="38" t="str">
        <f aca="false">IF($E111="","",IFERROR(Q111/H111,""))</f>
        <v/>
      </c>
      <c r="S111" s="30" t="str">
        <f aca="false">IF($E111="","",IFERROR(E111/Q111,"—"))</f>
        <v/>
      </c>
      <c r="T111" s="30" t="str">
        <f aca="false">IF($E111="","",Q111*IFERROR(INDEX('Гео-калькулятор'!$D$7:$D$13,MATCH($C111,'Гео-калькулятор'!$B$7:$B$13,0)),0))</f>
        <v/>
      </c>
      <c r="U111" s="40" t="str">
        <f aca="false">IF($E111="","",T111-E111)</f>
        <v/>
      </c>
      <c r="V111" s="41" t="str">
        <f aca="false">IF($E111="","",IFERROR(U111/E111,""))</f>
        <v/>
      </c>
      <c r="W111" s="10" t="str">
        <f aca="false">IF($E111="","",IF($I111&lt;&gt;"","факт","прогноз"))</f>
        <v/>
      </c>
      <c r="X111" s="1"/>
      <c r="Y111" s="1"/>
      <c r="Z111" s="1"/>
      <c r="AA111" s="1"/>
      <c r="AB111" s="1"/>
      <c r="AC111" s="1"/>
      <c r="AD111" s="1"/>
    </row>
    <row r="112" customFormat="false" ht="18" hidden="false" customHeight="true" outlineLevel="0" collapsed="false">
      <c r="A112" s="1"/>
      <c r="B112" s="35"/>
      <c r="C112" s="8"/>
      <c r="D112" s="26"/>
      <c r="E112" s="27"/>
      <c r="F112" s="36"/>
      <c r="G112" s="36"/>
      <c r="H112" s="36"/>
      <c r="I112" s="36"/>
      <c r="J112" s="37" t="str">
        <f aca="false">IF($E112="","",IFERROR(G112/F112,""))</f>
        <v/>
      </c>
      <c r="K112" s="30" t="str">
        <f aca="false">IF($E112="","",IFERROR(E112/G112,""))</f>
        <v/>
      </c>
      <c r="L112" s="30" t="str">
        <f aca="false">IF($E112="","",IFERROR(E112/F112*1000,""))</f>
        <v/>
      </c>
      <c r="M112" s="37" t="str">
        <f aca="false">IF($E112="","",IFERROR(H112/G112,""))</f>
        <v/>
      </c>
      <c r="N112" s="30" t="str">
        <f aca="false">IF($E112="","",IFERROR(E112/H112,"—"))</f>
        <v/>
      </c>
      <c r="O112" s="30" t="str">
        <f aca="false">IF($E112="","",IFERROR(INDEX('Гео-калькулятор'!$K$7:$K$13,MATCH($C112,'Гео-калькулятор'!$B$7:$B$13,0)),""))</f>
        <v/>
      </c>
      <c r="P112" s="38" t="str">
        <f aca="false">IF($E112="","",IFERROR(N112/O112,""))</f>
        <v/>
      </c>
      <c r="Q112" s="39" t="str">
        <f aca="false">IF($E112="","",IF($I112&lt;&gt;"",$I112,N($H112)*IFERROR(INDEX('Гео-калькулятор'!$E$7:$E$13,MATCH($C112,'Гео-калькулятор'!$B$7:$B$13,0)),0)))</f>
        <v/>
      </c>
      <c r="R112" s="38" t="str">
        <f aca="false">IF($E112="","",IFERROR(Q112/H112,""))</f>
        <v/>
      </c>
      <c r="S112" s="30" t="str">
        <f aca="false">IF($E112="","",IFERROR(E112/Q112,"—"))</f>
        <v/>
      </c>
      <c r="T112" s="30" t="str">
        <f aca="false">IF($E112="","",Q112*IFERROR(INDEX('Гео-калькулятор'!$D$7:$D$13,MATCH($C112,'Гео-калькулятор'!$B$7:$B$13,0)),0))</f>
        <v/>
      </c>
      <c r="U112" s="40" t="str">
        <f aca="false">IF($E112="","",T112-E112)</f>
        <v/>
      </c>
      <c r="V112" s="41" t="str">
        <f aca="false">IF($E112="","",IFERROR(U112/E112,""))</f>
        <v/>
      </c>
      <c r="W112" s="10" t="str">
        <f aca="false">IF($E112="","",IF($I112&lt;&gt;"","факт","прогноз"))</f>
        <v/>
      </c>
      <c r="X112" s="1"/>
      <c r="Y112" s="1"/>
      <c r="Z112" s="1"/>
      <c r="AA112" s="1"/>
      <c r="AB112" s="1"/>
      <c r="AC112" s="1"/>
      <c r="AD112" s="1"/>
    </row>
    <row r="113" customFormat="false" ht="18" hidden="false" customHeight="true" outlineLevel="0" collapsed="false">
      <c r="A113" s="1"/>
      <c r="B113" s="35"/>
      <c r="C113" s="8"/>
      <c r="D113" s="26"/>
      <c r="E113" s="27"/>
      <c r="F113" s="36"/>
      <c r="G113" s="36"/>
      <c r="H113" s="36"/>
      <c r="I113" s="36"/>
      <c r="J113" s="37" t="str">
        <f aca="false">IF($E113="","",IFERROR(G113/F113,""))</f>
        <v/>
      </c>
      <c r="K113" s="30" t="str">
        <f aca="false">IF($E113="","",IFERROR(E113/G113,""))</f>
        <v/>
      </c>
      <c r="L113" s="30" t="str">
        <f aca="false">IF($E113="","",IFERROR(E113/F113*1000,""))</f>
        <v/>
      </c>
      <c r="M113" s="37" t="str">
        <f aca="false">IF($E113="","",IFERROR(H113/G113,""))</f>
        <v/>
      </c>
      <c r="N113" s="30" t="str">
        <f aca="false">IF($E113="","",IFERROR(E113/H113,"—"))</f>
        <v/>
      </c>
      <c r="O113" s="30" t="str">
        <f aca="false">IF($E113="","",IFERROR(INDEX('Гео-калькулятор'!$K$7:$K$13,MATCH($C113,'Гео-калькулятор'!$B$7:$B$13,0)),""))</f>
        <v/>
      </c>
      <c r="P113" s="38" t="str">
        <f aca="false">IF($E113="","",IFERROR(N113/O113,""))</f>
        <v/>
      </c>
      <c r="Q113" s="39" t="str">
        <f aca="false">IF($E113="","",IF($I113&lt;&gt;"",$I113,N($H113)*IFERROR(INDEX('Гео-калькулятор'!$E$7:$E$13,MATCH($C113,'Гео-калькулятор'!$B$7:$B$13,0)),0)))</f>
        <v/>
      </c>
      <c r="R113" s="38" t="str">
        <f aca="false">IF($E113="","",IFERROR(Q113/H113,""))</f>
        <v/>
      </c>
      <c r="S113" s="30" t="str">
        <f aca="false">IF($E113="","",IFERROR(E113/Q113,"—"))</f>
        <v/>
      </c>
      <c r="T113" s="30" t="str">
        <f aca="false">IF($E113="","",Q113*IFERROR(INDEX('Гео-калькулятор'!$D$7:$D$13,MATCH($C113,'Гео-калькулятор'!$B$7:$B$13,0)),0))</f>
        <v/>
      </c>
      <c r="U113" s="40" t="str">
        <f aca="false">IF($E113="","",T113-E113)</f>
        <v/>
      </c>
      <c r="V113" s="41" t="str">
        <f aca="false">IF($E113="","",IFERROR(U113/E113,""))</f>
        <v/>
      </c>
      <c r="W113" s="10" t="str">
        <f aca="false">IF($E113="","",IF($I113&lt;&gt;"","факт","прогноз"))</f>
        <v/>
      </c>
      <c r="X113" s="1"/>
      <c r="Y113" s="1"/>
      <c r="Z113" s="1"/>
      <c r="AA113" s="1"/>
      <c r="AB113" s="1"/>
      <c r="AC113" s="1"/>
      <c r="AD113" s="1"/>
    </row>
    <row r="114" customFormat="false" ht="18" hidden="false" customHeight="true" outlineLevel="0" collapsed="false">
      <c r="A114" s="1"/>
      <c r="B114" s="35"/>
      <c r="C114" s="8"/>
      <c r="D114" s="26"/>
      <c r="E114" s="27"/>
      <c r="F114" s="36"/>
      <c r="G114" s="36"/>
      <c r="H114" s="36"/>
      <c r="I114" s="36"/>
      <c r="J114" s="37" t="str">
        <f aca="false">IF($E114="","",IFERROR(G114/F114,""))</f>
        <v/>
      </c>
      <c r="K114" s="30" t="str">
        <f aca="false">IF($E114="","",IFERROR(E114/G114,""))</f>
        <v/>
      </c>
      <c r="L114" s="30" t="str">
        <f aca="false">IF($E114="","",IFERROR(E114/F114*1000,""))</f>
        <v/>
      </c>
      <c r="M114" s="37" t="str">
        <f aca="false">IF($E114="","",IFERROR(H114/G114,""))</f>
        <v/>
      </c>
      <c r="N114" s="30" t="str">
        <f aca="false">IF($E114="","",IFERROR(E114/H114,"—"))</f>
        <v/>
      </c>
      <c r="O114" s="30" t="str">
        <f aca="false">IF($E114="","",IFERROR(INDEX('Гео-калькулятор'!$K$7:$K$13,MATCH($C114,'Гео-калькулятор'!$B$7:$B$13,0)),""))</f>
        <v/>
      </c>
      <c r="P114" s="38" t="str">
        <f aca="false">IF($E114="","",IFERROR(N114/O114,""))</f>
        <v/>
      </c>
      <c r="Q114" s="39" t="str">
        <f aca="false">IF($E114="","",IF($I114&lt;&gt;"",$I114,N($H114)*IFERROR(INDEX('Гео-калькулятор'!$E$7:$E$13,MATCH($C114,'Гео-калькулятор'!$B$7:$B$13,0)),0)))</f>
        <v/>
      </c>
      <c r="R114" s="38" t="str">
        <f aca="false">IF($E114="","",IFERROR(Q114/H114,""))</f>
        <v/>
      </c>
      <c r="S114" s="30" t="str">
        <f aca="false">IF($E114="","",IFERROR(E114/Q114,"—"))</f>
        <v/>
      </c>
      <c r="T114" s="30" t="str">
        <f aca="false">IF($E114="","",Q114*IFERROR(INDEX('Гео-калькулятор'!$D$7:$D$13,MATCH($C114,'Гео-калькулятор'!$B$7:$B$13,0)),0))</f>
        <v/>
      </c>
      <c r="U114" s="40" t="str">
        <f aca="false">IF($E114="","",T114-E114)</f>
        <v/>
      </c>
      <c r="V114" s="41" t="str">
        <f aca="false">IF($E114="","",IFERROR(U114/E114,""))</f>
        <v/>
      </c>
      <c r="W114" s="10" t="str">
        <f aca="false">IF($E114="","",IF($I114&lt;&gt;"","факт","прогноз"))</f>
        <v/>
      </c>
      <c r="X114" s="1"/>
      <c r="Y114" s="1"/>
      <c r="Z114" s="1"/>
      <c r="AA114" s="1"/>
      <c r="AB114" s="1"/>
      <c r="AC114" s="1"/>
      <c r="AD114" s="1"/>
    </row>
    <row r="115" customFormat="false" ht="18" hidden="false" customHeight="true" outlineLevel="0" collapsed="false">
      <c r="A115" s="1"/>
      <c r="B115" s="35"/>
      <c r="C115" s="8"/>
      <c r="D115" s="26"/>
      <c r="E115" s="27"/>
      <c r="F115" s="36"/>
      <c r="G115" s="36"/>
      <c r="H115" s="36"/>
      <c r="I115" s="36"/>
      <c r="J115" s="37" t="str">
        <f aca="false">IF($E115="","",IFERROR(G115/F115,""))</f>
        <v/>
      </c>
      <c r="K115" s="30" t="str">
        <f aca="false">IF($E115="","",IFERROR(E115/G115,""))</f>
        <v/>
      </c>
      <c r="L115" s="30" t="str">
        <f aca="false">IF($E115="","",IFERROR(E115/F115*1000,""))</f>
        <v/>
      </c>
      <c r="M115" s="37" t="str">
        <f aca="false">IF($E115="","",IFERROR(H115/G115,""))</f>
        <v/>
      </c>
      <c r="N115" s="30" t="str">
        <f aca="false">IF($E115="","",IFERROR(E115/H115,"—"))</f>
        <v/>
      </c>
      <c r="O115" s="30" t="str">
        <f aca="false">IF($E115="","",IFERROR(INDEX('Гео-калькулятор'!$K$7:$K$13,MATCH($C115,'Гео-калькулятор'!$B$7:$B$13,0)),""))</f>
        <v/>
      </c>
      <c r="P115" s="38" t="str">
        <f aca="false">IF($E115="","",IFERROR(N115/O115,""))</f>
        <v/>
      </c>
      <c r="Q115" s="39" t="str">
        <f aca="false">IF($E115="","",IF($I115&lt;&gt;"",$I115,N($H115)*IFERROR(INDEX('Гео-калькулятор'!$E$7:$E$13,MATCH($C115,'Гео-калькулятор'!$B$7:$B$13,0)),0)))</f>
        <v/>
      </c>
      <c r="R115" s="38" t="str">
        <f aca="false">IF($E115="","",IFERROR(Q115/H115,""))</f>
        <v/>
      </c>
      <c r="S115" s="30" t="str">
        <f aca="false">IF($E115="","",IFERROR(E115/Q115,"—"))</f>
        <v/>
      </c>
      <c r="T115" s="30" t="str">
        <f aca="false">IF($E115="","",Q115*IFERROR(INDEX('Гео-калькулятор'!$D$7:$D$13,MATCH($C115,'Гео-калькулятор'!$B$7:$B$13,0)),0))</f>
        <v/>
      </c>
      <c r="U115" s="40" t="str">
        <f aca="false">IF($E115="","",T115-E115)</f>
        <v/>
      </c>
      <c r="V115" s="41" t="str">
        <f aca="false">IF($E115="","",IFERROR(U115/E115,""))</f>
        <v/>
      </c>
      <c r="W115" s="10" t="str">
        <f aca="false">IF($E115="","",IF($I115&lt;&gt;"","факт","прогноз"))</f>
        <v/>
      </c>
      <c r="X115" s="1"/>
      <c r="Y115" s="1"/>
      <c r="Z115" s="1"/>
      <c r="AA115" s="1"/>
      <c r="AB115" s="1"/>
      <c r="AC115" s="1"/>
      <c r="AD115" s="1"/>
    </row>
    <row r="116" customFormat="false" ht="18" hidden="false" customHeight="true" outlineLevel="0" collapsed="false">
      <c r="A116" s="1"/>
      <c r="B116" s="35"/>
      <c r="C116" s="8"/>
      <c r="D116" s="26"/>
      <c r="E116" s="27"/>
      <c r="F116" s="36"/>
      <c r="G116" s="36"/>
      <c r="H116" s="36"/>
      <c r="I116" s="36"/>
      <c r="J116" s="37" t="str">
        <f aca="false">IF($E116="","",IFERROR(G116/F116,""))</f>
        <v/>
      </c>
      <c r="K116" s="30" t="str">
        <f aca="false">IF($E116="","",IFERROR(E116/G116,""))</f>
        <v/>
      </c>
      <c r="L116" s="30" t="str">
        <f aca="false">IF($E116="","",IFERROR(E116/F116*1000,""))</f>
        <v/>
      </c>
      <c r="M116" s="37" t="str">
        <f aca="false">IF($E116="","",IFERROR(H116/G116,""))</f>
        <v/>
      </c>
      <c r="N116" s="30" t="str">
        <f aca="false">IF($E116="","",IFERROR(E116/H116,"—"))</f>
        <v/>
      </c>
      <c r="O116" s="30" t="str">
        <f aca="false">IF($E116="","",IFERROR(INDEX('Гео-калькулятор'!$K$7:$K$13,MATCH($C116,'Гео-калькулятор'!$B$7:$B$13,0)),""))</f>
        <v/>
      </c>
      <c r="P116" s="38" t="str">
        <f aca="false">IF($E116="","",IFERROR(N116/O116,""))</f>
        <v/>
      </c>
      <c r="Q116" s="39" t="str">
        <f aca="false">IF($E116="","",IF($I116&lt;&gt;"",$I116,N($H116)*IFERROR(INDEX('Гео-калькулятор'!$E$7:$E$13,MATCH($C116,'Гео-калькулятор'!$B$7:$B$13,0)),0)))</f>
        <v/>
      </c>
      <c r="R116" s="38" t="str">
        <f aca="false">IF($E116="","",IFERROR(Q116/H116,""))</f>
        <v/>
      </c>
      <c r="S116" s="30" t="str">
        <f aca="false">IF($E116="","",IFERROR(E116/Q116,"—"))</f>
        <v/>
      </c>
      <c r="T116" s="30" t="str">
        <f aca="false">IF($E116="","",Q116*IFERROR(INDEX('Гео-калькулятор'!$D$7:$D$13,MATCH($C116,'Гео-калькулятор'!$B$7:$B$13,0)),0))</f>
        <v/>
      </c>
      <c r="U116" s="40" t="str">
        <f aca="false">IF($E116="","",T116-E116)</f>
        <v/>
      </c>
      <c r="V116" s="41" t="str">
        <f aca="false">IF($E116="","",IFERROR(U116/E116,""))</f>
        <v/>
      </c>
      <c r="W116" s="10" t="str">
        <f aca="false">IF($E116="","",IF($I116&lt;&gt;"","факт","прогноз"))</f>
        <v/>
      </c>
      <c r="X116" s="1"/>
      <c r="Y116" s="1"/>
      <c r="Z116" s="1"/>
      <c r="AA116" s="1"/>
      <c r="AB116" s="1"/>
      <c r="AC116" s="1"/>
      <c r="AD116" s="1"/>
    </row>
    <row r="117" customFormat="false" ht="18" hidden="false" customHeight="true" outlineLevel="0" collapsed="false">
      <c r="A117" s="1"/>
      <c r="B117" s="35"/>
      <c r="C117" s="8"/>
      <c r="D117" s="26"/>
      <c r="E117" s="27"/>
      <c r="F117" s="36"/>
      <c r="G117" s="36"/>
      <c r="H117" s="36"/>
      <c r="I117" s="36"/>
      <c r="J117" s="37" t="str">
        <f aca="false">IF($E117="","",IFERROR(G117/F117,""))</f>
        <v/>
      </c>
      <c r="K117" s="30" t="str">
        <f aca="false">IF($E117="","",IFERROR(E117/G117,""))</f>
        <v/>
      </c>
      <c r="L117" s="30" t="str">
        <f aca="false">IF($E117="","",IFERROR(E117/F117*1000,""))</f>
        <v/>
      </c>
      <c r="M117" s="37" t="str">
        <f aca="false">IF($E117="","",IFERROR(H117/G117,""))</f>
        <v/>
      </c>
      <c r="N117" s="30" t="str">
        <f aca="false">IF($E117="","",IFERROR(E117/H117,"—"))</f>
        <v/>
      </c>
      <c r="O117" s="30" t="str">
        <f aca="false">IF($E117="","",IFERROR(INDEX('Гео-калькулятор'!$K$7:$K$13,MATCH($C117,'Гео-калькулятор'!$B$7:$B$13,0)),""))</f>
        <v/>
      </c>
      <c r="P117" s="38" t="str">
        <f aca="false">IF($E117="","",IFERROR(N117/O117,""))</f>
        <v/>
      </c>
      <c r="Q117" s="39" t="str">
        <f aca="false">IF($E117="","",IF($I117&lt;&gt;"",$I117,N($H117)*IFERROR(INDEX('Гео-калькулятор'!$E$7:$E$13,MATCH($C117,'Гео-калькулятор'!$B$7:$B$13,0)),0)))</f>
        <v/>
      </c>
      <c r="R117" s="38" t="str">
        <f aca="false">IF($E117="","",IFERROR(Q117/H117,""))</f>
        <v/>
      </c>
      <c r="S117" s="30" t="str">
        <f aca="false">IF($E117="","",IFERROR(E117/Q117,"—"))</f>
        <v/>
      </c>
      <c r="T117" s="30" t="str">
        <f aca="false">IF($E117="","",Q117*IFERROR(INDEX('Гео-калькулятор'!$D$7:$D$13,MATCH($C117,'Гео-калькулятор'!$B$7:$B$13,0)),0))</f>
        <v/>
      </c>
      <c r="U117" s="40" t="str">
        <f aca="false">IF($E117="","",T117-E117)</f>
        <v/>
      </c>
      <c r="V117" s="41" t="str">
        <f aca="false">IF($E117="","",IFERROR(U117/E117,""))</f>
        <v/>
      </c>
      <c r="W117" s="10" t="str">
        <f aca="false">IF($E117="","",IF($I117&lt;&gt;"","факт","прогноз"))</f>
        <v/>
      </c>
      <c r="X117" s="1"/>
      <c r="Y117" s="1"/>
      <c r="Z117" s="1"/>
      <c r="AA117" s="1"/>
      <c r="AB117" s="1"/>
      <c r="AC117" s="1"/>
      <c r="AD117" s="1"/>
    </row>
    <row r="118" customFormat="false" ht="18" hidden="false" customHeight="true" outlineLevel="0" collapsed="false">
      <c r="A118" s="1"/>
      <c r="B118" s="35"/>
      <c r="C118" s="8"/>
      <c r="D118" s="26"/>
      <c r="E118" s="27"/>
      <c r="F118" s="36"/>
      <c r="G118" s="36"/>
      <c r="H118" s="36"/>
      <c r="I118" s="36"/>
      <c r="J118" s="37" t="str">
        <f aca="false">IF($E118="","",IFERROR(G118/F118,""))</f>
        <v/>
      </c>
      <c r="K118" s="30" t="str">
        <f aca="false">IF($E118="","",IFERROR(E118/G118,""))</f>
        <v/>
      </c>
      <c r="L118" s="30" t="str">
        <f aca="false">IF($E118="","",IFERROR(E118/F118*1000,""))</f>
        <v/>
      </c>
      <c r="M118" s="37" t="str">
        <f aca="false">IF($E118="","",IFERROR(H118/G118,""))</f>
        <v/>
      </c>
      <c r="N118" s="30" t="str">
        <f aca="false">IF($E118="","",IFERROR(E118/H118,"—"))</f>
        <v/>
      </c>
      <c r="O118" s="30" t="str">
        <f aca="false">IF($E118="","",IFERROR(INDEX('Гео-калькулятор'!$K$7:$K$13,MATCH($C118,'Гео-калькулятор'!$B$7:$B$13,0)),""))</f>
        <v/>
      </c>
      <c r="P118" s="38" t="str">
        <f aca="false">IF($E118="","",IFERROR(N118/O118,""))</f>
        <v/>
      </c>
      <c r="Q118" s="39" t="str">
        <f aca="false">IF($E118="","",IF($I118&lt;&gt;"",$I118,N($H118)*IFERROR(INDEX('Гео-калькулятор'!$E$7:$E$13,MATCH($C118,'Гео-калькулятор'!$B$7:$B$13,0)),0)))</f>
        <v/>
      </c>
      <c r="R118" s="38" t="str">
        <f aca="false">IF($E118="","",IFERROR(Q118/H118,""))</f>
        <v/>
      </c>
      <c r="S118" s="30" t="str">
        <f aca="false">IF($E118="","",IFERROR(E118/Q118,"—"))</f>
        <v/>
      </c>
      <c r="T118" s="30" t="str">
        <f aca="false">IF($E118="","",Q118*IFERROR(INDEX('Гео-калькулятор'!$D$7:$D$13,MATCH($C118,'Гео-калькулятор'!$B$7:$B$13,0)),0))</f>
        <v/>
      </c>
      <c r="U118" s="40" t="str">
        <f aca="false">IF($E118="","",T118-E118)</f>
        <v/>
      </c>
      <c r="V118" s="41" t="str">
        <f aca="false">IF($E118="","",IFERROR(U118/E118,""))</f>
        <v/>
      </c>
      <c r="W118" s="10" t="str">
        <f aca="false">IF($E118="","",IF($I118&lt;&gt;"","факт","прогноз"))</f>
        <v/>
      </c>
      <c r="X118" s="1"/>
      <c r="Y118" s="1"/>
      <c r="Z118" s="1"/>
      <c r="AA118" s="1"/>
      <c r="AB118" s="1"/>
      <c r="AC118" s="1"/>
      <c r="AD118" s="1"/>
    </row>
    <row r="119" customFormat="false" ht="18" hidden="false" customHeight="true" outlineLevel="0" collapsed="false">
      <c r="A119" s="1"/>
      <c r="B119" s="35"/>
      <c r="C119" s="8"/>
      <c r="D119" s="26"/>
      <c r="E119" s="27"/>
      <c r="F119" s="36"/>
      <c r="G119" s="36"/>
      <c r="H119" s="36"/>
      <c r="I119" s="36"/>
      <c r="J119" s="37" t="str">
        <f aca="false">IF($E119="","",IFERROR(G119/F119,""))</f>
        <v/>
      </c>
      <c r="K119" s="30" t="str">
        <f aca="false">IF($E119="","",IFERROR(E119/G119,""))</f>
        <v/>
      </c>
      <c r="L119" s="30" t="str">
        <f aca="false">IF($E119="","",IFERROR(E119/F119*1000,""))</f>
        <v/>
      </c>
      <c r="M119" s="37" t="str">
        <f aca="false">IF($E119="","",IFERROR(H119/G119,""))</f>
        <v/>
      </c>
      <c r="N119" s="30" t="str">
        <f aca="false">IF($E119="","",IFERROR(E119/H119,"—"))</f>
        <v/>
      </c>
      <c r="O119" s="30" t="str">
        <f aca="false">IF($E119="","",IFERROR(INDEX('Гео-калькулятор'!$K$7:$K$13,MATCH($C119,'Гео-калькулятор'!$B$7:$B$13,0)),""))</f>
        <v/>
      </c>
      <c r="P119" s="38" t="str">
        <f aca="false">IF($E119="","",IFERROR(N119/O119,""))</f>
        <v/>
      </c>
      <c r="Q119" s="39" t="str">
        <f aca="false">IF($E119="","",IF($I119&lt;&gt;"",$I119,N($H119)*IFERROR(INDEX('Гео-калькулятор'!$E$7:$E$13,MATCH($C119,'Гео-калькулятор'!$B$7:$B$13,0)),0)))</f>
        <v/>
      </c>
      <c r="R119" s="38" t="str">
        <f aca="false">IF($E119="","",IFERROR(Q119/H119,""))</f>
        <v/>
      </c>
      <c r="S119" s="30" t="str">
        <f aca="false">IF($E119="","",IFERROR(E119/Q119,"—"))</f>
        <v/>
      </c>
      <c r="T119" s="30" t="str">
        <f aca="false">IF($E119="","",Q119*IFERROR(INDEX('Гео-калькулятор'!$D$7:$D$13,MATCH($C119,'Гео-калькулятор'!$B$7:$B$13,0)),0))</f>
        <v/>
      </c>
      <c r="U119" s="40" t="str">
        <f aca="false">IF($E119="","",T119-E119)</f>
        <v/>
      </c>
      <c r="V119" s="41" t="str">
        <f aca="false">IF($E119="","",IFERROR(U119/E119,""))</f>
        <v/>
      </c>
      <c r="W119" s="10" t="str">
        <f aca="false">IF($E119="","",IF($I119&lt;&gt;"","факт","прогноз"))</f>
        <v/>
      </c>
      <c r="X119" s="1"/>
      <c r="Y119" s="1"/>
      <c r="Z119" s="1"/>
      <c r="AA119" s="1"/>
      <c r="AB119" s="1"/>
      <c r="AC119" s="1"/>
      <c r="AD119" s="1"/>
    </row>
    <row r="120" customFormat="false" ht="18" hidden="false" customHeight="true" outlineLevel="0" collapsed="false">
      <c r="A120" s="1"/>
      <c r="B120" s="35"/>
      <c r="C120" s="8"/>
      <c r="D120" s="26"/>
      <c r="E120" s="27"/>
      <c r="F120" s="36"/>
      <c r="G120" s="36"/>
      <c r="H120" s="36"/>
      <c r="I120" s="36"/>
      <c r="J120" s="37" t="str">
        <f aca="false">IF($E120="","",IFERROR(G120/F120,""))</f>
        <v/>
      </c>
      <c r="K120" s="30" t="str">
        <f aca="false">IF($E120="","",IFERROR(E120/G120,""))</f>
        <v/>
      </c>
      <c r="L120" s="30" t="str">
        <f aca="false">IF($E120="","",IFERROR(E120/F120*1000,""))</f>
        <v/>
      </c>
      <c r="M120" s="37" t="str">
        <f aca="false">IF($E120="","",IFERROR(H120/G120,""))</f>
        <v/>
      </c>
      <c r="N120" s="30" t="str">
        <f aca="false">IF($E120="","",IFERROR(E120/H120,"—"))</f>
        <v/>
      </c>
      <c r="O120" s="30" t="str">
        <f aca="false">IF($E120="","",IFERROR(INDEX('Гео-калькулятор'!$K$7:$K$13,MATCH($C120,'Гео-калькулятор'!$B$7:$B$13,0)),""))</f>
        <v/>
      </c>
      <c r="P120" s="38" t="str">
        <f aca="false">IF($E120="","",IFERROR(N120/O120,""))</f>
        <v/>
      </c>
      <c r="Q120" s="39" t="str">
        <f aca="false">IF($E120="","",IF($I120&lt;&gt;"",$I120,N($H120)*IFERROR(INDEX('Гео-калькулятор'!$E$7:$E$13,MATCH($C120,'Гео-калькулятор'!$B$7:$B$13,0)),0)))</f>
        <v/>
      </c>
      <c r="R120" s="38" t="str">
        <f aca="false">IF($E120="","",IFERROR(Q120/H120,""))</f>
        <v/>
      </c>
      <c r="S120" s="30" t="str">
        <f aca="false">IF($E120="","",IFERROR(E120/Q120,"—"))</f>
        <v/>
      </c>
      <c r="T120" s="30" t="str">
        <f aca="false">IF($E120="","",Q120*IFERROR(INDEX('Гео-калькулятор'!$D$7:$D$13,MATCH($C120,'Гео-калькулятор'!$B$7:$B$13,0)),0))</f>
        <v/>
      </c>
      <c r="U120" s="40" t="str">
        <f aca="false">IF($E120="","",T120-E120)</f>
        <v/>
      </c>
      <c r="V120" s="41" t="str">
        <f aca="false">IF($E120="","",IFERROR(U120/E120,""))</f>
        <v/>
      </c>
      <c r="W120" s="10" t="str">
        <f aca="false">IF($E120="","",IF($I120&lt;&gt;"","факт","прогноз"))</f>
        <v/>
      </c>
      <c r="X120" s="1"/>
      <c r="Y120" s="1"/>
      <c r="Z120" s="1"/>
      <c r="AA120" s="1"/>
      <c r="AB120" s="1"/>
      <c r="AC120" s="1"/>
      <c r="AD120" s="1"/>
    </row>
    <row r="121" customFormat="false" ht="18" hidden="false" customHeight="true" outlineLevel="0" collapsed="false">
      <c r="A121" s="1"/>
      <c r="B121" s="35"/>
      <c r="C121" s="8"/>
      <c r="D121" s="26"/>
      <c r="E121" s="27"/>
      <c r="F121" s="36"/>
      <c r="G121" s="36"/>
      <c r="H121" s="36"/>
      <c r="I121" s="36"/>
      <c r="J121" s="37" t="str">
        <f aca="false">IF($E121="","",IFERROR(G121/F121,""))</f>
        <v/>
      </c>
      <c r="K121" s="30" t="str">
        <f aca="false">IF($E121="","",IFERROR(E121/G121,""))</f>
        <v/>
      </c>
      <c r="L121" s="30" t="str">
        <f aca="false">IF($E121="","",IFERROR(E121/F121*1000,""))</f>
        <v/>
      </c>
      <c r="M121" s="37" t="str">
        <f aca="false">IF($E121="","",IFERROR(H121/G121,""))</f>
        <v/>
      </c>
      <c r="N121" s="30" t="str">
        <f aca="false">IF($E121="","",IFERROR(E121/H121,"—"))</f>
        <v/>
      </c>
      <c r="O121" s="30" t="str">
        <f aca="false">IF($E121="","",IFERROR(INDEX('Гео-калькулятор'!$K$7:$K$13,MATCH($C121,'Гео-калькулятор'!$B$7:$B$13,0)),""))</f>
        <v/>
      </c>
      <c r="P121" s="38" t="str">
        <f aca="false">IF($E121="","",IFERROR(N121/O121,""))</f>
        <v/>
      </c>
      <c r="Q121" s="39" t="str">
        <f aca="false">IF($E121="","",IF($I121&lt;&gt;"",$I121,N($H121)*IFERROR(INDEX('Гео-калькулятор'!$E$7:$E$13,MATCH($C121,'Гео-калькулятор'!$B$7:$B$13,0)),0)))</f>
        <v/>
      </c>
      <c r="R121" s="38" t="str">
        <f aca="false">IF($E121="","",IFERROR(Q121/H121,""))</f>
        <v/>
      </c>
      <c r="S121" s="30" t="str">
        <f aca="false">IF($E121="","",IFERROR(E121/Q121,"—"))</f>
        <v/>
      </c>
      <c r="T121" s="30" t="str">
        <f aca="false">IF($E121="","",Q121*IFERROR(INDEX('Гео-калькулятор'!$D$7:$D$13,MATCH($C121,'Гео-калькулятор'!$B$7:$B$13,0)),0))</f>
        <v/>
      </c>
      <c r="U121" s="40" t="str">
        <f aca="false">IF($E121="","",T121-E121)</f>
        <v/>
      </c>
      <c r="V121" s="41" t="str">
        <f aca="false">IF($E121="","",IFERROR(U121/E121,""))</f>
        <v/>
      </c>
      <c r="W121" s="10" t="str">
        <f aca="false">IF($E121="","",IF($I121&lt;&gt;"","факт","прогноз"))</f>
        <v/>
      </c>
      <c r="X121" s="1"/>
      <c r="Y121" s="1"/>
      <c r="Z121" s="1"/>
      <c r="AA121" s="1"/>
      <c r="AB121" s="1"/>
      <c r="AC121" s="1"/>
      <c r="AD121" s="1"/>
    </row>
    <row r="122" customFormat="false" ht="18" hidden="false" customHeight="true" outlineLevel="0" collapsed="false">
      <c r="A122" s="1"/>
      <c r="B122" s="35"/>
      <c r="C122" s="8"/>
      <c r="D122" s="26"/>
      <c r="E122" s="27"/>
      <c r="F122" s="36"/>
      <c r="G122" s="36"/>
      <c r="H122" s="36"/>
      <c r="I122" s="36"/>
      <c r="J122" s="37" t="str">
        <f aca="false">IF($E122="","",IFERROR(G122/F122,""))</f>
        <v/>
      </c>
      <c r="K122" s="30" t="str">
        <f aca="false">IF($E122="","",IFERROR(E122/G122,""))</f>
        <v/>
      </c>
      <c r="L122" s="30" t="str">
        <f aca="false">IF($E122="","",IFERROR(E122/F122*1000,""))</f>
        <v/>
      </c>
      <c r="M122" s="37" t="str">
        <f aca="false">IF($E122="","",IFERROR(H122/G122,""))</f>
        <v/>
      </c>
      <c r="N122" s="30" t="str">
        <f aca="false">IF($E122="","",IFERROR(E122/H122,"—"))</f>
        <v/>
      </c>
      <c r="O122" s="30" t="str">
        <f aca="false">IF($E122="","",IFERROR(INDEX('Гео-калькулятор'!$K$7:$K$13,MATCH($C122,'Гео-калькулятор'!$B$7:$B$13,0)),""))</f>
        <v/>
      </c>
      <c r="P122" s="38" t="str">
        <f aca="false">IF($E122="","",IFERROR(N122/O122,""))</f>
        <v/>
      </c>
      <c r="Q122" s="39" t="str">
        <f aca="false">IF($E122="","",IF($I122&lt;&gt;"",$I122,N($H122)*IFERROR(INDEX('Гео-калькулятор'!$E$7:$E$13,MATCH($C122,'Гео-калькулятор'!$B$7:$B$13,0)),0)))</f>
        <v/>
      </c>
      <c r="R122" s="38" t="str">
        <f aca="false">IF($E122="","",IFERROR(Q122/H122,""))</f>
        <v/>
      </c>
      <c r="S122" s="30" t="str">
        <f aca="false">IF($E122="","",IFERROR(E122/Q122,"—"))</f>
        <v/>
      </c>
      <c r="T122" s="30" t="str">
        <f aca="false">IF($E122="","",Q122*IFERROR(INDEX('Гео-калькулятор'!$D$7:$D$13,MATCH($C122,'Гео-калькулятор'!$B$7:$B$13,0)),0))</f>
        <v/>
      </c>
      <c r="U122" s="40" t="str">
        <f aca="false">IF($E122="","",T122-E122)</f>
        <v/>
      </c>
      <c r="V122" s="41" t="str">
        <f aca="false">IF($E122="","",IFERROR(U122/E122,""))</f>
        <v/>
      </c>
      <c r="W122" s="10" t="str">
        <f aca="false">IF($E122="","",IF($I122&lt;&gt;"","факт","прогноз"))</f>
        <v/>
      </c>
      <c r="X122" s="1"/>
      <c r="Y122" s="1"/>
      <c r="Z122" s="1"/>
      <c r="AA122" s="1"/>
      <c r="AB122" s="1"/>
      <c r="AC122" s="1"/>
      <c r="AD122" s="1"/>
    </row>
    <row r="123" customFormat="false" ht="18" hidden="false" customHeight="true" outlineLevel="0" collapsed="false">
      <c r="A123" s="1"/>
      <c r="B123" s="35"/>
      <c r="C123" s="8"/>
      <c r="D123" s="26"/>
      <c r="E123" s="27"/>
      <c r="F123" s="36"/>
      <c r="G123" s="36"/>
      <c r="H123" s="36"/>
      <c r="I123" s="36"/>
      <c r="J123" s="37" t="str">
        <f aca="false">IF($E123="","",IFERROR(G123/F123,""))</f>
        <v/>
      </c>
      <c r="K123" s="30" t="str">
        <f aca="false">IF($E123="","",IFERROR(E123/G123,""))</f>
        <v/>
      </c>
      <c r="L123" s="30" t="str">
        <f aca="false">IF($E123="","",IFERROR(E123/F123*1000,""))</f>
        <v/>
      </c>
      <c r="M123" s="37" t="str">
        <f aca="false">IF($E123="","",IFERROR(H123/G123,""))</f>
        <v/>
      </c>
      <c r="N123" s="30" t="str">
        <f aca="false">IF($E123="","",IFERROR(E123/H123,"—"))</f>
        <v/>
      </c>
      <c r="O123" s="30" t="str">
        <f aca="false">IF($E123="","",IFERROR(INDEX('Гео-калькулятор'!$K$7:$K$13,MATCH($C123,'Гео-калькулятор'!$B$7:$B$13,0)),""))</f>
        <v/>
      </c>
      <c r="P123" s="38" t="str">
        <f aca="false">IF($E123="","",IFERROR(N123/O123,""))</f>
        <v/>
      </c>
      <c r="Q123" s="39" t="str">
        <f aca="false">IF($E123="","",IF($I123&lt;&gt;"",$I123,N($H123)*IFERROR(INDEX('Гео-калькулятор'!$E$7:$E$13,MATCH($C123,'Гео-калькулятор'!$B$7:$B$13,0)),0)))</f>
        <v/>
      </c>
      <c r="R123" s="38" t="str">
        <f aca="false">IF($E123="","",IFERROR(Q123/H123,""))</f>
        <v/>
      </c>
      <c r="S123" s="30" t="str">
        <f aca="false">IF($E123="","",IFERROR(E123/Q123,"—"))</f>
        <v/>
      </c>
      <c r="T123" s="30" t="str">
        <f aca="false">IF($E123="","",Q123*IFERROR(INDEX('Гео-калькулятор'!$D$7:$D$13,MATCH($C123,'Гео-калькулятор'!$B$7:$B$13,0)),0))</f>
        <v/>
      </c>
      <c r="U123" s="40" t="str">
        <f aca="false">IF($E123="","",T123-E123)</f>
        <v/>
      </c>
      <c r="V123" s="41" t="str">
        <f aca="false">IF($E123="","",IFERROR(U123/E123,""))</f>
        <v/>
      </c>
      <c r="W123" s="10" t="str">
        <f aca="false">IF($E123="","",IF($I123&lt;&gt;"","факт","прогноз"))</f>
        <v/>
      </c>
      <c r="X123" s="1"/>
      <c r="Y123" s="1"/>
      <c r="Z123" s="1"/>
      <c r="AA123" s="1"/>
      <c r="AB123" s="1"/>
      <c r="AC123" s="1"/>
      <c r="AD123" s="1"/>
    </row>
    <row r="124" customFormat="false" ht="18" hidden="false" customHeight="true" outlineLevel="0" collapsed="false">
      <c r="A124" s="1"/>
      <c r="B124" s="35"/>
      <c r="C124" s="8"/>
      <c r="D124" s="26"/>
      <c r="E124" s="27"/>
      <c r="F124" s="36"/>
      <c r="G124" s="36"/>
      <c r="H124" s="36"/>
      <c r="I124" s="36"/>
      <c r="J124" s="37" t="str">
        <f aca="false">IF($E124="","",IFERROR(G124/F124,""))</f>
        <v/>
      </c>
      <c r="K124" s="30" t="str">
        <f aca="false">IF($E124="","",IFERROR(E124/G124,""))</f>
        <v/>
      </c>
      <c r="L124" s="30" t="str">
        <f aca="false">IF($E124="","",IFERROR(E124/F124*1000,""))</f>
        <v/>
      </c>
      <c r="M124" s="37" t="str">
        <f aca="false">IF($E124="","",IFERROR(H124/G124,""))</f>
        <v/>
      </c>
      <c r="N124" s="30" t="str">
        <f aca="false">IF($E124="","",IFERROR(E124/H124,"—"))</f>
        <v/>
      </c>
      <c r="O124" s="30" t="str">
        <f aca="false">IF($E124="","",IFERROR(INDEX('Гео-калькулятор'!$K$7:$K$13,MATCH($C124,'Гео-калькулятор'!$B$7:$B$13,0)),""))</f>
        <v/>
      </c>
      <c r="P124" s="38" t="str">
        <f aca="false">IF($E124="","",IFERROR(N124/O124,""))</f>
        <v/>
      </c>
      <c r="Q124" s="39" t="str">
        <f aca="false">IF($E124="","",IF($I124&lt;&gt;"",$I124,N($H124)*IFERROR(INDEX('Гео-калькулятор'!$E$7:$E$13,MATCH($C124,'Гео-калькулятор'!$B$7:$B$13,0)),0)))</f>
        <v/>
      </c>
      <c r="R124" s="38" t="str">
        <f aca="false">IF($E124="","",IFERROR(Q124/H124,""))</f>
        <v/>
      </c>
      <c r="S124" s="30" t="str">
        <f aca="false">IF($E124="","",IFERROR(E124/Q124,"—"))</f>
        <v/>
      </c>
      <c r="T124" s="30" t="str">
        <f aca="false">IF($E124="","",Q124*IFERROR(INDEX('Гео-калькулятор'!$D$7:$D$13,MATCH($C124,'Гео-калькулятор'!$B$7:$B$13,0)),0))</f>
        <v/>
      </c>
      <c r="U124" s="40" t="str">
        <f aca="false">IF($E124="","",T124-E124)</f>
        <v/>
      </c>
      <c r="V124" s="41" t="str">
        <f aca="false">IF($E124="","",IFERROR(U124/E124,""))</f>
        <v/>
      </c>
      <c r="W124" s="10" t="str">
        <f aca="false">IF($E124="","",IF($I124&lt;&gt;"","факт","прогноз"))</f>
        <v/>
      </c>
      <c r="X124" s="1"/>
      <c r="Y124" s="1"/>
      <c r="Z124" s="1"/>
      <c r="AA124" s="1"/>
      <c r="AB124" s="1"/>
      <c r="AC124" s="1"/>
      <c r="AD124" s="1"/>
    </row>
    <row r="125" customFormat="false" ht="18" hidden="false" customHeight="true" outlineLevel="0" collapsed="false">
      <c r="A125" s="1"/>
      <c r="B125" s="35"/>
      <c r="C125" s="8"/>
      <c r="D125" s="26"/>
      <c r="E125" s="27"/>
      <c r="F125" s="36"/>
      <c r="G125" s="36"/>
      <c r="H125" s="36"/>
      <c r="I125" s="36"/>
      <c r="J125" s="37" t="str">
        <f aca="false">IF($E125="","",IFERROR(G125/F125,""))</f>
        <v/>
      </c>
      <c r="K125" s="30" t="str">
        <f aca="false">IF($E125="","",IFERROR(E125/G125,""))</f>
        <v/>
      </c>
      <c r="L125" s="30" t="str">
        <f aca="false">IF($E125="","",IFERROR(E125/F125*1000,""))</f>
        <v/>
      </c>
      <c r="M125" s="37" t="str">
        <f aca="false">IF($E125="","",IFERROR(H125/G125,""))</f>
        <v/>
      </c>
      <c r="N125" s="30" t="str">
        <f aca="false">IF($E125="","",IFERROR(E125/H125,"—"))</f>
        <v/>
      </c>
      <c r="O125" s="30" t="str">
        <f aca="false">IF($E125="","",IFERROR(INDEX('Гео-калькулятор'!$K$7:$K$13,MATCH($C125,'Гео-калькулятор'!$B$7:$B$13,0)),""))</f>
        <v/>
      </c>
      <c r="P125" s="38" t="str">
        <f aca="false">IF($E125="","",IFERROR(N125/O125,""))</f>
        <v/>
      </c>
      <c r="Q125" s="39" t="str">
        <f aca="false">IF($E125="","",IF($I125&lt;&gt;"",$I125,N($H125)*IFERROR(INDEX('Гео-калькулятор'!$E$7:$E$13,MATCH($C125,'Гео-калькулятор'!$B$7:$B$13,0)),0)))</f>
        <v/>
      </c>
      <c r="R125" s="38" t="str">
        <f aca="false">IF($E125="","",IFERROR(Q125/H125,""))</f>
        <v/>
      </c>
      <c r="S125" s="30" t="str">
        <f aca="false">IF($E125="","",IFERROR(E125/Q125,"—"))</f>
        <v/>
      </c>
      <c r="T125" s="30" t="str">
        <f aca="false">IF($E125="","",Q125*IFERROR(INDEX('Гео-калькулятор'!$D$7:$D$13,MATCH($C125,'Гео-калькулятор'!$B$7:$B$13,0)),0))</f>
        <v/>
      </c>
      <c r="U125" s="40" t="str">
        <f aca="false">IF($E125="","",T125-E125)</f>
        <v/>
      </c>
      <c r="V125" s="41" t="str">
        <f aca="false">IF($E125="","",IFERROR(U125/E125,""))</f>
        <v/>
      </c>
      <c r="W125" s="10" t="str">
        <f aca="false">IF($E125="","",IF($I125&lt;&gt;"","факт","прогноз"))</f>
        <v/>
      </c>
      <c r="X125" s="1"/>
      <c r="Y125" s="1"/>
      <c r="Z125" s="1"/>
      <c r="AA125" s="1"/>
      <c r="AB125" s="1"/>
      <c r="AC125" s="1"/>
      <c r="AD125" s="1"/>
    </row>
    <row r="126" customFormat="false" ht="18" hidden="false" customHeight="true" outlineLevel="0" collapsed="false">
      <c r="A126" s="1"/>
      <c r="B126" s="35"/>
      <c r="C126" s="8"/>
      <c r="D126" s="26"/>
      <c r="E126" s="27"/>
      <c r="F126" s="36"/>
      <c r="G126" s="36"/>
      <c r="H126" s="36"/>
      <c r="I126" s="36"/>
      <c r="J126" s="37" t="str">
        <f aca="false">IF($E126="","",IFERROR(G126/F126,""))</f>
        <v/>
      </c>
      <c r="K126" s="30" t="str">
        <f aca="false">IF($E126="","",IFERROR(E126/G126,""))</f>
        <v/>
      </c>
      <c r="L126" s="30" t="str">
        <f aca="false">IF($E126="","",IFERROR(E126/F126*1000,""))</f>
        <v/>
      </c>
      <c r="M126" s="37" t="str">
        <f aca="false">IF($E126="","",IFERROR(H126/G126,""))</f>
        <v/>
      </c>
      <c r="N126" s="30" t="str">
        <f aca="false">IF($E126="","",IFERROR(E126/H126,"—"))</f>
        <v/>
      </c>
      <c r="O126" s="30" t="str">
        <f aca="false">IF($E126="","",IFERROR(INDEX('Гео-калькулятор'!$K$7:$K$13,MATCH($C126,'Гео-калькулятор'!$B$7:$B$13,0)),""))</f>
        <v/>
      </c>
      <c r="P126" s="38" t="str">
        <f aca="false">IF($E126="","",IFERROR(N126/O126,""))</f>
        <v/>
      </c>
      <c r="Q126" s="39" t="str">
        <f aca="false">IF($E126="","",IF($I126&lt;&gt;"",$I126,N($H126)*IFERROR(INDEX('Гео-калькулятор'!$E$7:$E$13,MATCH($C126,'Гео-калькулятор'!$B$7:$B$13,0)),0)))</f>
        <v/>
      </c>
      <c r="R126" s="38" t="str">
        <f aca="false">IF($E126="","",IFERROR(Q126/H126,""))</f>
        <v/>
      </c>
      <c r="S126" s="30" t="str">
        <f aca="false">IF($E126="","",IFERROR(E126/Q126,"—"))</f>
        <v/>
      </c>
      <c r="T126" s="30" t="str">
        <f aca="false">IF($E126="","",Q126*IFERROR(INDEX('Гео-калькулятор'!$D$7:$D$13,MATCH($C126,'Гео-калькулятор'!$B$7:$B$13,0)),0))</f>
        <v/>
      </c>
      <c r="U126" s="40" t="str">
        <f aca="false">IF($E126="","",T126-E126)</f>
        <v/>
      </c>
      <c r="V126" s="41" t="str">
        <f aca="false">IF($E126="","",IFERROR(U126/E126,""))</f>
        <v/>
      </c>
      <c r="W126" s="10" t="str">
        <f aca="false">IF($E126="","",IF($I126&lt;&gt;"","факт","прогноз"))</f>
        <v/>
      </c>
      <c r="X126" s="1"/>
      <c r="Y126" s="1"/>
      <c r="Z126" s="1"/>
      <c r="AA126" s="1"/>
      <c r="AB126" s="1"/>
      <c r="AC126" s="1"/>
      <c r="AD126" s="1"/>
    </row>
    <row r="127" customFormat="false" ht="18" hidden="false" customHeight="true" outlineLevel="0" collapsed="false">
      <c r="A127" s="1"/>
      <c r="B127" s="35"/>
      <c r="C127" s="8"/>
      <c r="D127" s="26"/>
      <c r="E127" s="27"/>
      <c r="F127" s="36"/>
      <c r="G127" s="36"/>
      <c r="H127" s="36"/>
      <c r="I127" s="36"/>
      <c r="J127" s="37" t="str">
        <f aca="false">IF($E127="","",IFERROR(G127/F127,""))</f>
        <v/>
      </c>
      <c r="K127" s="30" t="str">
        <f aca="false">IF($E127="","",IFERROR(E127/G127,""))</f>
        <v/>
      </c>
      <c r="L127" s="30" t="str">
        <f aca="false">IF($E127="","",IFERROR(E127/F127*1000,""))</f>
        <v/>
      </c>
      <c r="M127" s="37" t="str">
        <f aca="false">IF($E127="","",IFERROR(H127/G127,""))</f>
        <v/>
      </c>
      <c r="N127" s="30" t="str">
        <f aca="false">IF($E127="","",IFERROR(E127/H127,"—"))</f>
        <v/>
      </c>
      <c r="O127" s="30" t="str">
        <f aca="false">IF($E127="","",IFERROR(INDEX('Гео-калькулятор'!$K$7:$K$13,MATCH($C127,'Гео-калькулятор'!$B$7:$B$13,0)),""))</f>
        <v/>
      </c>
      <c r="P127" s="38" t="str">
        <f aca="false">IF($E127="","",IFERROR(N127/O127,""))</f>
        <v/>
      </c>
      <c r="Q127" s="39" t="str">
        <f aca="false">IF($E127="","",IF($I127&lt;&gt;"",$I127,N($H127)*IFERROR(INDEX('Гео-калькулятор'!$E$7:$E$13,MATCH($C127,'Гео-калькулятор'!$B$7:$B$13,0)),0)))</f>
        <v/>
      </c>
      <c r="R127" s="38" t="str">
        <f aca="false">IF($E127="","",IFERROR(Q127/H127,""))</f>
        <v/>
      </c>
      <c r="S127" s="30" t="str">
        <f aca="false">IF($E127="","",IFERROR(E127/Q127,"—"))</f>
        <v/>
      </c>
      <c r="T127" s="30" t="str">
        <f aca="false">IF($E127="","",Q127*IFERROR(INDEX('Гео-калькулятор'!$D$7:$D$13,MATCH($C127,'Гео-калькулятор'!$B$7:$B$13,0)),0))</f>
        <v/>
      </c>
      <c r="U127" s="40" t="str">
        <f aca="false">IF($E127="","",T127-E127)</f>
        <v/>
      </c>
      <c r="V127" s="41" t="str">
        <f aca="false">IF($E127="","",IFERROR(U127/E127,""))</f>
        <v/>
      </c>
      <c r="W127" s="10" t="str">
        <f aca="false">IF($E127="","",IF($I127&lt;&gt;"","факт","прогноз"))</f>
        <v/>
      </c>
      <c r="X127" s="1"/>
      <c r="Y127" s="1"/>
      <c r="Z127" s="1"/>
      <c r="AA127" s="1"/>
      <c r="AB127" s="1"/>
      <c r="AC127" s="1"/>
      <c r="AD127" s="1"/>
    </row>
    <row r="128" customFormat="false" ht="18" hidden="false" customHeight="true" outlineLevel="0" collapsed="false">
      <c r="A128" s="1"/>
      <c r="B128" s="35"/>
      <c r="C128" s="8"/>
      <c r="D128" s="26"/>
      <c r="E128" s="27"/>
      <c r="F128" s="36"/>
      <c r="G128" s="36"/>
      <c r="H128" s="36"/>
      <c r="I128" s="36"/>
      <c r="J128" s="37" t="str">
        <f aca="false">IF($E128="","",IFERROR(G128/F128,""))</f>
        <v/>
      </c>
      <c r="K128" s="30" t="str">
        <f aca="false">IF($E128="","",IFERROR(E128/G128,""))</f>
        <v/>
      </c>
      <c r="L128" s="30" t="str">
        <f aca="false">IF($E128="","",IFERROR(E128/F128*1000,""))</f>
        <v/>
      </c>
      <c r="M128" s="37" t="str">
        <f aca="false">IF($E128="","",IFERROR(H128/G128,""))</f>
        <v/>
      </c>
      <c r="N128" s="30" t="str">
        <f aca="false">IF($E128="","",IFERROR(E128/H128,"—"))</f>
        <v/>
      </c>
      <c r="O128" s="30" t="str">
        <f aca="false">IF($E128="","",IFERROR(INDEX('Гео-калькулятор'!$K$7:$K$13,MATCH($C128,'Гео-калькулятор'!$B$7:$B$13,0)),""))</f>
        <v/>
      </c>
      <c r="P128" s="38" t="str">
        <f aca="false">IF($E128="","",IFERROR(N128/O128,""))</f>
        <v/>
      </c>
      <c r="Q128" s="39" t="str">
        <f aca="false">IF($E128="","",IF($I128&lt;&gt;"",$I128,N($H128)*IFERROR(INDEX('Гео-калькулятор'!$E$7:$E$13,MATCH($C128,'Гео-калькулятор'!$B$7:$B$13,0)),0)))</f>
        <v/>
      </c>
      <c r="R128" s="38" t="str">
        <f aca="false">IF($E128="","",IFERROR(Q128/H128,""))</f>
        <v/>
      </c>
      <c r="S128" s="30" t="str">
        <f aca="false">IF($E128="","",IFERROR(E128/Q128,"—"))</f>
        <v/>
      </c>
      <c r="T128" s="30" t="str">
        <f aca="false">IF($E128="","",Q128*IFERROR(INDEX('Гео-калькулятор'!$D$7:$D$13,MATCH($C128,'Гео-калькулятор'!$B$7:$B$13,0)),0))</f>
        <v/>
      </c>
      <c r="U128" s="40" t="str">
        <f aca="false">IF($E128="","",T128-E128)</f>
        <v/>
      </c>
      <c r="V128" s="41" t="str">
        <f aca="false">IF($E128="","",IFERROR(U128/E128,""))</f>
        <v/>
      </c>
      <c r="W128" s="10" t="str">
        <f aca="false">IF($E128="","",IF($I128&lt;&gt;"","факт","прогноз"))</f>
        <v/>
      </c>
      <c r="X128" s="1"/>
      <c r="Y128" s="1"/>
      <c r="Z128" s="1"/>
      <c r="AA128" s="1"/>
      <c r="AB128" s="1"/>
      <c r="AC128" s="1"/>
      <c r="AD128" s="1"/>
    </row>
    <row r="129" customFormat="false" ht="18" hidden="false" customHeight="true" outlineLevel="0" collapsed="false">
      <c r="A129" s="1"/>
      <c r="B129" s="35"/>
      <c r="C129" s="8"/>
      <c r="D129" s="26"/>
      <c r="E129" s="27"/>
      <c r="F129" s="36"/>
      <c r="G129" s="36"/>
      <c r="H129" s="36"/>
      <c r="I129" s="36"/>
      <c r="J129" s="37" t="str">
        <f aca="false">IF($E129="","",IFERROR(G129/F129,""))</f>
        <v/>
      </c>
      <c r="K129" s="30" t="str">
        <f aca="false">IF($E129="","",IFERROR(E129/G129,""))</f>
        <v/>
      </c>
      <c r="L129" s="30" t="str">
        <f aca="false">IF($E129="","",IFERROR(E129/F129*1000,""))</f>
        <v/>
      </c>
      <c r="M129" s="37" t="str">
        <f aca="false">IF($E129="","",IFERROR(H129/G129,""))</f>
        <v/>
      </c>
      <c r="N129" s="30" t="str">
        <f aca="false">IF($E129="","",IFERROR(E129/H129,"—"))</f>
        <v/>
      </c>
      <c r="O129" s="30" t="str">
        <f aca="false">IF($E129="","",IFERROR(INDEX('Гео-калькулятор'!$K$7:$K$13,MATCH($C129,'Гео-калькулятор'!$B$7:$B$13,0)),""))</f>
        <v/>
      </c>
      <c r="P129" s="38" t="str">
        <f aca="false">IF($E129="","",IFERROR(N129/O129,""))</f>
        <v/>
      </c>
      <c r="Q129" s="39" t="str">
        <f aca="false">IF($E129="","",IF($I129&lt;&gt;"",$I129,N($H129)*IFERROR(INDEX('Гео-калькулятор'!$E$7:$E$13,MATCH($C129,'Гео-калькулятор'!$B$7:$B$13,0)),0)))</f>
        <v/>
      </c>
      <c r="R129" s="38" t="str">
        <f aca="false">IF($E129="","",IFERROR(Q129/H129,""))</f>
        <v/>
      </c>
      <c r="S129" s="30" t="str">
        <f aca="false">IF($E129="","",IFERROR(E129/Q129,"—"))</f>
        <v/>
      </c>
      <c r="T129" s="30" t="str">
        <f aca="false">IF($E129="","",Q129*IFERROR(INDEX('Гео-калькулятор'!$D$7:$D$13,MATCH($C129,'Гео-калькулятор'!$B$7:$B$13,0)),0))</f>
        <v/>
      </c>
      <c r="U129" s="40" t="str">
        <f aca="false">IF($E129="","",T129-E129)</f>
        <v/>
      </c>
      <c r="V129" s="41" t="str">
        <f aca="false">IF($E129="","",IFERROR(U129/E129,""))</f>
        <v/>
      </c>
      <c r="W129" s="10" t="str">
        <f aca="false">IF($E129="","",IF($I129&lt;&gt;"","факт","прогноз"))</f>
        <v/>
      </c>
      <c r="X129" s="1"/>
      <c r="Y129" s="1"/>
      <c r="Z129" s="1"/>
      <c r="AA129" s="1"/>
      <c r="AB129" s="1"/>
      <c r="AC129" s="1"/>
      <c r="AD129" s="1"/>
    </row>
    <row r="130" customFormat="false" ht="18" hidden="false" customHeight="true" outlineLevel="0" collapsed="false">
      <c r="A130" s="1"/>
      <c r="B130" s="35"/>
      <c r="C130" s="8"/>
      <c r="D130" s="26"/>
      <c r="E130" s="27"/>
      <c r="F130" s="36"/>
      <c r="G130" s="36"/>
      <c r="H130" s="36"/>
      <c r="I130" s="36"/>
      <c r="J130" s="37" t="str">
        <f aca="false">IF($E130="","",IFERROR(G130/F130,""))</f>
        <v/>
      </c>
      <c r="K130" s="30" t="str">
        <f aca="false">IF($E130="","",IFERROR(E130/G130,""))</f>
        <v/>
      </c>
      <c r="L130" s="30" t="str">
        <f aca="false">IF($E130="","",IFERROR(E130/F130*1000,""))</f>
        <v/>
      </c>
      <c r="M130" s="37" t="str">
        <f aca="false">IF($E130="","",IFERROR(H130/G130,""))</f>
        <v/>
      </c>
      <c r="N130" s="30" t="str">
        <f aca="false">IF($E130="","",IFERROR(E130/H130,"—"))</f>
        <v/>
      </c>
      <c r="O130" s="30" t="str">
        <f aca="false">IF($E130="","",IFERROR(INDEX('Гео-калькулятор'!$K$7:$K$13,MATCH($C130,'Гео-калькулятор'!$B$7:$B$13,0)),""))</f>
        <v/>
      </c>
      <c r="P130" s="38" t="str">
        <f aca="false">IF($E130="","",IFERROR(N130/O130,""))</f>
        <v/>
      </c>
      <c r="Q130" s="39" t="str">
        <f aca="false">IF($E130="","",IF($I130&lt;&gt;"",$I130,N($H130)*IFERROR(INDEX('Гео-калькулятор'!$E$7:$E$13,MATCH($C130,'Гео-калькулятор'!$B$7:$B$13,0)),0)))</f>
        <v/>
      </c>
      <c r="R130" s="38" t="str">
        <f aca="false">IF($E130="","",IFERROR(Q130/H130,""))</f>
        <v/>
      </c>
      <c r="S130" s="30" t="str">
        <f aca="false">IF($E130="","",IFERROR(E130/Q130,"—"))</f>
        <v/>
      </c>
      <c r="T130" s="30" t="str">
        <f aca="false">IF($E130="","",Q130*IFERROR(INDEX('Гео-калькулятор'!$D$7:$D$13,MATCH($C130,'Гео-калькулятор'!$B$7:$B$13,0)),0))</f>
        <v/>
      </c>
      <c r="U130" s="40" t="str">
        <f aca="false">IF($E130="","",T130-E130)</f>
        <v/>
      </c>
      <c r="V130" s="41" t="str">
        <f aca="false">IF($E130="","",IFERROR(U130/E130,""))</f>
        <v/>
      </c>
      <c r="W130" s="10" t="str">
        <f aca="false">IF($E130="","",IF($I130&lt;&gt;"","факт","прогноз"))</f>
        <v/>
      </c>
      <c r="X130" s="1"/>
      <c r="Y130" s="1"/>
      <c r="Z130" s="1"/>
      <c r="AA130" s="1"/>
      <c r="AB130" s="1"/>
      <c r="AC130" s="1"/>
      <c r="AD130" s="1"/>
    </row>
    <row r="131" customFormat="false" ht="18" hidden="false" customHeight="true" outlineLevel="0" collapsed="false">
      <c r="A131" s="1"/>
      <c r="B131" s="35"/>
      <c r="C131" s="8"/>
      <c r="D131" s="26"/>
      <c r="E131" s="27"/>
      <c r="F131" s="36"/>
      <c r="G131" s="36"/>
      <c r="H131" s="36"/>
      <c r="I131" s="36"/>
      <c r="J131" s="37" t="str">
        <f aca="false">IF($E131="","",IFERROR(G131/F131,""))</f>
        <v/>
      </c>
      <c r="K131" s="30" t="str">
        <f aca="false">IF($E131="","",IFERROR(E131/G131,""))</f>
        <v/>
      </c>
      <c r="L131" s="30" t="str">
        <f aca="false">IF($E131="","",IFERROR(E131/F131*1000,""))</f>
        <v/>
      </c>
      <c r="M131" s="37" t="str">
        <f aca="false">IF($E131="","",IFERROR(H131/G131,""))</f>
        <v/>
      </c>
      <c r="N131" s="30" t="str">
        <f aca="false">IF($E131="","",IFERROR(E131/H131,"—"))</f>
        <v/>
      </c>
      <c r="O131" s="30" t="str">
        <f aca="false">IF($E131="","",IFERROR(INDEX('Гео-калькулятор'!$K$7:$K$13,MATCH($C131,'Гео-калькулятор'!$B$7:$B$13,0)),""))</f>
        <v/>
      </c>
      <c r="P131" s="38" t="str">
        <f aca="false">IF($E131="","",IFERROR(N131/O131,""))</f>
        <v/>
      </c>
      <c r="Q131" s="39" t="str">
        <f aca="false">IF($E131="","",IF($I131&lt;&gt;"",$I131,N($H131)*IFERROR(INDEX('Гео-калькулятор'!$E$7:$E$13,MATCH($C131,'Гео-калькулятор'!$B$7:$B$13,0)),0)))</f>
        <v/>
      </c>
      <c r="R131" s="38" t="str">
        <f aca="false">IF($E131="","",IFERROR(Q131/H131,""))</f>
        <v/>
      </c>
      <c r="S131" s="30" t="str">
        <f aca="false">IF($E131="","",IFERROR(E131/Q131,"—"))</f>
        <v/>
      </c>
      <c r="T131" s="30" t="str">
        <f aca="false">IF($E131="","",Q131*IFERROR(INDEX('Гео-калькулятор'!$D$7:$D$13,MATCH($C131,'Гео-калькулятор'!$B$7:$B$13,0)),0))</f>
        <v/>
      </c>
      <c r="U131" s="40" t="str">
        <f aca="false">IF($E131="","",T131-E131)</f>
        <v/>
      </c>
      <c r="V131" s="41" t="str">
        <f aca="false">IF($E131="","",IFERROR(U131/E131,""))</f>
        <v/>
      </c>
      <c r="W131" s="10" t="str">
        <f aca="false">IF($E131="","",IF($I131&lt;&gt;"","факт","прогноз"))</f>
        <v/>
      </c>
      <c r="X131" s="1"/>
      <c r="Y131" s="1"/>
      <c r="Z131" s="1"/>
      <c r="AA131" s="1"/>
      <c r="AB131" s="1"/>
      <c r="AC131" s="1"/>
      <c r="AD131" s="1"/>
    </row>
    <row r="132" customFormat="false" ht="18" hidden="false" customHeight="true" outlineLevel="0" collapsed="false">
      <c r="A132" s="1"/>
      <c r="B132" s="35"/>
      <c r="C132" s="8"/>
      <c r="D132" s="26"/>
      <c r="E132" s="27"/>
      <c r="F132" s="36"/>
      <c r="G132" s="36"/>
      <c r="H132" s="36"/>
      <c r="I132" s="36"/>
      <c r="J132" s="37" t="str">
        <f aca="false">IF($E132="","",IFERROR(G132/F132,""))</f>
        <v/>
      </c>
      <c r="K132" s="30" t="str">
        <f aca="false">IF($E132="","",IFERROR(E132/G132,""))</f>
        <v/>
      </c>
      <c r="L132" s="30" t="str">
        <f aca="false">IF($E132="","",IFERROR(E132/F132*1000,""))</f>
        <v/>
      </c>
      <c r="M132" s="37" t="str">
        <f aca="false">IF($E132="","",IFERROR(H132/G132,""))</f>
        <v/>
      </c>
      <c r="N132" s="30" t="str">
        <f aca="false">IF($E132="","",IFERROR(E132/H132,"—"))</f>
        <v/>
      </c>
      <c r="O132" s="30" t="str">
        <f aca="false">IF($E132="","",IFERROR(INDEX('Гео-калькулятор'!$K$7:$K$13,MATCH($C132,'Гео-калькулятор'!$B$7:$B$13,0)),""))</f>
        <v/>
      </c>
      <c r="P132" s="38" t="str">
        <f aca="false">IF($E132="","",IFERROR(N132/O132,""))</f>
        <v/>
      </c>
      <c r="Q132" s="39" t="str">
        <f aca="false">IF($E132="","",IF($I132&lt;&gt;"",$I132,N($H132)*IFERROR(INDEX('Гео-калькулятор'!$E$7:$E$13,MATCH($C132,'Гео-калькулятор'!$B$7:$B$13,0)),0)))</f>
        <v/>
      </c>
      <c r="R132" s="38" t="str">
        <f aca="false">IF($E132="","",IFERROR(Q132/H132,""))</f>
        <v/>
      </c>
      <c r="S132" s="30" t="str">
        <f aca="false">IF($E132="","",IFERROR(E132/Q132,"—"))</f>
        <v/>
      </c>
      <c r="T132" s="30" t="str">
        <f aca="false">IF($E132="","",Q132*IFERROR(INDEX('Гео-калькулятор'!$D$7:$D$13,MATCH($C132,'Гео-калькулятор'!$B$7:$B$13,0)),0))</f>
        <v/>
      </c>
      <c r="U132" s="40" t="str">
        <f aca="false">IF($E132="","",T132-E132)</f>
        <v/>
      </c>
      <c r="V132" s="41" t="str">
        <f aca="false">IF($E132="","",IFERROR(U132/E132,""))</f>
        <v/>
      </c>
      <c r="W132" s="10" t="str">
        <f aca="false">IF($E132="","",IF($I132&lt;&gt;"","факт","прогноз"))</f>
        <v/>
      </c>
      <c r="X132" s="1"/>
      <c r="Y132" s="1"/>
      <c r="Z132" s="1"/>
      <c r="AA132" s="1"/>
      <c r="AB132" s="1"/>
      <c r="AC132" s="1"/>
      <c r="AD132" s="1"/>
    </row>
    <row r="133" customFormat="false" ht="18" hidden="false" customHeight="true" outlineLevel="0" collapsed="false">
      <c r="A133" s="1"/>
      <c r="B133" s="35"/>
      <c r="C133" s="8"/>
      <c r="D133" s="26"/>
      <c r="E133" s="27"/>
      <c r="F133" s="36"/>
      <c r="G133" s="36"/>
      <c r="H133" s="36"/>
      <c r="I133" s="36"/>
      <c r="J133" s="37" t="str">
        <f aca="false">IF($E133="","",IFERROR(G133/F133,""))</f>
        <v/>
      </c>
      <c r="K133" s="30" t="str">
        <f aca="false">IF($E133="","",IFERROR(E133/G133,""))</f>
        <v/>
      </c>
      <c r="L133" s="30" t="str">
        <f aca="false">IF($E133="","",IFERROR(E133/F133*1000,""))</f>
        <v/>
      </c>
      <c r="M133" s="37" t="str">
        <f aca="false">IF($E133="","",IFERROR(H133/G133,""))</f>
        <v/>
      </c>
      <c r="N133" s="30" t="str">
        <f aca="false">IF($E133="","",IFERROR(E133/H133,"—"))</f>
        <v/>
      </c>
      <c r="O133" s="30" t="str">
        <f aca="false">IF($E133="","",IFERROR(INDEX('Гео-калькулятор'!$K$7:$K$13,MATCH($C133,'Гео-калькулятор'!$B$7:$B$13,0)),""))</f>
        <v/>
      </c>
      <c r="P133" s="38" t="str">
        <f aca="false">IF($E133="","",IFERROR(N133/O133,""))</f>
        <v/>
      </c>
      <c r="Q133" s="39" t="str">
        <f aca="false">IF($E133="","",IF($I133&lt;&gt;"",$I133,N($H133)*IFERROR(INDEX('Гео-калькулятор'!$E$7:$E$13,MATCH($C133,'Гео-калькулятор'!$B$7:$B$13,0)),0)))</f>
        <v/>
      </c>
      <c r="R133" s="38" t="str">
        <f aca="false">IF($E133="","",IFERROR(Q133/H133,""))</f>
        <v/>
      </c>
      <c r="S133" s="30" t="str">
        <f aca="false">IF($E133="","",IFERROR(E133/Q133,"—"))</f>
        <v/>
      </c>
      <c r="T133" s="30" t="str">
        <f aca="false">IF($E133="","",Q133*IFERROR(INDEX('Гео-калькулятор'!$D$7:$D$13,MATCH($C133,'Гео-калькулятор'!$B$7:$B$13,0)),0))</f>
        <v/>
      </c>
      <c r="U133" s="40" t="str">
        <f aca="false">IF($E133="","",T133-E133)</f>
        <v/>
      </c>
      <c r="V133" s="41" t="str">
        <f aca="false">IF($E133="","",IFERROR(U133/E133,""))</f>
        <v/>
      </c>
      <c r="W133" s="10" t="str">
        <f aca="false">IF($E133="","",IF($I133&lt;&gt;"","факт","прогноз"))</f>
        <v/>
      </c>
      <c r="X133" s="1"/>
      <c r="Y133" s="1"/>
      <c r="Z133" s="1"/>
      <c r="AA133" s="1"/>
      <c r="AB133" s="1"/>
      <c r="AC133" s="1"/>
      <c r="AD133" s="1"/>
    </row>
    <row r="134" customFormat="false" ht="18" hidden="false" customHeight="true" outlineLevel="0" collapsed="false">
      <c r="A134" s="1"/>
      <c r="B134" s="35"/>
      <c r="C134" s="8"/>
      <c r="D134" s="26"/>
      <c r="E134" s="27"/>
      <c r="F134" s="36"/>
      <c r="G134" s="36"/>
      <c r="H134" s="36"/>
      <c r="I134" s="36"/>
      <c r="J134" s="37" t="str">
        <f aca="false">IF($E134="","",IFERROR(G134/F134,""))</f>
        <v/>
      </c>
      <c r="K134" s="30" t="str">
        <f aca="false">IF($E134="","",IFERROR(E134/G134,""))</f>
        <v/>
      </c>
      <c r="L134" s="30" t="str">
        <f aca="false">IF($E134="","",IFERROR(E134/F134*1000,""))</f>
        <v/>
      </c>
      <c r="M134" s="37" t="str">
        <f aca="false">IF($E134="","",IFERROR(H134/G134,""))</f>
        <v/>
      </c>
      <c r="N134" s="30" t="str">
        <f aca="false">IF($E134="","",IFERROR(E134/H134,"—"))</f>
        <v/>
      </c>
      <c r="O134" s="30" t="str">
        <f aca="false">IF($E134="","",IFERROR(INDEX('Гео-калькулятор'!$K$7:$K$13,MATCH($C134,'Гео-калькулятор'!$B$7:$B$13,0)),""))</f>
        <v/>
      </c>
      <c r="P134" s="38" t="str">
        <f aca="false">IF($E134="","",IFERROR(N134/O134,""))</f>
        <v/>
      </c>
      <c r="Q134" s="39" t="str">
        <f aca="false">IF($E134="","",IF($I134&lt;&gt;"",$I134,N($H134)*IFERROR(INDEX('Гео-калькулятор'!$E$7:$E$13,MATCH($C134,'Гео-калькулятор'!$B$7:$B$13,0)),0)))</f>
        <v/>
      </c>
      <c r="R134" s="38" t="str">
        <f aca="false">IF($E134="","",IFERROR(Q134/H134,""))</f>
        <v/>
      </c>
      <c r="S134" s="30" t="str">
        <f aca="false">IF($E134="","",IFERROR(E134/Q134,"—"))</f>
        <v/>
      </c>
      <c r="T134" s="30" t="str">
        <f aca="false">IF($E134="","",Q134*IFERROR(INDEX('Гео-калькулятор'!$D$7:$D$13,MATCH($C134,'Гео-калькулятор'!$B$7:$B$13,0)),0))</f>
        <v/>
      </c>
      <c r="U134" s="40" t="str">
        <f aca="false">IF($E134="","",T134-E134)</f>
        <v/>
      </c>
      <c r="V134" s="41" t="str">
        <f aca="false">IF($E134="","",IFERROR(U134/E134,""))</f>
        <v/>
      </c>
      <c r="W134" s="10" t="str">
        <f aca="false">IF($E134="","",IF($I134&lt;&gt;"","факт","прогноз"))</f>
        <v/>
      </c>
      <c r="X134" s="1"/>
      <c r="Y134" s="1"/>
      <c r="Z134" s="1"/>
      <c r="AA134" s="1"/>
      <c r="AB134" s="1"/>
      <c r="AC134" s="1"/>
      <c r="AD134" s="1"/>
    </row>
    <row r="135" customFormat="false" ht="18" hidden="false" customHeight="true" outlineLevel="0" collapsed="false">
      <c r="A135" s="1"/>
      <c r="B135" s="35"/>
      <c r="C135" s="8"/>
      <c r="D135" s="26"/>
      <c r="E135" s="27"/>
      <c r="F135" s="36"/>
      <c r="G135" s="36"/>
      <c r="H135" s="36"/>
      <c r="I135" s="36"/>
      <c r="J135" s="37" t="str">
        <f aca="false">IF($E135="","",IFERROR(G135/F135,""))</f>
        <v/>
      </c>
      <c r="K135" s="30" t="str">
        <f aca="false">IF($E135="","",IFERROR(E135/G135,""))</f>
        <v/>
      </c>
      <c r="L135" s="30" t="str">
        <f aca="false">IF($E135="","",IFERROR(E135/F135*1000,""))</f>
        <v/>
      </c>
      <c r="M135" s="37" t="str">
        <f aca="false">IF($E135="","",IFERROR(H135/G135,""))</f>
        <v/>
      </c>
      <c r="N135" s="30" t="str">
        <f aca="false">IF($E135="","",IFERROR(E135/H135,"—"))</f>
        <v/>
      </c>
      <c r="O135" s="30" t="str">
        <f aca="false">IF($E135="","",IFERROR(INDEX('Гео-калькулятор'!$K$7:$K$13,MATCH($C135,'Гео-калькулятор'!$B$7:$B$13,0)),""))</f>
        <v/>
      </c>
      <c r="P135" s="38" t="str">
        <f aca="false">IF($E135="","",IFERROR(N135/O135,""))</f>
        <v/>
      </c>
      <c r="Q135" s="39" t="str">
        <f aca="false">IF($E135="","",IF($I135&lt;&gt;"",$I135,N($H135)*IFERROR(INDEX('Гео-калькулятор'!$E$7:$E$13,MATCH($C135,'Гео-калькулятор'!$B$7:$B$13,0)),0)))</f>
        <v/>
      </c>
      <c r="R135" s="38" t="str">
        <f aca="false">IF($E135="","",IFERROR(Q135/H135,""))</f>
        <v/>
      </c>
      <c r="S135" s="30" t="str">
        <f aca="false">IF($E135="","",IFERROR(E135/Q135,"—"))</f>
        <v/>
      </c>
      <c r="T135" s="30" t="str">
        <f aca="false">IF($E135="","",Q135*IFERROR(INDEX('Гео-калькулятор'!$D$7:$D$13,MATCH($C135,'Гео-калькулятор'!$B$7:$B$13,0)),0))</f>
        <v/>
      </c>
      <c r="U135" s="40" t="str">
        <f aca="false">IF($E135="","",T135-E135)</f>
        <v/>
      </c>
      <c r="V135" s="41" t="str">
        <f aca="false">IF($E135="","",IFERROR(U135/E135,""))</f>
        <v/>
      </c>
      <c r="W135" s="10" t="str">
        <f aca="false">IF($E135="","",IF($I135&lt;&gt;"","факт","прогноз"))</f>
        <v/>
      </c>
      <c r="X135" s="1"/>
      <c r="Y135" s="1"/>
      <c r="Z135" s="1"/>
      <c r="AA135" s="1"/>
      <c r="AB135" s="1"/>
      <c r="AC135" s="1"/>
      <c r="AD135" s="1"/>
    </row>
    <row r="136" customFormat="false" ht="18" hidden="false" customHeight="true" outlineLevel="0" collapsed="false">
      <c r="A136" s="1"/>
      <c r="B136" s="35"/>
      <c r="C136" s="8"/>
      <c r="D136" s="26"/>
      <c r="E136" s="27"/>
      <c r="F136" s="36"/>
      <c r="G136" s="36"/>
      <c r="H136" s="36"/>
      <c r="I136" s="36"/>
      <c r="J136" s="37" t="str">
        <f aca="false">IF($E136="","",IFERROR(G136/F136,""))</f>
        <v/>
      </c>
      <c r="K136" s="30" t="str">
        <f aca="false">IF($E136="","",IFERROR(E136/G136,""))</f>
        <v/>
      </c>
      <c r="L136" s="30" t="str">
        <f aca="false">IF($E136="","",IFERROR(E136/F136*1000,""))</f>
        <v/>
      </c>
      <c r="M136" s="37" t="str">
        <f aca="false">IF($E136="","",IFERROR(H136/G136,""))</f>
        <v/>
      </c>
      <c r="N136" s="30" t="str">
        <f aca="false">IF($E136="","",IFERROR(E136/H136,"—"))</f>
        <v/>
      </c>
      <c r="O136" s="30" t="str">
        <f aca="false">IF($E136="","",IFERROR(INDEX('Гео-калькулятор'!$K$7:$K$13,MATCH($C136,'Гео-калькулятор'!$B$7:$B$13,0)),""))</f>
        <v/>
      </c>
      <c r="P136" s="38" t="str">
        <f aca="false">IF($E136="","",IFERROR(N136/O136,""))</f>
        <v/>
      </c>
      <c r="Q136" s="39" t="str">
        <f aca="false">IF($E136="","",IF($I136&lt;&gt;"",$I136,N($H136)*IFERROR(INDEX('Гео-калькулятор'!$E$7:$E$13,MATCH($C136,'Гео-калькулятор'!$B$7:$B$13,0)),0)))</f>
        <v/>
      </c>
      <c r="R136" s="38" t="str">
        <f aca="false">IF($E136="","",IFERROR(Q136/H136,""))</f>
        <v/>
      </c>
      <c r="S136" s="30" t="str">
        <f aca="false">IF($E136="","",IFERROR(E136/Q136,"—"))</f>
        <v/>
      </c>
      <c r="T136" s="30" t="str">
        <f aca="false">IF($E136="","",Q136*IFERROR(INDEX('Гео-калькулятор'!$D$7:$D$13,MATCH($C136,'Гео-калькулятор'!$B$7:$B$13,0)),0))</f>
        <v/>
      </c>
      <c r="U136" s="40" t="str">
        <f aca="false">IF($E136="","",T136-E136)</f>
        <v/>
      </c>
      <c r="V136" s="41" t="str">
        <f aca="false">IF($E136="","",IFERROR(U136/E136,""))</f>
        <v/>
      </c>
      <c r="W136" s="10" t="str">
        <f aca="false">IF($E136="","",IF($I136&lt;&gt;"","факт","прогноз"))</f>
        <v/>
      </c>
      <c r="X136" s="1"/>
      <c r="Y136" s="1"/>
      <c r="Z136" s="1"/>
      <c r="AA136" s="1"/>
      <c r="AB136" s="1"/>
      <c r="AC136" s="1"/>
      <c r="AD136" s="1"/>
    </row>
    <row r="137" customFormat="false" ht="18" hidden="false" customHeight="true" outlineLevel="0" collapsed="false">
      <c r="A137" s="1"/>
      <c r="B137" s="35"/>
      <c r="C137" s="8"/>
      <c r="D137" s="26"/>
      <c r="E137" s="27"/>
      <c r="F137" s="36"/>
      <c r="G137" s="36"/>
      <c r="H137" s="36"/>
      <c r="I137" s="36"/>
      <c r="J137" s="37" t="str">
        <f aca="false">IF($E137="","",IFERROR(G137/F137,""))</f>
        <v/>
      </c>
      <c r="K137" s="30" t="str">
        <f aca="false">IF($E137="","",IFERROR(E137/G137,""))</f>
        <v/>
      </c>
      <c r="L137" s="30" t="str">
        <f aca="false">IF($E137="","",IFERROR(E137/F137*1000,""))</f>
        <v/>
      </c>
      <c r="M137" s="37" t="str">
        <f aca="false">IF($E137="","",IFERROR(H137/G137,""))</f>
        <v/>
      </c>
      <c r="N137" s="30" t="str">
        <f aca="false">IF($E137="","",IFERROR(E137/H137,"—"))</f>
        <v/>
      </c>
      <c r="O137" s="30" t="str">
        <f aca="false">IF($E137="","",IFERROR(INDEX('Гео-калькулятор'!$K$7:$K$13,MATCH($C137,'Гео-калькулятор'!$B$7:$B$13,0)),""))</f>
        <v/>
      </c>
      <c r="P137" s="38" t="str">
        <f aca="false">IF($E137="","",IFERROR(N137/O137,""))</f>
        <v/>
      </c>
      <c r="Q137" s="39" t="str">
        <f aca="false">IF($E137="","",IF($I137&lt;&gt;"",$I137,N($H137)*IFERROR(INDEX('Гео-калькулятор'!$E$7:$E$13,MATCH($C137,'Гео-калькулятор'!$B$7:$B$13,0)),0)))</f>
        <v/>
      </c>
      <c r="R137" s="38" t="str">
        <f aca="false">IF($E137="","",IFERROR(Q137/H137,""))</f>
        <v/>
      </c>
      <c r="S137" s="30" t="str">
        <f aca="false">IF($E137="","",IFERROR(E137/Q137,"—"))</f>
        <v/>
      </c>
      <c r="T137" s="30" t="str">
        <f aca="false">IF($E137="","",Q137*IFERROR(INDEX('Гео-калькулятор'!$D$7:$D$13,MATCH($C137,'Гео-калькулятор'!$B$7:$B$13,0)),0))</f>
        <v/>
      </c>
      <c r="U137" s="40" t="str">
        <f aca="false">IF($E137="","",T137-E137)</f>
        <v/>
      </c>
      <c r="V137" s="41" t="str">
        <f aca="false">IF($E137="","",IFERROR(U137/E137,""))</f>
        <v/>
      </c>
      <c r="W137" s="10" t="str">
        <f aca="false">IF($E137="","",IF($I137&lt;&gt;"","факт","прогноз"))</f>
        <v/>
      </c>
      <c r="X137" s="1"/>
      <c r="Y137" s="1"/>
      <c r="Z137" s="1"/>
      <c r="AA137" s="1"/>
      <c r="AB137" s="1"/>
      <c r="AC137" s="1"/>
      <c r="AD137" s="1"/>
    </row>
    <row r="138" customFormat="false" ht="18" hidden="false" customHeight="true" outlineLevel="0" collapsed="false">
      <c r="A138" s="1"/>
      <c r="B138" s="35"/>
      <c r="C138" s="8"/>
      <c r="D138" s="26"/>
      <c r="E138" s="27"/>
      <c r="F138" s="36"/>
      <c r="G138" s="36"/>
      <c r="H138" s="36"/>
      <c r="I138" s="36"/>
      <c r="J138" s="37" t="str">
        <f aca="false">IF($E138="","",IFERROR(G138/F138,""))</f>
        <v/>
      </c>
      <c r="K138" s="30" t="str">
        <f aca="false">IF($E138="","",IFERROR(E138/G138,""))</f>
        <v/>
      </c>
      <c r="L138" s="30" t="str">
        <f aca="false">IF($E138="","",IFERROR(E138/F138*1000,""))</f>
        <v/>
      </c>
      <c r="M138" s="37" t="str">
        <f aca="false">IF($E138="","",IFERROR(H138/G138,""))</f>
        <v/>
      </c>
      <c r="N138" s="30" t="str">
        <f aca="false">IF($E138="","",IFERROR(E138/H138,"—"))</f>
        <v/>
      </c>
      <c r="O138" s="30" t="str">
        <f aca="false">IF($E138="","",IFERROR(INDEX('Гео-калькулятор'!$K$7:$K$13,MATCH($C138,'Гео-калькулятор'!$B$7:$B$13,0)),""))</f>
        <v/>
      </c>
      <c r="P138" s="38" t="str">
        <f aca="false">IF($E138="","",IFERROR(N138/O138,""))</f>
        <v/>
      </c>
      <c r="Q138" s="39" t="str">
        <f aca="false">IF($E138="","",IF($I138&lt;&gt;"",$I138,N($H138)*IFERROR(INDEX('Гео-калькулятор'!$E$7:$E$13,MATCH($C138,'Гео-калькулятор'!$B$7:$B$13,0)),0)))</f>
        <v/>
      </c>
      <c r="R138" s="38" t="str">
        <f aca="false">IF($E138="","",IFERROR(Q138/H138,""))</f>
        <v/>
      </c>
      <c r="S138" s="30" t="str">
        <f aca="false">IF($E138="","",IFERROR(E138/Q138,"—"))</f>
        <v/>
      </c>
      <c r="T138" s="30" t="str">
        <f aca="false">IF($E138="","",Q138*IFERROR(INDEX('Гео-калькулятор'!$D$7:$D$13,MATCH($C138,'Гео-калькулятор'!$B$7:$B$13,0)),0))</f>
        <v/>
      </c>
      <c r="U138" s="40" t="str">
        <f aca="false">IF($E138="","",T138-E138)</f>
        <v/>
      </c>
      <c r="V138" s="41" t="str">
        <f aca="false">IF($E138="","",IFERROR(U138/E138,""))</f>
        <v/>
      </c>
      <c r="W138" s="10" t="str">
        <f aca="false">IF($E138="","",IF($I138&lt;&gt;"","факт","прогноз"))</f>
        <v/>
      </c>
      <c r="X138" s="1"/>
      <c r="Y138" s="1"/>
      <c r="Z138" s="1"/>
      <c r="AA138" s="1"/>
      <c r="AB138" s="1"/>
      <c r="AC138" s="1"/>
      <c r="AD138" s="1"/>
    </row>
    <row r="139" customFormat="false" ht="18" hidden="false" customHeight="true" outlineLevel="0" collapsed="false">
      <c r="A139" s="1"/>
      <c r="B139" s="35"/>
      <c r="C139" s="8"/>
      <c r="D139" s="26"/>
      <c r="E139" s="27"/>
      <c r="F139" s="36"/>
      <c r="G139" s="36"/>
      <c r="H139" s="36"/>
      <c r="I139" s="36"/>
      <c r="J139" s="37" t="str">
        <f aca="false">IF($E139="","",IFERROR(G139/F139,""))</f>
        <v/>
      </c>
      <c r="K139" s="30" t="str">
        <f aca="false">IF($E139="","",IFERROR(E139/G139,""))</f>
        <v/>
      </c>
      <c r="L139" s="30" t="str">
        <f aca="false">IF($E139="","",IFERROR(E139/F139*1000,""))</f>
        <v/>
      </c>
      <c r="M139" s="37" t="str">
        <f aca="false">IF($E139="","",IFERROR(H139/G139,""))</f>
        <v/>
      </c>
      <c r="N139" s="30" t="str">
        <f aca="false">IF($E139="","",IFERROR(E139/H139,"—"))</f>
        <v/>
      </c>
      <c r="O139" s="30" t="str">
        <f aca="false">IF($E139="","",IFERROR(INDEX('Гео-калькулятор'!$K$7:$K$13,MATCH($C139,'Гео-калькулятор'!$B$7:$B$13,0)),""))</f>
        <v/>
      </c>
      <c r="P139" s="38" t="str">
        <f aca="false">IF($E139="","",IFERROR(N139/O139,""))</f>
        <v/>
      </c>
      <c r="Q139" s="39" t="str">
        <f aca="false">IF($E139="","",IF($I139&lt;&gt;"",$I139,N($H139)*IFERROR(INDEX('Гео-калькулятор'!$E$7:$E$13,MATCH($C139,'Гео-калькулятор'!$B$7:$B$13,0)),0)))</f>
        <v/>
      </c>
      <c r="R139" s="38" t="str">
        <f aca="false">IF($E139="","",IFERROR(Q139/H139,""))</f>
        <v/>
      </c>
      <c r="S139" s="30" t="str">
        <f aca="false">IF($E139="","",IFERROR(E139/Q139,"—"))</f>
        <v/>
      </c>
      <c r="T139" s="30" t="str">
        <f aca="false">IF($E139="","",Q139*IFERROR(INDEX('Гео-калькулятор'!$D$7:$D$13,MATCH($C139,'Гео-калькулятор'!$B$7:$B$13,0)),0))</f>
        <v/>
      </c>
      <c r="U139" s="40" t="str">
        <f aca="false">IF($E139="","",T139-E139)</f>
        <v/>
      </c>
      <c r="V139" s="41" t="str">
        <f aca="false">IF($E139="","",IFERROR(U139/E139,""))</f>
        <v/>
      </c>
      <c r="W139" s="10" t="str">
        <f aca="false">IF($E139="","",IF($I139&lt;&gt;"","факт","прогноз"))</f>
        <v/>
      </c>
      <c r="X139" s="1"/>
      <c r="Y139" s="1"/>
      <c r="Z139" s="1"/>
      <c r="AA139" s="1"/>
      <c r="AB139" s="1"/>
      <c r="AC139" s="1"/>
      <c r="AD139" s="1"/>
    </row>
    <row r="140" customFormat="false" ht="18" hidden="false" customHeight="true" outlineLevel="0" collapsed="false">
      <c r="A140" s="1"/>
      <c r="B140" s="35"/>
      <c r="C140" s="8"/>
      <c r="D140" s="26"/>
      <c r="E140" s="27"/>
      <c r="F140" s="36"/>
      <c r="G140" s="36"/>
      <c r="H140" s="36"/>
      <c r="I140" s="36"/>
      <c r="J140" s="37" t="str">
        <f aca="false">IF($E140="","",IFERROR(G140/F140,""))</f>
        <v/>
      </c>
      <c r="K140" s="30" t="str">
        <f aca="false">IF($E140="","",IFERROR(E140/G140,""))</f>
        <v/>
      </c>
      <c r="L140" s="30" t="str">
        <f aca="false">IF($E140="","",IFERROR(E140/F140*1000,""))</f>
        <v/>
      </c>
      <c r="M140" s="37" t="str">
        <f aca="false">IF($E140="","",IFERROR(H140/G140,""))</f>
        <v/>
      </c>
      <c r="N140" s="30" t="str">
        <f aca="false">IF($E140="","",IFERROR(E140/H140,"—"))</f>
        <v/>
      </c>
      <c r="O140" s="30" t="str">
        <f aca="false">IF($E140="","",IFERROR(INDEX('Гео-калькулятор'!$K$7:$K$13,MATCH($C140,'Гео-калькулятор'!$B$7:$B$13,0)),""))</f>
        <v/>
      </c>
      <c r="P140" s="38" t="str">
        <f aca="false">IF($E140="","",IFERROR(N140/O140,""))</f>
        <v/>
      </c>
      <c r="Q140" s="39" t="str">
        <f aca="false">IF($E140="","",IF($I140&lt;&gt;"",$I140,N($H140)*IFERROR(INDEX('Гео-калькулятор'!$E$7:$E$13,MATCH($C140,'Гео-калькулятор'!$B$7:$B$13,0)),0)))</f>
        <v/>
      </c>
      <c r="R140" s="38" t="str">
        <f aca="false">IF($E140="","",IFERROR(Q140/H140,""))</f>
        <v/>
      </c>
      <c r="S140" s="30" t="str">
        <f aca="false">IF($E140="","",IFERROR(E140/Q140,"—"))</f>
        <v/>
      </c>
      <c r="T140" s="30" t="str">
        <f aca="false">IF($E140="","",Q140*IFERROR(INDEX('Гео-калькулятор'!$D$7:$D$13,MATCH($C140,'Гео-калькулятор'!$B$7:$B$13,0)),0))</f>
        <v/>
      </c>
      <c r="U140" s="40" t="str">
        <f aca="false">IF($E140="","",T140-E140)</f>
        <v/>
      </c>
      <c r="V140" s="41" t="str">
        <f aca="false">IF($E140="","",IFERROR(U140/E140,""))</f>
        <v/>
      </c>
      <c r="W140" s="10" t="str">
        <f aca="false">IF($E140="","",IF($I140&lt;&gt;"","факт","прогноз"))</f>
        <v/>
      </c>
      <c r="X140" s="1"/>
      <c r="Y140" s="1"/>
      <c r="Z140" s="1"/>
      <c r="AA140" s="1"/>
      <c r="AB140" s="1"/>
      <c r="AC140" s="1"/>
      <c r="AD140" s="1"/>
    </row>
    <row r="141" customFormat="false" ht="18" hidden="false" customHeight="true" outlineLevel="0" collapsed="false">
      <c r="A141" s="1"/>
      <c r="B141" s="35"/>
      <c r="C141" s="8"/>
      <c r="D141" s="26"/>
      <c r="E141" s="27"/>
      <c r="F141" s="36"/>
      <c r="G141" s="36"/>
      <c r="H141" s="36"/>
      <c r="I141" s="36"/>
      <c r="J141" s="37" t="str">
        <f aca="false">IF($E141="","",IFERROR(G141/F141,""))</f>
        <v/>
      </c>
      <c r="K141" s="30" t="str">
        <f aca="false">IF($E141="","",IFERROR(E141/G141,""))</f>
        <v/>
      </c>
      <c r="L141" s="30" t="str">
        <f aca="false">IF($E141="","",IFERROR(E141/F141*1000,""))</f>
        <v/>
      </c>
      <c r="M141" s="37" t="str">
        <f aca="false">IF($E141="","",IFERROR(H141/G141,""))</f>
        <v/>
      </c>
      <c r="N141" s="30" t="str">
        <f aca="false">IF($E141="","",IFERROR(E141/H141,"—"))</f>
        <v/>
      </c>
      <c r="O141" s="30" t="str">
        <f aca="false">IF($E141="","",IFERROR(INDEX('Гео-калькулятор'!$K$7:$K$13,MATCH($C141,'Гео-калькулятор'!$B$7:$B$13,0)),""))</f>
        <v/>
      </c>
      <c r="P141" s="38" t="str">
        <f aca="false">IF($E141="","",IFERROR(N141/O141,""))</f>
        <v/>
      </c>
      <c r="Q141" s="39" t="str">
        <f aca="false">IF($E141="","",IF($I141&lt;&gt;"",$I141,N($H141)*IFERROR(INDEX('Гео-калькулятор'!$E$7:$E$13,MATCH($C141,'Гео-калькулятор'!$B$7:$B$13,0)),0)))</f>
        <v/>
      </c>
      <c r="R141" s="38" t="str">
        <f aca="false">IF($E141="","",IFERROR(Q141/H141,""))</f>
        <v/>
      </c>
      <c r="S141" s="30" t="str">
        <f aca="false">IF($E141="","",IFERROR(E141/Q141,"—"))</f>
        <v/>
      </c>
      <c r="T141" s="30" t="str">
        <f aca="false">IF($E141="","",Q141*IFERROR(INDEX('Гео-калькулятор'!$D$7:$D$13,MATCH($C141,'Гео-калькулятор'!$B$7:$B$13,0)),0))</f>
        <v/>
      </c>
      <c r="U141" s="40" t="str">
        <f aca="false">IF($E141="","",T141-E141)</f>
        <v/>
      </c>
      <c r="V141" s="41" t="str">
        <f aca="false">IF($E141="","",IFERROR(U141/E141,""))</f>
        <v/>
      </c>
      <c r="W141" s="10" t="str">
        <f aca="false">IF($E141="","",IF($I141&lt;&gt;"","факт","прогноз"))</f>
        <v/>
      </c>
      <c r="X141" s="1"/>
      <c r="Y141" s="1"/>
      <c r="Z141" s="1"/>
      <c r="AA141" s="1"/>
      <c r="AB141" s="1"/>
      <c r="AC141" s="1"/>
      <c r="AD141" s="1"/>
    </row>
    <row r="142" customFormat="false" ht="18" hidden="false" customHeight="true" outlineLevel="0" collapsed="false">
      <c r="A142" s="1"/>
      <c r="B142" s="35"/>
      <c r="C142" s="8"/>
      <c r="D142" s="26"/>
      <c r="E142" s="27"/>
      <c r="F142" s="36"/>
      <c r="G142" s="36"/>
      <c r="H142" s="36"/>
      <c r="I142" s="36"/>
      <c r="J142" s="37" t="str">
        <f aca="false">IF($E142="","",IFERROR(G142/F142,""))</f>
        <v/>
      </c>
      <c r="K142" s="30" t="str">
        <f aca="false">IF($E142="","",IFERROR(E142/G142,""))</f>
        <v/>
      </c>
      <c r="L142" s="30" t="str">
        <f aca="false">IF($E142="","",IFERROR(E142/F142*1000,""))</f>
        <v/>
      </c>
      <c r="M142" s="37" t="str">
        <f aca="false">IF($E142="","",IFERROR(H142/G142,""))</f>
        <v/>
      </c>
      <c r="N142" s="30" t="str">
        <f aca="false">IF($E142="","",IFERROR(E142/H142,"—"))</f>
        <v/>
      </c>
      <c r="O142" s="30" t="str">
        <f aca="false">IF($E142="","",IFERROR(INDEX('Гео-калькулятор'!$K$7:$K$13,MATCH($C142,'Гео-калькулятор'!$B$7:$B$13,0)),""))</f>
        <v/>
      </c>
      <c r="P142" s="38" t="str">
        <f aca="false">IF($E142="","",IFERROR(N142/O142,""))</f>
        <v/>
      </c>
      <c r="Q142" s="39" t="str">
        <f aca="false">IF($E142="","",IF($I142&lt;&gt;"",$I142,N($H142)*IFERROR(INDEX('Гео-калькулятор'!$E$7:$E$13,MATCH($C142,'Гео-калькулятор'!$B$7:$B$13,0)),0)))</f>
        <v/>
      </c>
      <c r="R142" s="38" t="str">
        <f aca="false">IF($E142="","",IFERROR(Q142/H142,""))</f>
        <v/>
      </c>
      <c r="S142" s="30" t="str">
        <f aca="false">IF($E142="","",IFERROR(E142/Q142,"—"))</f>
        <v/>
      </c>
      <c r="T142" s="30" t="str">
        <f aca="false">IF($E142="","",Q142*IFERROR(INDEX('Гео-калькулятор'!$D$7:$D$13,MATCH($C142,'Гео-калькулятор'!$B$7:$B$13,0)),0))</f>
        <v/>
      </c>
      <c r="U142" s="40" t="str">
        <f aca="false">IF($E142="","",T142-E142)</f>
        <v/>
      </c>
      <c r="V142" s="41" t="str">
        <f aca="false">IF($E142="","",IFERROR(U142/E142,""))</f>
        <v/>
      </c>
      <c r="W142" s="10" t="str">
        <f aca="false">IF($E142="","",IF($I142&lt;&gt;"","факт","прогноз"))</f>
        <v/>
      </c>
      <c r="X142" s="1"/>
      <c r="Y142" s="1"/>
      <c r="Z142" s="1"/>
      <c r="AA142" s="1"/>
      <c r="AB142" s="1"/>
      <c r="AC142" s="1"/>
      <c r="AD142" s="1"/>
    </row>
    <row r="143" customFormat="false" ht="18" hidden="false" customHeight="true" outlineLevel="0" collapsed="false">
      <c r="A143" s="1"/>
      <c r="B143" s="35"/>
      <c r="C143" s="8"/>
      <c r="D143" s="26"/>
      <c r="E143" s="27"/>
      <c r="F143" s="36"/>
      <c r="G143" s="36"/>
      <c r="H143" s="36"/>
      <c r="I143" s="36"/>
      <c r="J143" s="37" t="str">
        <f aca="false">IF($E143="","",IFERROR(G143/F143,""))</f>
        <v/>
      </c>
      <c r="K143" s="30" t="str">
        <f aca="false">IF($E143="","",IFERROR(E143/G143,""))</f>
        <v/>
      </c>
      <c r="L143" s="30" t="str">
        <f aca="false">IF($E143="","",IFERROR(E143/F143*1000,""))</f>
        <v/>
      </c>
      <c r="M143" s="37" t="str">
        <f aca="false">IF($E143="","",IFERROR(H143/G143,""))</f>
        <v/>
      </c>
      <c r="N143" s="30" t="str">
        <f aca="false">IF($E143="","",IFERROR(E143/H143,"—"))</f>
        <v/>
      </c>
      <c r="O143" s="30" t="str">
        <f aca="false">IF($E143="","",IFERROR(INDEX('Гео-калькулятор'!$K$7:$K$13,MATCH($C143,'Гео-калькулятор'!$B$7:$B$13,0)),""))</f>
        <v/>
      </c>
      <c r="P143" s="38" t="str">
        <f aca="false">IF($E143="","",IFERROR(N143/O143,""))</f>
        <v/>
      </c>
      <c r="Q143" s="39" t="str">
        <f aca="false">IF($E143="","",IF($I143&lt;&gt;"",$I143,N($H143)*IFERROR(INDEX('Гео-калькулятор'!$E$7:$E$13,MATCH($C143,'Гео-калькулятор'!$B$7:$B$13,0)),0)))</f>
        <v/>
      </c>
      <c r="R143" s="38" t="str">
        <f aca="false">IF($E143="","",IFERROR(Q143/H143,""))</f>
        <v/>
      </c>
      <c r="S143" s="30" t="str">
        <f aca="false">IF($E143="","",IFERROR(E143/Q143,"—"))</f>
        <v/>
      </c>
      <c r="T143" s="30" t="str">
        <f aca="false">IF($E143="","",Q143*IFERROR(INDEX('Гео-калькулятор'!$D$7:$D$13,MATCH($C143,'Гео-калькулятор'!$B$7:$B$13,0)),0))</f>
        <v/>
      </c>
      <c r="U143" s="40" t="str">
        <f aca="false">IF($E143="","",T143-E143)</f>
        <v/>
      </c>
      <c r="V143" s="41" t="str">
        <f aca="false">IF($E143="","",IFERROR(U143/E143,""))</f>
        <v/>
      </c>
      <c r="W143" s="10" t="str">
        <f aca="false">IF($E143="","",IF($I143&lt;&gt;"","факт","прогноз"))</f>
        <v/>
      </c>
      <c r="X143" s="1"/>
      <c r="Y143" s="1"/>
      <c r="Z143" s="1"/>
      <c r="AA143" s="1"/>
      <c r="AB143" s="1"/>
      <c r="AC143" s="1"/>
      <c r="AD143" s="1"/>
    </row>
    <row r="144" customFormat="false" ht="18" hidden="false" customHeight="true" outlineLevel="0" collapsed="false">
      <c r="A144" s="1"/>
      <c r="B144" s="35"/>
      <c r="C144" s="8"/>
      <c r="D144" s="26"/>
      <c r="E144" s="27"/>
      <c r="F144" s="36"/>
      <c r="G144" s="36"/>
      <c r="H144" s="36"/>
      <c r="I144" s="36"/>
      <c r="J144" s="37" t="str">
        <f aca="false">IF($E144="","",IFERROR(G144/F144,""))</f>
        <v/>
      </c>
      <c r="K144" s="30" t="str">
        <f aca="false">IF($E144="","",IFERROR(E144/G144,""))</f>
        <v/>
      </c>
      <c r="L144" s="30" t="str">
        <f aca="false">IF($E144="","",IFERROR(E144/F144*1000,""))</f>
        <v/>
      </c>
      <c r="M144" s="37" t="str">
        <f aca="false">IF($E144="","",IFERROR(H144/G144,""))</f>
        <v/>
      </c>
      <c r="N144" s="30" t="str">
        <f aca="false">IF($E144="","",IFERROR(E144/H144,"—"))</f>
        <v/>
      </c>
      <c r="O144" s="30" t="str">
        <f aca="false">IF($E144="","",IFERROR(INDEX('Гео-калькулятор'!$K$7:$K$13,MATCH($C144,'Гео-калькулятор'!$B$7:$B$13,0)),""))</f>
        <v/>
      </c>
      <c r="P144" s="38" t="str">
        <f aca="false">IF($E144="","",IFERROR(N144/O144,""))</f>
        <v/>
      </c>
      <c r="Q144" s="39" t="str">
        <f aca="false">IF($E144="","",IF($I144&lt;&gt;"",$I144,N($H144)*IFERROR(INDEX('Гео-калькулятор'!$E$7:$E$13,MATCH($C144,'Гео-калькулятор'!$B$7:$B$13,0)),0)))</f>
        <v/>
      </c>
      <c r="R144" s="38" t="str">
        <f aca="false">IF($E144="","",IFERROR(Q144/H144,""))</f>
        <v/>
      </c>
      <c r="S144" s="30" t="str">
        <f aca="false">IF($E144="","",IFERROR(E144/Q144,"—"))</f>
        <v/>
      </c>
      <c r="T144" s="30" t="str">
        <f aca="false">IF($E144="","",Q144*IFERROR(INDEX('Гео-калькулятор'!$D$7:$D$13,MATCH($C144,'Гео-калькулятор'!$B$7:$B$13,0)),0))</f>
        <v/>
      </c>
      <c r="U144" s="40" t="str">
        <f aca="false">IF($E144="","",T144-E144)</f>
        <v/>
      </c>
      <c r="V144" s="41" t="str">
        <f aca="false">IF($E144="","",IFERROR(U144/E144,""))</f>
        <v/>
      </c>
      <c r="W144" s="10" t="str">
        <f aca="false">IF($E144="","",IF($I144&lt;&gt;"","факт","прогноз"))</f>
        <v/>
      </c>
      <c r="X144" s="1"/>
      <c r="Y144" s="1"/>
      <c r="Z144" s="1"/>
      <c r="AA144" s="1"/>
      <c r="AB144" s="1"/>
      <c r="AC144" s="1"/>
      <c r="AD144" s="1"/>
    </row>
    <row r="145" customFormat="false" ht="18" hidden="false" customHeight="true" outlineLevel="0" collapsed="false">
      <c r="A145" s="1"/>
      <c r="B145" s="35"/>
      <c r="C145" s="8"/>
      <c r="D145" s="26"/>
      <c r="E145" s="27"/>
      <c r="F145" s="36"/>
      <c r="G145" s="36"/>
      <c r="H145" s="36"/>
      <c r="I145" s="36"/>
      <c r="J145" s="37" t="str">
        <f aca="false">IF($E145="","",IFERROR(G145/F145,""))</f>
        <v/>
      </c>
      <c r="K145" s="30" t="str">
        <f aca="false">IF($E145="","",IFERROR(E145/G145,""))</f>
        <v/>
      </c>
      <c r="L145" s="30" t="str">
        <f aca="false">IF($E145="","",IFERROR(E145/F145*1000,""))</f>
        <v/>
      </c>
      <c r="M145" s="37" t="str">
        <f aca="false">IF($E145="","",IFERROR(H145/G145,""))</f>
        <v/>
      </c>
      <c r="N145" s="30" t="str">
        <f aca="false">IF($E145="","",IFERROR(E145/H145,"—"))</f>
        <v/>
      </c>
      <c r="O145" s="30" t="str">
        <f aca="false">IF($E145="","",IFERROR(INDEX('Гео-калькулятор'!$K$7:$K$13,MATCH($C145,'Гео-калькулятор'!$B$7:$B$13,0)),""))</f>
        <v/>
      </c>
      <c r="P145" s="38" t="str">
        <f aca="false">IF($E145="","",IFERROR(N145/O145,""))</f>
        <v/>
      </c>
      <c r="Q145" s="39" t="str">
        <f aca="false">IF($E145="","",IF($I145&lt;&gt;"",$I145,N($H145)*IFERROR(INDEX('Гео-калькулятор'!$E$7:$E$13,MATCH($C145,'Гео-калькулятор'!$B$7:$B$13,0)),0)))</f>
        <v/>
      </c>
      <c r="R145" s="38" t="str">
        <f aca="false">IF($E145="","",IFERROR(Q145/H145,""))</f>
        <v/>
      </c>
      <c r="S145" s="30" t="str">
        <f aca="false">IF($E145="","",IFERROR(E145/Q145,"—"))</f>
        <v/>
      </c>
      <c r="T145" s="30" t="str">
        <f aca="false">IF($E145="","",Q145*IFERROR(INDEX('Гео-калькулятор'!$D$7:$D$13,MATCH($C145,'Гео-калькулятор'!$B$7:$B$13,0)),0))</f>
        <v/>
      </c>
      <c r="U145" s="40" t="str">
        <f aca="false">IF($E145="","",T145-E145)</f>
        <v/>
      </c>
      <c r="V145" s="41" t="str">
        <f aca="false">IF($E145="","",IFERROR(U145/E145,""))</f>
        <v/>
      </c>
      <c r="W145" s="10" t="str">
        <f aca="false">IF($E145="","",IF($I145&lt;&gt;"","факт","прогноз"))</f>
        <v/>
      </c>
      <c r="X145" s="1"/>
      <c r="Y145" s="1"/>
      <c r="Z145" s="1"/>
      <c r="AA145" s="1"/>
      <c r="AB145" s="1"/>
      <c r="AC145" s="1"/>
      <c r="AD145" s="1"/>
    </row>
    <row r="146" customFormat="false" ht="18" hidden="false" customHeight="true" outlineLevel="0" collapsed="false">
      <c r="A146" s="1"/>
      <c r="B146" s="35"/>
      <c r="C146" s="8"/>
      <c r="D146" s="26"/>
      <c r="E146" s="27"/>
      <c r="F146" s="36"/>
      <c r="G146" s="36"/>
      <c r="H146" s="36"/>
      <c r="I146" s="36"/>
      <c r="J146" s="37" t="str">
        <f aca="false">IF($E146="","",IFERROR(G146/F146,""))</f>
        <v/>
      </c>
      <c r="K146" s="30" t="str">
        <f aca="false">IF($E146="","",IFERROR(E146/G146,""))</f>
        <v/>
      </c>
      <c r="L146" s="30" t="str">
        <f aca="false">IF($E146="","",IFERROR(E146/F146*1000,""))</f>
        <v/>
      </c>
      <c r="M146" s="37" t="str">
        <f aca="false">IF($E146="","",IFERROR(H146/G146,""))</f>
        <v/>
      </c>
      <c r="N146" s="30" t="str">
        <f aca="false">IF($E146="","",IFERROR(E146/H146,"—"))</f>
        <v/>
      </c>
      <c r="O146" s="30" t="str">
        <f aca="false">IF($E146="","",IFERROR(INDEX('Гео-калькулятор'!$K$7:$K$13,MATCH($C146,'Гео-калькулятор'!$B$7:$B$13,0)),""))</f>
        <v/>
      </c>
      <c r="P146" s="38" t="str">
        <f aca="false">IF($E146="","",IFERROR(N146/O146,""))</f>
        <v/>
      </c>
      <c r="Q146" s="39" t="str">
        <f aca="false">IF($E146="","",IF($I146&lt;&gt;"",$I146,N($H146)*IFERROR(INDEX('Гео-калькулятор'!$E$7:$E$13,MATCH($C146,'Гео-калькулятор'!$B$7:$B$13,0)),0)))</f>
        <v/>
      </c>
      <c r="R146" s="38" t="str">
        <f aca="false">IF($E146="","",IFERROR(Q146/H146,""))</f>
        <v/>
      </c>
      <c r="S146" s="30" t="str">
        <f aca="false">IF($E146="","",IFERROR(E146/Q146,"—"))</f>
        <v/>
      </c>
      <c r="T146" s="30" t="str">
        <f aca="false">IF($E146="","",Q146*IFERROR(INDEX('Гео-калькулятор'!$D$7:$D$13,MATCH($C146,'Гео-калькулятор'!$B$7:$B$13,0)),0))</f>
        <v/>
      </c>
      <c r="U146" s="40" t="str">
        <f aca="false">IF($E146="","",T146-E146)</f>
        <v/>
      </c>
      <c r="V146" s="41" t="str">
        <f aca="false">IF($E146="","",IFERROR(U146/E146,""))</f>
        <v/>
      </c>
      <c r="W146" s="10" t="str">
        <f aca="false">IF($E146="","",IF($I146&lt;&gt;"","факт","прогноз"))</f>
        <v/>
      </c>
      <c r="X146" s="1"/>
      <c r="Y146" s="1"/>
      <c r="Z146" s="1"/>
      <c r="AA146" s="1"/>
      <c r="AB146" s="1"/>
      <c r="AC146" s="1"/>
      <c r="AD146" s="1"/>
    </row>
    <row r="147" customFormat="false" ht="18" hidden="false" customHeight="true" outlineLevel="0" collapsed="false">
      <c r="A147" s="1"/>
      <c r="B147" s="35"/>
      <c r="C147" s="8"/>
      <c r="D147" s="26"/>
      <c r="E147" s="27"/>
      <c r="F147" s="36"/>
      <c r="G147" s="36"/>
      <c r="H147" s="36"/>
      <c r="I147" s="36"/>
      <c r="J147" s="37" t="str">
        <f aca="false">IF($E147="","",IFERROR(G147/F147,""))</f>
        <v/>
      </c>
      <c r="K147" s="30" t="str">
        <f aca="false">IF($E147="","",IFERROR(E147/G147,""))</f>
        <v/>
      </c>
      <c r="L147" s="30" t="str">
        <f aca="false">IF($E147="","",IFERROR(E147/F147*1000,""))</f>
        <v/>
      </c>
      <c r="M147" s="37" t="str">
        <f aca="false">IF($E147="","",IFERROR(H147/G147,""))</f>
        <v/>
      </c>
      <c r="N147" s="30" t="str">
        <f aca="false">IF($E147="","",IFERROR(E147/H147,"—"))</f>
        <v/>
      </c>
      <c r="O147" s="30" t="str">
        <f aca="false">IF($E147="","",IFERROR(INDEX('Гео-калькулятор'!$K$7:$K$13,MATCH($C147,'Гео-калькулятор'!$B$7:$B$13,0)),""))</f>
        <v/>
      </c>
      <c r="P147" s="38" t="str">
        <f aca="false">IF($E147="","",IFERROR(N147/O147,""))</f>
        <v/>
      </c>
      <c r="Q147" s="39" t="str">
        <f aca="false">IF($E147="","",IF($I147&lt;&gt;"",$I147,N($H147)*IFERROR(INDEX('Гео-калькулятор'!$E$7:$E$13,MATCH($C147,'Гео-калькулятор'!$B$7:$B$13,0)),0)))</f>
        <v/>
      </c>
      <c r="R147" s="38" t="str">
        <f aca="false">IF($E147="","",IFERROR(Q147/H147,""))</f>
        <v/>
      </c>
      <c r="S147" s="30" t="str">
        <f aca="false">IF($E147="","",IFERROR(E147/Q147,"—"))</f>
        <v/>
      </c>
      <c r="T147" s="30" t="str">
        <f aca="false">IF($E147="","",Q147*IFERROR(INDEX('Гео-калькулятор'!$D$7:$D$13,MATCH($C147,'Гео-калькулятор'!$B$7:$B$13,0)),0))</f>
        <v/>
      </c>
      <c r="U147" s="40" t="str">
        <f aca="false">IF($E147="","",T147-E147)</f>
        <v/>
      </c>
      <c r="V147" s="41" t="str">
        <f aca="false">IF($E147="","",IFERROR(U147/E147,""))</f>
        <v/>
      </c>
      <c r="W147" s="10" t="str">
        <f aca="false">IF($E147="","",IF($I147&lt;&gt;"","факт","прогноз"))</f>
        <v/>
      </c>
      <c r="X147" s="1"/>
      <c r="Y147" s="1"/>
      <c r="Z147" s="1"/>
      <c r="AA147" s="1"/>
      <c r="AB147" s="1"/>
      <c r="AC147" s="1"/>
      <c r="AD147" s="1"/>
    </row>
    <row r="148" customFormat="false" ht="18" hidden="false" customHeight="true" outlineLevel="0" collapsed="false">
      <c r="A148" s="1"/>
      <c r="B148" s="35"/>
      <c r="C148" s="8"/>
      <c r="D148" s="26"/>
      <c r="E148" s="27"/>
      <c r="F148" s="36"/>
      <c r="G148" s="36"/>
      <c r="H148" s="36"/>
      <c r="I148" s="36"/>
      <c r="J148" s="37" t="str">
        <f aca="false">IF($E148="","",IFERROR(G148/F148,""))</f>
        <v/>
      </c>
      <c r="K148" s="30" t="str">
        <f aca="false">IF($E148="","",IFERROR(E148/G148,""))</f>
        <v/>
      </c>
      <c r="L148" s="30" t="str">
        <f aca="false">IF($E148="","",IFERROR(E148/F148*1000,""))</f>
        <v/>
      </c>
      <c r="M148" s="37" t="str">
        <f aca="false">IF($E148="","",IFERROR(H148/G148,""))</f>
        <v/>
      </c>
      <c r="N148" s="30" t="str">
        <f aca="false">IF($E148="","",IFERROR(E148/H148,"—"))</f>
        <v/>
      </c>
      <c r="O148" s="30" t="str">
        <f aca="false">IF($E148="","",IFERROR(INDEX('Гео-калькулятор'!$K$7:$K$13,MATCH($C148,'Гео-калькулятор'!$B$7:$B$13,0)),""))</f>
        <v/>
      </c>
      <c r="P148" s="38" t="str">
        <f aca="false">IF($E148="","",IFERROR(N148/O148,""))</f>
        <v/>
      </c>
      <c r="Q148" s="39" t="str">
        <f aca="false">IF($E148="","",IF($I148&lt;&gt;"",$I148,N($H148)*IFERROR(INDEX('Гео-калькулятор'!$E$7:$E$13,MATCH($C148,'Гео-калькулятор'!$B$7:$B$13,0)),0)))</f>
        <v/>
      </c>
      <c r="R148" s="38" t="str">
        <f aca="false">IF($E148="","",IFERROR(Q148/H148,""))</f>
        <v/>
      </c>
      <c r="S148" s="30" t="str">
        <f aca="false">IF($E148="","",IFERROR(E148/Q148,"—"))</f>
        <v/>
      </c>
      <c r="T148" s="30" t="str">
        <f aca="false">IF($E148="","",Q148*IFERROR(INDEX('Гео-калькулятор'!$D$7:$D$13,MATCH($C148,'Гео-калькулятор'!$B$7:$B$13,0)),0))</f>
        <v/>
      </c>
      <c r="U148" s="40" t="str">
        <f aca="false">IF($E148="","",T148-E148)</f>
        <v/>
      </c>
      <c r="V148" s="41" t="str">
        <f aca="false">IF($E148="","",IFERROR(U148/E148,""))</f>
        <v/>
      </c>
      <c r="W148" s="10" t="str">
        <f aca="false">IF($E148="","",IF($I148&lt;&gt;"","факт","прогноз"))</f>
        <v/>
      </c>
      <c r="X148" s="1"/>
      <c r="Y148" s="1"/>
      <c r="Z148" s="1"/>
      <c r="AA148" s="1"/>
      <c r="AB148" s="1"/>
      <c r="AC148" s="1"/>
      <c r="AD148" s="1"/>
    </row>
    <row r="149" customFormat="false" ht="18" hidden="false" customHeight="true" outlineLevel="0" collapsed="false">
      <c r="A149" s="1"/>
      <c r="B149" s="35"/>
      <c r="C149" s="8"/>
      <c r="D149" s="26"/>
      <c r="E149" s="27"/>
      <c r="F149" s="36"/>
      <c r="G149" s="36"/>
      <c r="H149" s="36"/>
      <c r="I149" s="36"/>
      <c r="J149" s="37" t="str">
        <f aca="false">IF($E149="","",IFERROR(G149/F149,""))</f>
        <v/>
      </c>
      <c r="K149" s="30" t="str">
        <f aca="false">IF($E149="","",IFERROR(E149/G149,""))</f>
        <v/>
      </c>
      <c r="L149" s="30" t="str">
        <f aca="false">IF($E149="","",IFERROR(E149/F149*1000,""))</f>
        <v/>
      </c>
      <c r="M149" s="37" t="str">
        <f aca="false">IF($E149="","",IFERROR(H149/G149,""))</f>
        <v/>
      </c>
      <c r="N149" s="30" t="str">
        <f aca="false">IF($E149="","",IFERROR(E149/H149,"—"))</f>
        <v/>
      </c>
      <c r="O149" s="30" t="str">
        <f aca="false">IF($E149="","",IFERROR(INDEX('Гео-калькулятор'!$K$7:$K$13,MATCH($C149,'Гео-калькулятор'!$B$7:$B$13,0)),""))</f>
        <v/>
      </c>
      <c r="P149" s="38" t="str">
        <f aca="false">IF($E149="","",IFERROR(N149/O149,""))</f>
        <v/>
      </c>
      <c r="Q149" s="39" t="str">
        <f aca="false">IF($E149="","",IF($I149&lt;&gt;"",$I149,N($H149)*IFERROR(INDEX('Гео-калькулятор'!$E$7:$E$13,MATCH($C149,'Гео-калькулятор'!$B$7:$B$13,0)),0)))</f>
        <v/>
      </c>
      <c r="R149" s="38" t="str">
        <f aca="false">IF($E149="","",IFERROR(Q149/H149,""))</f>
        <v/>
      </c>
      <c r="S149" s="30" t="str">
        <f aca="false">IF($E149="","",IFERROR(E149/Q149,"—"))</f>
        <v/>
      </c>
      <c r="T149" s="30" t="str">
        <f aca="false">IF($E149="","",Q149*IFERROR(INDEX('Гео-калькулятор'!$D$7:$D$13,MATCH($C149,'Гео-калькулятор'!$B$7:$B$13,0)),0))</f>
        <v/>
      </c>
      <c r="U149" s="40" t="str">
        <f aca="false">IF($E149="","",T149-E149)</f>
        <v/>
      </c>
      <c r="V149" s="41" t="str">
        <f aca="false">IF($E149="","",IFERROR(U149/E149,""))</f>
        <v/>
      </c>
      <c r="W149" s="10" t="str">
        <f aca="false">IF($E149="","",IF($I149&lt;&gt;"","факт","прогноз"))</f>
        <v/>
      </c>
      <c r="X149" s="1"/>
      <c r="Y149" s="1"/>
      <c r="Z149" s="1"/>
      <c r="AA149" s="1"/>
      <c r="AB149" s="1"/>
      <c r="AC149" s="1"/>
      <c r="AD149" s="1"/>
    </row>
    <row r="150" customFormat="false" ht="18" hidden="false" customHeight="true" outlineLevel="0" collapsed="false">
      <c r="A150" s="1"/>
      <c r="B150" s="35"/>
      <c r="C150" s="8"/>
      <c r="D150" s="26"/>
      <c r="E150" s="27"/>
      <c r="F150" s="36"/>
      <c r="G150" s="36"/>
      <c r="H150" s="36"/>
      <c r="I150" s="36"/>
      <c r="J150" s="37" t="str">
        <f aca="false">IF($E150="","",IFERROR(G150/F150,""))</f>
        <v/>
      </c>
      <c r="K150" s="30" t="str">
        <f aca="false">IF($E150="","",IFERROR(E150/G150,""))</f>
        <v/>
      </c>
      <c r="L150" s="30" t="str">
        <f aca="false">IF($E150="","",IFERROR(E150/F150*1000,""))</f>
        <v/>
      </c>
      <c r="M150" s="37" t="str">
        <f aca="false">IF($E150="","",IFERROR(H150/G150,""))</f>
        <v/>
      </c>
      <c r="N150" s="30" t="str">
        <f aca="false">IF($E150="","",IFERROR(E150/H150,"—"))</f>
        <v/>
      </c>
      <c r="O150" s="30" t="str">
        <f aca="false">IF($E150="","",IFERROR(INDEX('Гео-калькулятор'!$K$7:$K$13,MATCH($C150,'Гео-калькулятор'!$B$7:$B$13,0)),""))</f>
        <v/>
      </c>
      <c r="P150" s="38" t="str">
        <f aca="false">IF($E150="","",IFERROR(N150/O150,""))</f>
        <v/>
      </c>
      <c r="Q150" s="39" t="str">
        <f aca="false">IF($E150="","",IF($I150&lt;&gt;"",$I150,N($H150)*IFERROR(INDEX('Гео-калькулятор'!$E$7:$E$13,MATCH($C150,'Гео-калькулятор'!$B$7:$B$13,0)),0)))</f>
        <v/>
      </c>
      <c r="R150" s="38" t="str">
        <f aca="false">IF($E150="","",IFERROR(Q150/H150,""))</f>
        <v/>
      </c>
      <c r="S150" s="30" t="str">
        <f aca="false">IF($E150="","",IFERROR(E150/Q150,"—"))</f>
        <v/>
      </c>
      <c r="T150" s="30" t="str">
        <f aca="false">IF($E150="","",Q150*IFERROR(INDEX('Гео-калькулятор'!$D$7:$D$13,MATCH($C150,'Гео-калькулятор'!$B$7:$B$13,0)),0))</f>
        <v/>
      </c>
      <c r="U150" s="40" t="str">
        <f aca="false">IF($E150="","",T150-E150)</f>
        <v/>
      </c>
      <c r="V150" s="41" t="str">
        <f aca="false">IF($E150="","",IFERROR(U150/E150,""))</f>
        <v/>
      </c>
      <c r="W150" s="10" t="str">
        <f aca="false">IF($E150="","",IF($I150&lt;&gt;"","факт","прогноз"))</f>
        <v/>
      </c>
      <c r="X150" s="1"/>
      <c r="Y150" s="1"/>
      <c r="Z150" s="1"/>
      <c r="AA150" s="1"/>
      <c r="AB150" s="1"/>
      <c r="AC150" s="1"/>
      <c r="AD150" s="1"/>
    </row>
    <row r="151" customFormat="false" ht="18" hidden="false" customHeight="true" outlineLevel="0" collapsed="false">
      <c r="A151" s="1"/>
      <c r="B151" s="35"/>
      <c r="C151" s="8"/>
      <c r="D151" s="26"/>
      <c r="E151" s="27"/>
      <c r="F151" s="36"/>
      <c r="G151" s="36"/>
      <c r="H151" s="36"/>
      <c r="I151" s="36"/>
      <c r="J151" s="37" t="str">
        <f aca="false">IF($E151="","",IFERROR(G151/F151,""))</f>
        <v/>
      </c>
      <c r="K151" s="30" t="str">
        <f aca="false">IF($E151="","",IFERROR(E151/G151,""))</f>
        <v/>
      </c>
      <c r="L151" s="30" t="str">
        <f aca="false">IF($E151="","",IFERROR(E151/F151*1000,""))</f>
        <v/>
      </c>
      <c r="M151" s="37" t="str">
        <f aca="false">IF($E151="","",IFERROR(H151/G151,""))</f>
        <v/>
      </c>
      <c r="N151" s="30" t="str">
        <f aca="false">IF($E151="","",IFERROR(E151/H151,"—"))</f>
        <v/>
      </c>
      <c r="O151" s="30" t="str">
        <f aca="false">IF($E151="","",IFERROR(INDEX('Гео-калькулятор'!$K$7:$K$13,MATCH($C151,'Гео-калькулятор'!$B$7:$B$13,0)),""))</f>
        <v/>
      </c>
      <c r="P151" s="38" t="str">
        <f aca="false">IF($E151="","",IFERROR(N151/O151,""))</f>
        <v/>
      </c>
      <c r="Q151" s="39" t="str">
        <f aca="false">IF($E151="","",IF($I151&lt;&gt;"",$I151,N($H151)*IFERROR(INDEX('Гео-калькулятор'!$E$7:$E$13,MATCH($C151,'Гео-калькулятор'!$B$7:$B$13,0)),0)))</f>
        <v/>
      </c>
      <c r="R151" s="38" t="str">
        <f aca="false">IF($E151="","",IFERROR(Q151/H151,""))</f>
        <v/>
      </c>
      <c r="S151" s="30" t="str">
        <f aca="false">IF($E151="","",IFERROR(E151/Q151,"—"))</f>
        <v/>
      </c>
      <c r="T151" s="30" t="str">
        <f aca="false">IF($E151="","",Q151*IFERROR(INDEX('Гео-калькулятор'!$D$7:$D$13,MATCH($C151,'Гео-калькулятор'!$B$7:$B$13,0)),0))</f>
        <v/>
      </c>
      <c r="U151" s="40" t="str">
        <f aca="false">IF($E151="","",T151-E151)</f>
        <v/>
      </c>
      <c r="V151" s="41" t="str">
        <f aca="false">IF($E151="","",IFERROR(U151/E151,""))</f>
        <v/>
      </c>
      <c r="W151" s="10" t="str">
        <f aca="false">IF($E151="","",IF($I151&lt;&gt;"","факт","прогноз"))</f>
        <v/>
      </c>
      <c r="X151" s="1"/>
      <c r="Y151" s="1"/>
      <c r="Z151" s="1"/>
      <c r="AA151" s="1"/>
      <c r="AB151" s="1"/>
      <c r="AC151" s="1"/>
      <c r="AD151" s="1"/>
    </row>
    <row r="152" customFormat="false" ht="18" hidden="false" customHeight="true" outlineLevel="0" collapsed="false">
      <c r="A152" s="1"/>
      <c r="B152" s="35"/>
      <c r="C152" s="8"/>
      <c r="D152" s="26"/>
      <c r="E152" s="27"/>
      <c r="F152" s="36"/>
      <c r="G152" s="36"/>
      <c r="H152" s="36"/>
      <c r="I152" s="36"/>
      <c r="J152" s="37" t="str">
        <f aca="false">IF($E152="","",IFERROR(G152/F152,""))</f>
        <v/>
      </c>
      <c r="K152" s="30" t="str">
        <f aca="false">IF($E152="","",IFERROR(E152/G152,""))</f>
        <v/>
      </c>
      <c r="L152" s="30" t="str">
        <f aca="false">IF($E152="","",IFERROR(E152/F152*1000,""))</f>
        <v/>
      </c>
      <c r="M152" s="37" t="str">
        <f aca="false">IF($E152="","",IFERROR(H152/G152,""))</f>
        <v/>
      </c>
      <c r="N152" s="30" t="str">
        <f aca="false">IF($E152="","",IFERROR(E152/H152,"—"))</f>
        <v/>
      </c>
      <c r="O152" s="30" t="str">
        <f aca="false">IF($E152="","",IFERROR(INDEX('Гео-калькулятор'!$K$7:$K$13,MATCH($C152,'Гео-калькулятор'!$B$7:$B$13,0)),""))</f>
        <v/>
      </c>
      <c r="P152" s="38" t="str">
        <f aca="false">IF($E152="","",IFERROR(N152/O152,""))</f>
        <v/>
      </c>
      <c r="Q152" s="39" t="str">
        <f aca="false">IF($E152="","",IF($I152&lt;&gt;"",$I152,N($H152)*IFERROR(INDEX('Гео-калькулятор'!$E$7:$E$13,MATCH($C152,'Гео-калькулятор'!$B$7:$B$13,0)),0)))</f>
        <v/>
      </c>
      <c r="R152" s="38" t="str">
        <f aca="false">IF($E152="","",IFERROR(Q152/H152,""))</f>
        <v/>
      </c>
      <c r="S152" s="30" t="str">
        <f aca="false">IF($E152="","",IFERROR(E152/Q152,"—"))</f>
        <v/>
      </c>
      <c r="T152" s="30" t="str">
        <f aca="false">IF($E152="","",Q152*IFERROR(INDEX('Гео-калькулятор'!$D$7:$D$13,MATCH($C152,'Гео-калькулятор'!$B$7:$B$13,0)),0))</f>
        <v/>
      </c>
      <c r="U152" s="40" t="str">
        <f aca="false">IF($E152="","",T152-E152)</f>
        <v/>
      </c>
      <c r="V152" s="41" t="str">
        <f aca="false">IF($E152="","",IFERROR(U152/E152,""))</f>
        <v/>
      </c>
      <c r="W152" s="10" t="str">
        <f aca="false">IF($E152="","",IF($I152&lt;&gt;"","факт","прогноз"))</f>
        <v/>
      </c>
      <c r="X152" s="1"/>
      <c r="Y152" s="1"/>
      <c r="Z152" s="1"/>
      <c r="AA152" s="1"/>
      <c r="AB152" s="1"/>
      <c r="AC152" s="1"/>
      <c r="AD152" s="1"/>
    </row>
    <row r="153" customFormat="false" ht="18" hidden="false" customHeight="true" outlineLevel="0" collapsed="false">
      <c r="A153" s="1"/>
      <c r="B153" s="35"/>
      <c r="C153" s="8"/>
      <c r="D153" s="26"/>
      <c r="E153" s="27"/>
      <c r="F153" s="36"/>
      <c r="G153" s="36"/>
      <c r="H153" s="36"/>
      <c r="I153" s="36"/>
      <c r="J153" s="37" t="str">
        <f aca="false">IF($E153="","",IFERROR(G153/F153,""))</f>
        <v/>
      </c>
      <c r="K153" s="30" t="str">
        <f aca="false">IF($E153="","",IFERROR(E153/G153,""))</f>
        <v/>
      </c>
      <c r="L153" s="30" t="str">
        <f aca="false">IF($E153="","",IFERROR(E153/F153*1000,""))</f>
        <v/>
      </c>
      <c r="M153" s="37" t="str">
        <f aca="false">IF($E153="","",IFERROR(H153/G153,""))</f>
        <v/>
      </c>
      <c r="N153" s="30" t="str">
        <f aca="false">IF($E153="","",IFERROR(E153/H153,"—"))</f>
        <v/>
      </c>
      <c r="O153" s="30" t="str">
        <f aca="false">IF($E153="","",IFERROR(INDEX('Гео-калькулятор'!$K$7:$K$13,MATCH($C153,'Гео-калькулятор'!$B$7:$B$13,0)),""))</f>
        <v/>
      </c>
      <c r="P153" s="38" t="str">
        <f aca="false">IF($E153="","",IFERROR(N153/O153,""))</f>
        <v/>
      </c>
      <c r="Q153" s="39" t="str">
        <f aca="false">IF($E153="","",IF($I153&lt;&gt;"",$I153,N($H153)*IFERROR(INDEX('Гео-калькулятор'!$E$7:$E$13,MATCH($C153,'Гео-калькулятор'!$B$7:$B$13,0)),0)))</f>
        <v/>
      </c>
      <c r="R153" s="38" t="str">
        <f aca="false">IF($E153="","",IFERROR(Q153/H153,""))</f>
        <v/>
      </c>
      <c r="S153" s="30" t="str">
        <f aca="false">IF($E153="","",IFERROR(E153/Q153,"—"))</f>
        <v/>
      </c>
      <c r="T153" s="30" t="str">
        <f aca="false">IF($E153="","",Q153*IFERROR(INDEX('Гео-калькулятор'!$D$7:$D$13,MATCH($C153,'Гео-калькулятор'!$B$7:$B$13,0)),0))</f>
        <v/>
      </c>
      <c r="U153" s="40" t="str">
        <f aca="false">IF($E153="","",T153-E153)</f>
        <v/>
      </c>
      <c r="V153" s="41" t="str">
        <f aca="false">IF($E153="","",IFERROR(U153/E153,""))</f>
        <v/>
      </c>
      <c r="W153" s="10" t="str">
        <f aca="false">IF($E153="","",IF($I153&lt;&gt;"","факт","прогноз"))</f>
        <v/>
      </c>
      <c r="X153" s="1"/>
      <c r="Y153" s="1"/>
      <c r="Z153" s="1"/>
      <c r="AA153" s="1"/>
      <c r="AB153" s="1"/>
      <c r="AC153" s="1"/>
      <c r="AD153" s="1"/>
    </row>
    <row r="154" customFormat="false" ht="18" hidden="false" customHeight="true" outlineLevel="0" collapsed="false">
      <c r="A154" s="1"/>
      <c r="B154" s="35"/>
      <c r="C154" s="8"/>
      <c r="D154" s="26"/>
      <c r="E154" s="27"/>
      <c r="F154" s="36"/>
      <c r="G154" s="36"/>
      <c r="H154" s="36"/>
      <c r="I154" s="36"/>
      <c r="J154" s="37" t="str">
        <f aca="false">IF($E154="","",IFERROR(G154/F154,""))</f>
        <v/>
      </c>
      <c r="K154" s="30" t="str">
        <f aca="false">IF($E154="","",IFERROR(E154/G154,""))</f>
        <v/>
      </c>
      <c r="L154" s="30" t="str">
        <f aca="false">IF($E154="","",IFERROR(E154/F154*1000,""))</f>
        <v/>
      </c>
      <c r="M154" s="37" t="str">
        <f aca="false">IF($E154="","",IFERROR(H154/G154,""))</f>
        <v/>
      </c>
      <c r="N154" s="30" t="str">
        <f aca="false">IF($E154="","",IFERROR(E154/H154,"—"))</f>
        <v/>
      </c>
      <c r="O154" s="30" t="str">
        <f aca="false">IF($E154="","",IFERROR(INDEX('Гео-калькулятор'!$K$7:$K$13,MATCH($C154,'Гео-калькулятор'!$B$7:$B$13,0)),""))</f>
        <v/>
      </c>
      <c r="P154" s="38" t="str">
        <f aca="false">IF($E154="","",IFERROR(N154/O154,""))</f>
        <v/>
      </c>
      <c r="Q154" s="39" t="str">
        <f aca="false">IF($E154="","",IF($I154&lt;&gt;"",$I154,N($H154)*IFERROR(INDEX('Гео-калькулятор'!$E$7:$E$13,MATCH($C154,'Гео-калькулятор'!$B$7:$B$13,0)),0)))</f>
        <v/>
      </c>
      <c r="R154" s="38" t="str">
        <f aca="false">IF($E154="","",IFERROR(Q154/H154,""))</f>
        <v/>
      </c>
      <c r="S154" s="30" t="str">
        <f aca="false">IF($E154="","",IFERROR(E154/Q154,"—"))</f>
        <v/>
      </c>
      <c r="T154" s="30" t="str">
        <f aca="false">IF($E154="","",Q154*IFERROR(INDEX('Гео-калькулятор'!$D$7:$D$13,MATCH($C154,'Гео-калькулятор'!$B$7:$B$13,0)),0))</f>
        <v/>
      </c>
      <c r="U154" s="40" t="str">
        <f aca="false">IF($E154="","",T154-E154)</f>
        <v/>
      </c>
      <c r="V154" s="41" t="str">
        <f aca="false">IF($E154="","",IFERROR(U154/E154,""))</f>
        <v/>
      </c>
      <c r="W154" s="10" t="str">
        <f aca="false">IF($E154="","",IF($I154&lt;&gt;"","факт","прогноз"))</f>
        <v/>
      </c>
      <c r="X154" s="1"/>
      <c r="Y154" s="1"/>
      <c r="Z154" s="1"/>
      <c r="AA154" s="1"/>
      <c r="AB154" s="1"/>
      <c r="AC154" s="1"/>
      <c r="AD154" s="1"/>
    </row>
    <row r="155" customFormat="false" ht="18" hidden="false" customHeight="true" outlineLevel="0" collapsed="false">
      <c r="A155" s="1"/>
      <c r="B155" s="35"/>
      <c r="C155" s="8"/>
      <c r="D155" s="26"/>
      <c r="E155" s="27"/>
      <c r="F155" s="36"/>
      <c r="G155" s="36"/>
      <c r="H155" s="36"/>
      <c r="I155" s="36"/>
      <c r="J155" s="37" t="str">
        <f aca="false">IF($E155="","",IFERROR(G155/F155,""))</f>
        <v/>
      </c>
      <c r="K155" s="30" t="str">
        <f aca="false">IF($E155="","",IFERROR(E155/G155,""))</f>
        <v/>
      </c>
      <c r="L155" s="30" t="str">
        <f aca="false">IF($E155="","",IFERROR(E155/F155*1000,""))</f>
        <v/>
      </c>
      <c r="M155" s="37" t="str">
        <f aca="false">IF($E155="","",IFERROR(H155/G155,""))</f>
        <v/>
      </c>
      <c r="N155" s="30" t="str">
        <f aca="false">IF($E155="","",IFERROR(E155/H155,"—"))</f>
        <v/>
      </c>
      <c r="O155" s="30" t="str">
        <f aca="false">IF($E155="","",IFERROR(INDEX('Гео-калькулятор'!$K$7:$K$13,MATCH($C155,'Гео-калькулятор'!$B$7:$B$13,0)),""))</f>
        <v/>
      </c>
      <c r="P155" s="38" t="str">
        <f aca="false">IF($E155="","",IFERROR(N155/O155,""))</f>
        <v/>
      </c>
      <c r="Q155" s="39" t="str">
        <f aca="false">IF($E155="","",IF($I155&lt;&gt;"",$I155,N($H155)*IFERROR(INDEX('Гео-калькулятор'!$E$7:$E$13,MATCH($C155,'Гео-калькулятор'!$B$7:$B$13,0)),0)))</f>
        <v/>
      </c>
      <c r="R155" s="38" t="str">
        <f aca="false">IF($E155="","",IFERROR(Q155/H155,""))</f>
        <v/>
      </c>
      <c r="S155" s="30" t="str">
        <f aca="false">IF($E155="","",IFERROR(E155/Q155,"—"))</f>
        <v/>
      </c>
      <c r="T155" s="30" t="str">
        <f aca="false">IF($E155="","",Q155*IFERROR(INDEX('Гео-калькулятор'!$D$7:$D$13,MATCH($C155,'Гео-калькулятор'!$B$7:$B$13,0)),0))</f>
        <v/>
      </c>
      <c r="U155" s="40" t="str">
        <f aca="false">IF($E155="","",T155-E155)</f>
        <v/>
      </c>
      <c r="V155" s="41" t="str">
        <f aca="false">IF($E155="","",IFERROR(U155/E155,""))</f>
        <v/>
      </c>
      <c r="W155" s="10" t="str">
        <f aca="false">IF($E155="","",IF($I155&lt;&gt;"","факт","прогноз"))</f>
        <v/>
      </c>
      <c r="X155" s="1"/>
      <c r="Y155" s="1"/>
      <c r="Z155" s="1"/>
      <c r="AA155" s="1"/>
      <c r="AB155" s="1"/>
      <c r="AC155" s="1"/>
      <c r="AD155" s="1"/>
    </row>
    <row r="156" customFormat="false" ht="18" hidden="false" customHeight="true" outlineLevel="0" collapsed="false">
      <c r="A156" s="1"/>
      <c r="B156" s="35"/>
      <c r="C156" s="8"/>
      <c r="D156" s="26"/>
      <c r="E156" s="27"/>
      <c r="F156" s="36"/>
      <c r="G156" s="36"/>
      <c r="H156" s="36"/>
      <c r="I156" s="36"/>
      <c r="J156" s="37" t="str">
        <f aca="false">IF($E156="","",IFERROR(G156/F156,""))</f>
        <v/>
      </c>
      <c r="K156" s="30" t="str">
        <f aca="false">IF($E156="","",IFERROR(E156/G156,""))</f>
        <v/>
      </c>
      <c r="L156" s="30" t="str">
        <f aca="false">IF($E156="","",IFERROR(E156/F156*1000,""))</f>
        <v/>
      </c>
      <c r="M156" s="37" t="str">
        <f aca="false">IF($E156="","",IFERROR(H156/G156,""))</f>
        <v/>
      </c>
      <c r="N156" s="30" t="str">
        <f aca="false">IF($E156="","",IFERROR(E156/H156,"—"))</f>
        <v/>
      </c>
      <c r="O156" s="30" t="str">
        <f aca="false">IF($E156="","",IFERROR(INDEX('Гео-калькулятор'!$K$7:$K$13,MATCH($C156,'Гео-калькулятор'!$B$7:$B$13,0)),""))</f>
        <v/>
      </c>
      <c r="P156" s="38" t="str">
        <f aca="false">IF($E156="","",IFERROR(N156/O156,""))</f>
        <v/>
      </c>
      <c r="Q156" s="39" t="str">
        <f aca="false">IF($E156="","",IF($I156&lt;&gt;"",$I156,N($H156)*IFERROR(INDEX('Гео-калькулятор'!$E$7:$E$13,MATCH($C156,'Гео-калькулятор'!$B$7:$B$13,0)),0)))</f>
        <v/>
      </c>
      <c r="R156" s="38" t="str">
        <f aca="false">IF($E156="","",IFERROR(Q156/H156,""))</f>
        <v/>
      </c>
      <c r="S156" s="30" t="str">
        <f aca="false">IF($E156="","",IFERROR(E156/Q156,"—"))</f>
        <v/>
      </c>
      <c r="T156" s="30" t="str">
        <f aca="false">IF($E156="","",Q156*IFERROR(INDEX('Гео-калькулятор'!$D$7:$D$13,MATCH($C156,'Гео-калькулятор'!$B$7:$B$13,0)),0))</f>
        <v/>
      </c>
      <c r="U156" s="40" t="str">
        <f aca="false">IF($E156="","",T156-E156)</f>
        <v/>
      </c>
      <c r="V156" s="41" t="str">
        <f aca="false">IF($E156="","",IFERROR(U156/E156,""))</f>
        <v/>
      </c>
      <c r="W156" s="10" t="str">
        <f aca="false">IF($E156="","",IF($I156&lt;&gt;"","факт","прогноз"))</f>
        <v/>
      </c>
      <c r="X156" s="1"/>
      <c r="Y156" s="1"/>
      <c r="Z156" s="1"/>
      <c r="AA156" s="1"/>
      <c r="AB156" s="1"/>
      <c r="AC156" s="1"/>
      <c r="AD156" s="1"/>
    </row>
    <row r="157" customFormat="false" ht="18" hidden="false" customHeight="true" outlineLevel="0" collapsed="false">
      <c r="A157" s="1"/>
      <c r="B157" s="35"/>
      <c r="C157" s="8"/>
      <c r="D157" s="26"/>
      <c r="E157" s="27"/>
      <c r="F157" s="36"/>
      <c r="G157" s="36"/>
      <c r="H157" s="36"/>
      <c r="I157" s="36"/>
      <c r="J157" s="37" t="str">
        <f aca="false">IF($E157="","",IFERROR(G157/F157,""))</f>
        <v/>
      </c>
      <c r="K157" s="30" t="str">
        <f aca="false">IF($E157="","",IFERROR(E157/G157,""))</f>
        <v/>
      </c>
      <c r="L157" s="30" t="str">
        <f aca="false">IF($E157="","",IFERROR(E157/F157*1000,""))</f>
        <v/>
      </c>
      <c r="M157" s="37" t="str">
        <f aca="false">IF($E157="","",IFERROR(H157/G157,""))</f>
        <v/>
      </c>
      <c r="N157" s="30" t="str">
        <f aca="false">IF($E157="","",IFERROR(E157/H157,"—"))</f>
        <v/>
      </c>
      <c r="O157" s="30" t="str">
        <f aca="false">IF($E157="","",IFERROR(INDEX('Гео-калькулятор'!$K$7:$K$13,MATCH($C157,'Гео-калькулятор'!$B$7:$B$13,0)),""))</f>
        <v/>
      </c>
      <c r="P157" s="38" t="str">
        <f aca="false">IF($E157="","",IFERROR(N157/O157,""))</f>
        <v/>
      </c>
      <c r="Q157" s="39" t="str">
        <f aca="false">IF($E157="","",IF($I157&lt;&gt;"",$I157,N($H157)*IFERROR(INDEX('Гео-калькулятор'!$E$7:$E$13,MATCH($C157,'Гео-калькулятор'!$B$7:$B$13,0)),0)))</f>
        <v/>
      </c>
      <c r="R157" s="38" t="str">
        <f aca="false">IF($E157="","",IFERROR(Q157/H157,""))</f>
        <v/>
      </c>
      <c r="S157" s="30" t="str">
        <f aca="false">IF($E157="","",IFERROR(E157/Q157,"—"))</f>
        <v/>
      </c>
      <c r="T157" s="30" t="str">
        <f aca="false">IF($E157="","",Q157*IFERROR(INDEX('Гео-калькулятор'!$D$7:$D$13,MATCH($C157,'Гео-калькулятор'!$B$7:$B$13,0)),0))</f>
        <v/>
      </c>
      <c r="U157" s="40" t="str">
        <f aca="false">IF($E157="","",T157-E157)</f>
        <v/>
      </c>
      <c r="V157" s="41" t="str">
        <f aca="false">IF($E157="","",IFERROR(U157/E157,""))</f>
        <v/>
      </c>
      <c r="W157" s="10" t="str">
        <f aca="false">IF($E157="","",IF($I157&lt;&gt;"","факт","прогноз"))</f>
        <v/>
      </c>
      <c r="X157" s="1"/>
      <c r="Y157" s="1"/>
      <c r="Z157" s="1"/>
      <c r="AA157" s="1"/>
      <c r="AB157" s="1"/>
      <c r="AC157" s="1"/>
      <c r="AD157" s="1"/>
    </row>
    <row r="158" customFormat="false" ht="18" hidden="false" customHeight="true" outlineLevel="0" collapsed="false">
      <c r="A158" s="1"/>
      <c r="B158" s="35"/>
      <c r="C158" s="8"/>
      <c r="D158" s="26"/>
      <c r="E158" s="27"/>
      <c r="F158" s="36"/>
      <c r="G158" s="36"/>
      <c r="H158" s="36"/>
      <c r="I158" s="36"/>
      <c r="J158" s="37" t="str">
        <f aca="false">IF($E158="","",IFERROR(G158/F158,""))</f>
        <v/>
      </c>
      <c r="K158" s="30" t="str">
        <f aca="false">IF($E158="","",IFERROR(E158/G158,""))</f>
        <v/>
      </c>
      <c r="L158" s="30" t="str">
        <f aca="false">IF($E158="","",IFERROR(E158/F158*1000,""))</f>
        <v/>
      </c>
      <c r="M158" s="37" t="str">
        <f aca="false">IF($E158="","",IFERROR(H158/G158,""))</f>
        <v/>
      </c>
      <c r="N158" s="30" t="str">
        <f aca="false">IF($E158="","",IFERROR(E158/H158,"—"))</f>
        <v/>
      </c>
      <c r="O158" s="30" t="str">
        <f aca="false">IF($E158="","",IFERROR(INDEX('Гео-калькулятор'!$K$7:$K$13,MATCH($C158,'Гео-калькулятор'!$B$7:$B$13,0)),""))</f>
        <v/>
      </c>
      <c r="P158" s="38" t="str">
        <f aca="false">IF($E158="","",IFERROR(N158/O158,""))</f>
        <v/>
      </c>
      <c r="Q158" s="39" t="str">
        <f aca="false">IF($E158="","",IF($I158&lt;&gt;"",$I158,N($H158)*IFERROR(INDEX('Гео-калькулятор'!$E$7:$E$13,MATCH($C158,'Гео-калькулятор'!$B$7:$B$13,0)),0)))</f>
        <v/>
      </c>
      <c r="R158" s="38" t="str">
        <f aca="false">IF($E158="","",IFERROR(Q158/H158,""))</f>
        <v/>
      </c>
      <c r="S158" s="30" t="str">
        <f aca="false">IF($E158="","",IFERROR(E158/Q158,"—"))</f>
        <v/>
      </c>
      <c r="T158" s="30" t="str">
        <f aca="false">IF($E158="","",Q158*IFERROR(INDEX('Гео-калькулятор'!$D$7:$D$13,MATCH($C158,'Гео-калькулятор'!$B$7:$B$13,0)),0))</f>
        <v/>
      </c>
      <c r="U158" s="40" t="str">
        <f aca="false">IF($E158="","",T158-E158)</f>
        <v/>
      </c>
      <c r="V158" s="41" t="str">
        <f aca="false">IF($E158="","",IFERROR(U158/E158,""))</f>
        <v/>
      </c>
      <c r="W158" s="10" t="str">
        <f aca="false">IF($E158="","",IF($I158&lt;&gt;"","факт","прогноз"))</f>
        <v/>
      </c>
      <c r="X158" s="1"/>
      <c r="Y158" s="1"/>
      <c r="Z158" s="1"/>
      <c r="AA158" s="1"/>
      <c r="AB158" s="1"/>
      <c r="AC158" s="1"/>
      <c r="AD158" s="1"/>
    </row>
    <row r="159" customFormat="false" ht="18" hidden="false" customHeight="true" outlineLevel="0" collapsed="false">
      <c r="A159" s="1"/>
      <c r="B159" s="35"/>
      <c r="C159" s="8"/>
      <c r="D159" s="26"/>
      <c r="E159" s="27"/>
      <c r="F159" s="36"/>
      <c r="G159" s="36"/>
      <c r="H159" s="36"/>
      <c r="I159" s="36"/>
      <c r="J159" s="37" t="str">
        <f aca="false">IF($E159="","",IFERROR(G159/F159,""))</f>
        <v/>
      </c>
      <c r="K159" s="30" t="str">
        <f aca="false">IF($E159="","",IFERROR(E159/G159,""))</f>
        <v/>
      </c>
      <c r="L159" s="30" t="str">
        <f aca="false">IF($E159="","",IFERROR(E159/F159*1000,""))</f>
        <v/>
      </c>
      <c r="M159" s="37" t="str">
        <f aca="false">IF($E159="","",IFERROR(H159/G159,""))</f>
        <v/>
      </c>
      <c r="N159" s="30" t="str">
        <f aca="false">IF($E159="","",IFERROR(E159/H159,"—"))</f>
        <v/>
      </c>
      <c r="O159" s="30" t="str">
        <f aca="false">IF($E159="","",IFERROR(INDEX('Гео-калькулятор'!$K$7:$K$13,MATCH($C159,'Гео-калькулятор'!$B$7:$B$13,0)),""))</f>
        <v/>
      </c>
      <c r="P159" s="38" t="str">
        <f aca="false">IF($E159="","",IFERROR(N159/O159,""))</f>
        <v/>
      </c>
      <c r="Q159" s="39" t="str">
        <f aca="false">IF($E159="","",IF($I159&lt;&gt;"",$I159,N($H159)*IFERROR(INDEX('Гео-калькулятор'!$E$7:$E$13,MATCH($C159,'Гео-калькулятор'!$B$7:$B$13,0)),0)))</f>
        <v/>
      </c>
      <c r="R159" s="38" t="str">
        <f aca="false">IF($E159="","",IFERROR(Q159/H159,""))</f>
        <v/>
      </c>
      <c r="S159" s="30" t="str">
        <f aca="false">IF($E159="","",IFERROR(E159/Q159,"—"))</f>
        <v/>
      </c>
      <c r="T159" s="30" t="str">
        <f aca="false">IF($E159="","",Q159*IFERROR(INDEX('Гео-калькулятор'!$D$7:$D$13,MATCH($C159,'Гео-калькулятор'!$B$7:$B$13,0)),0))</f>
        <v/>
      </c>
      <c r="U159" s="40" t="str">
        <f aca="false">IF($E159="","",T159-E159)</f>
        <v/>
      </c>
      <c r="V159" s="41" t="str">
        <f aca="false">IF($E159="","",IFERROR(U159/E159,""))</f>
        <v/>
      </c>
      <c r="W159" s="10" t="str">
        <f aca="false">IF($E159="","",IF($I159&lt;&gt;"","факт","прогноз"))</f>
        <v/>
      </c>
      <c r="X159" s="1"/>
      <c r="Y159" s="1"/>
      <c r="Z159" s="1"/>
      <c r="AA159" s="1"/>
      <c r="AB159" s="1"/>
      <c r="AC159" s="1"/>
      <c r="AD159" s="1"/>
    </row>
    <row r="160" customFormat="false" ht="18" hidden="false" customHeight="true" outlineLevel="0" collapsed="false">
      <c r="A160" s="1"/>
      <c r="B160" s="35"/>
      <c r="C160" s="8"/>
      <c r="D160" s="26"/>
      <c r="E160" s="27"/>
      <c r="F160" s="36"/>
      <c r="G160" s="36"/>
      <c r="H160" s="36"/>
      <c r="I160" s="36"/>
      <c r="J160" s="37" t="str">
        <f aca="false">IF($E160="","",IFERROR(G160/F160,""))</f>
        <v/>
      </c>
      <c r="K160" s="30" t="str">
        <f aca="false">IF($E160="","",IFERROR(E160/G160,""))</f>
        <v/>
      </c>
      <c r="L160" s="30" t="str">
        <f aca="false">IF($E160="","",IFERROR(E160/F160*1000,""))</f>
        <v/>
      </c>
      <c r="M160" s="37" t="str">
        <f aca="false">IF($E160="","",IFERROR(H160/G160,""))</f>
        <v/>
      </c>
      <c r="N160" s="30" t="str">
        <f aca="false">IF($E160="","",IFERROR(E160/H160,"—"))</f>
        <v/>
      </c>
      <c r="O160" s="30" t="str">
        <f aca="false">IF($E160="","",IFERROR(INDEX('Гео-калькулятор'!$K$7:$K$13,MATCH($C160,'Гео-калькулятор'!$B$7:$B$13,0)),""))</f>
        <v/>
      </c>
      <c r="P160" s="38" t="str">
        <f aca="false">IF($E160="","",IFERROR(N160/O160,""))</f>
        <v/>
      </c>
      <c r="Q160" s="39" t="str">
        <f aca="false">IF($E160="","",IF($I160&lt;&gt;"",$I160,N($H160)*IFERROR(INDEX('Гео-калькулятор'!$E$7:$E$13,MATCH($C160,'Гео-калькулятор'!$B$7:$B$13,0)),0)))</f>
        <v/>
      </c>
      <c r="R160" s="38" t="str">
        <f aca="false">IF($E160="","",IFERROR(Q160/H160,""))</f>
        <v/>
      </c>
      <c r="S160" s="30" t="str">
        <f aca="false">IF($E160="","",IFERROR(E160/Q160,"—"))</f>
        <v/>
      </c>
      <c r="T160" s="30" t="str">
        <f aca="false">IF($E160="","",Q160*IFERROR(INDEX('Гео-калькулятор'!$D$7:$D$13,MATCH($C160,'Гео-калькулятор'!$B$7:$B$13,0)),0))</f>
        <v/>
      </c>
      <c r="U160" s="40" t="str">
        <f aca="false">IF($E160="","",T160-E160)</f>
        <v/>
      </c>
      <c r="V160" s="41" t="str">
        <f aca="false">IF($E160="","",IFERROR(U160/E160,""))</f>
        <v/>
      </c>
      <c r="W160" s="10" t="str">
        <f aca="false">IF($E160="","",IF($I160&lt;&gt;"","факт","прогноз"))</f>
        <v/>
      </c>
      <c r="X160" s="1"/>
      <c r="Y160" s="1"/>
      <c r="Z160" s="1"/>
      <c r="AA160" s="1"/>
      <c r="AB160" s="1"/>
      <c r="AC160" s="1"/>
      <c r="AD160" s="1"/>
    </row>
    <row r="161" customFormat="false" ht="18" hidden="false" customHeight="true" outlineLevel="0" collapsed="false">
      <c r="A161" s="1"/>
      <c r="B161" s="35"/>
      <c r="C161" s="8"/>
      <c r="D161" s="26"/>
      <c r="E161" s="27"/>
      <c r="F161" s="36"/>
      <c r="G161" s="36"/>
      <c r="H161" s="36"/>
      <c r="I161" s="36"/>
      <c r="J161" s="37" t="str">
        <f aca="false">IF($E161="","",IFERROR(G161/F161,""))</f>
        <v/>
      </c>
      <c r="K161" s="30" t="str">
        <f aca="false">IF($E161="","",IFERROR(E161/G161,""))</f>
        <v/>
      </c>
      <c r="L161" s="30" t="str">
        <f aca="false">IF($E161="","",IFERROR(E161/F161*1000,""))</f>
        <v/>
      </c>
      <c r="M161" s="37" t="str">
        <f aca="false">IF($E161="","",IFERROR(H161/G161,""))</f>
        <v/>
      </c>
      <c r="N161" s="30" t="str">
        <f aca="false">IF($E161="","",IFERROR(E161/H161,"—"))</f>
        <v/>
      </c>
      <c r="O161" s="30" t="str">
        <f aca="false">IF($E161="","",IFERROR(INDEX('Гео-калькулятор'!$K$7:$K$13,MATCH($C161,'Гео-калькулятор'!$B$7:$B$13,0)),""))</f>
        <v/>
      </c>
      <c r="P161" s="38" t="str">
        <f aca="false">IF($E161="","",IFERROR(N161/O161,""))</f>
        <v/>
      </c>
      <c r="Q161" s="39" t="str">
        <f aca="false">IF($E161="","",IF($I161&lt;&gt;"",$I161,N($H161)*IFERROR(INDEX('Гео-калькулятор'!$E$7:$E$13,MATCH($C161,'Гео-калькулятор'!$B$7:$B$13,0)),0)))</f>
        <v/>
      </c>
      <c r="R161" s="38" t="str">
        <f aca="false">IF($E161="","",IFERROR(Q161/H161,""))</f>
        <v/>
      </c>
      <c r="S161" s="30" t="str">
        <f aca="false">IF($E161="","",IFERROR(E161/Q161,"—"))</f>
        <v/>
      </c>
      <c r="T161" s="30" t="str">
        <f aca="false">IF($E161="","",Q161*IFERROR(INDEX('Гео-калькулятор'!$D$7:$D$13,MATCH($C161,'Гео-калькулятор'!$B$7:$B$13,0)),0))</f>
        <v/>
      </c>
      <c r="U161" s="40" t="str">
        <f aca="false">IF($E161="","",T161-E161)</f>
        <v/>
      </c>
      <c r="V161" s="41" t="str">
        <f aca="false">IF($E161="","",IFERROR(U161/E161,""))</f>
        <v/>
      </c>
      <c r="W161" s="10" t="str">
        <f aca="false">IF($E161="","",IF($I161&lt;&gt;"","факт","прогноз"))</f>
        <v/>
      </c>
      <c r="X161" s="1"/>
      <c r="Y161" s="1"/>
      <c r="Z161" s="1"/>
      <c r="AA161" s="1"/>
      <c r="AB161" s="1"/>
      <c r="AC161" s="1"/>
      <c r="AD161" s="1"/>
    </row>
    <row r="162" customFormat="false" ht="18" hidden="false" customHeight="true" outlineLevel="0" collapsed="false">
      <c r="A162" s="1"/>
      <c r="B162" s="35"/>
      <c r="C162" s="8"/>
      <c r="D162" s="26"/>
      <c r="E162" s="27"/>
      <c r="F162" s="36"/>
      <c r="G162" s="36"/>
      <c r="H162" s="36"/>
      <c r="I162" s="36"/>
      <c r="J162" s="37" t="str">
        <f aca="false">IF($E162="","",IFERROR(G162/F162,""))</f>
        <v/>
      </c>
      <c r="K162" s="30" t="str">
        <f aca="false">IF($E162="","",IFERROR(E162/G162,""))</f>
        <v/>
      </c>
      <c r="L162" s="30" t="str">
        <f aca="false">IF($E162="","",IFERROR(E162/F162*1000,""))</f>
        <v/>
      </c>
      <c r="M162" s="37" t="str">
        <f aca="false">IF($E162="","",IFERROR(H162/G162,""))</f>
        <v/>
      </c>
      <c r="N162" s="30" t="str">
        <f aca="false">IF($E162="","",IFERROR(E162/H162,"—"))</f>
        <v/>
      </c>
      <c r="O162" s="30" t="str">
        <f aca="false">IF($E162="","",IFERROR(INDEX('Гео-калькулятор'!$K$7:$K$13,MATCH($C162,'Гео-калькулятор'!$B$7:$B$13,0)),""))</f>
        <v/>
      </c>
      <c r="P162" s="38" t="str">
        <f aca="false">IF($E162="","",IFERROR(N162/O162,""))</f>
        <v/>
      </c>
      <c r="Q162" s="39" t="str">
        <f aca="false">IF($E162="","",IF($I162&lt;&gt;"",$I162,N($H162)*IFERROR(INDEX('Гео-калькулятор'!$E$7:$E$13,MATCH($C162,'Гео-калькулятор'!$B$7:$B$13,0)),0)))</f>
        <v/>
      </c>
      <c r="R162" s="38" t="str">
        <f aca="false">IF($E162="","",IFERROR(Q162/H162,""))</f>
        <v/>
      </c>
      <c r="S162" s="30" t="str">
        <f aca="false">IF($E162="","",IFERROR(E162/Q162,"—"))</f>
        <v/>
      </c>
      <c r="T162" s="30" t="str">
        <f aca="false">IF($E162="","",Q162*IFERROR(INDEX('Гео-калькулятор'!$D$7:$D$13,MATCH($C162,'Гео-калькулятор'!$B$7:$B$13,0)),0))</f>
        <v/>
      </c>
      <c r="U162" s="40" t="str">
        <f aca="false">IF($E162="","",T162-E162)</f>
        <v/>
      </c>
      <c r="V162" s="41" t="str">
        <f aca="false">IF($E162="","",IFERROR(U162/E162,""))</f>
        <v/>
      </c>
      <c r="W162" s="10" t="str">
        <f aca="false">IF($E162="","",IF($I162&lt;&gt;"","факт","прогноз"))</f>
        <v/>
      </c>
      <c r="X162" s="1"/>
      <c r="Y162" s="1"/>
      <c r="Z162" s="1"/>
      <c r="AA162" s="1"/>
      <c r="AB162" s="1"/>
      <c r="AC162" s="1"/>
      <c r="AD162" s="1"/>
    </row>
    <row r="163" customFormat="false" ht="18" hidden="false" customHeight="true" outlineLevel="0" collapsed="false">
      <c r="A163" s="1"/>
      <c r="B163" s="35"/>
      <c r="C163" s="8"/>
      <c r="D163" s="26"/>
      <c r="E163" s="27"/>
      <c r="F163" s="36"/>
      <c r="G163" s="36"/>
      <c r="H163" s="36"/>
      <c r="I163" s="36"/>
      <c r="J163" s="37" t="str">
        <f aca="false">IF($E163="","",IFERROR(G163/F163,""))</f>
        <v/>
      </c>
      <c r="K163" s="30" t="str">
        <f aca="false">IF($E163="","",IFERROR(E163/G163,""))</f>
        <v/>
      </c>
      <c r="L163" s="30" t="str">
        <f aca="false">IF($E163="","",IFERROR(E163/F163*1000,""))</f>
        <v/>
      </c>
      <c r="M163" s="37" t="str">
        <f aca="false">IF($E163="","",IFERROR(H163/G163,""))</f>
        <v/>
      </c>
      <c r="N163" s="30" t="str">
        <f aca="false">IF($E163="","",IFERROR(E163/H163,"—"))</f>
        <v/>
      </c>
      <c r="O163" s="30" t="str">
        <f aca="false">IF($E163="","",IFERROR(INDEX('Гео-калькулятор'!$K$7:$K$13,MATCH($C163,'Гео-калькулятор'!$B$7:$B$13,0)),""))</f>
        <v/>
      </c>
      <c r="P163" s="38" t="str">
        <f aca="false">IF($E163="","",IFERROR(N163/O163,""))</f>
        <v/>
      </c>
      <c r="Q163" s="39" t="str">
        <f aca="false">IF($E163="","",IF($I163&lt;&gt;"",$I163,N($H163)*IFERROR(INDEX('Гео-калькулятор'!$E$7:$E$13,MATCH($C163,'Гео-калькулятор'!$B$7:$B$13,0)),0)))</f>
        <v/>
      </c>
      <c r="R163" s="38" t="str">
        <f aca="false">IF($E163="","",IFERROR(Q163/H163,""))</f>
        <v/>
      </c>
      <c r="S163" s="30" t="str">
        <f aca="false">IF($E163="","",IFERROR(E163/Q163,"—"))</f>
        <v/>
      </c>
      <c r="T163" s="30" t="str">
        <f aca="false">IF($E163="","",Q163*IFERROR(INDEX('Гео-калькулятор'!$D$7:$D$13,MATCH($C163,'Гео-калькулятор'!$B$7:$B$13,0)),0))</f>
        <v/>
      </c>
      <c r="U163" s="40" t="str">
        <f aca="false">IF($E163="","",T163-E163)</f>
        <v/>
      </c>
      <c r="V163" s="41" t="str">
        <f aca="false">IF($E163="","",IFERROR(U163/E163,""))</f>
        <v/>
      </c>
      <c r="W163" s="10" t="str">
        <f aca="false">IF($E163="","",IF($I163&lt;&gt;"","факт","прогноз"))</f>
        <v/>
      </c>
      <c r="X163" s="1"/>
      <c r="Y163" s="1"/>
      <c r="Z163" s="1"/>
      <c r="AA163" s="1"/>
      <c r="AB163" s="1"/>
      <c r="AC163" s="1"/>
      <c r="AD163" s="1"/>
    </row>
    <row r="164" customFormat="false" ht="18" hidden="false" customHeight="true" outlineLevel="0" collapsed="false">
      <c r="A164" s="1"/>
      <c r="B164" s="35"/>
      <c r="C164" s="8"/>
      <c r="D164" s="26"/>
      <c r="E164" s="27"/>
      <c r="F164" s="36"/>
      <c r="G164" s="36"/>
      <c r="H164" s="36"/>
      <c r="I164" s="36"/>
      <c r="J164" s="37" t="str">
        <f aca="false">IF($E164="","",IFERROR(G164/F164,""))</f>
        <v/>
      </c>
      <c r="K164" s="30" t="str">
        <f aca="false">IF($E164="","",IFERROR(E164/G164,""))</f>
        <v/>
      </c>
      <c r="L164" s="30" t="str">
        <f aca="false">IF($E164="","",IFERROR(E164/F164*1000,""))</f>
        <v/>
      </c>
      <c r="M164" s="37" t="str">
        <f aca="false">IF($E164="","",IFERROR(H164/G164,""))</f>
        <v/>
      </c>
      <c r="N164" s="30" t="str">
        <f aca="false">IF($E164="","",IFERROR(E164/H164,"—"))</f>
        <v/>
      </c>
      <c r="O164" s="30" t="str">
        <f aca="false">IF($E164="","",IFERROR(INDEX('Гео-калькулятор'!$K$7:$K$13,MATCH($C164,'Гео-калькулятор'!$B$7:$B$13,0)),""))</f>
        <v/>
      </c>
      <c r="P164" s="38" t="str">
        <f aca="false">IF($E164="","",IFERROR(N164/O164,""))</f>
        <v/>
      </c>
      <c r="Q164" s="39" t="str">
        <f aca="false">IF($E164="","",IF($I164&lt;&gt;"",$I164,N($H164)*IFERROR(INDEX('Гео-калькулятор'!$E$7:$E$13,MATCH($C164,'Гео-калькулятор'!$B$7:$B$13,0)),0)))</f>
        <v/>
      </c>
      <c r="R164" s="38" t="str">
        <f aca="false">IF($E164="","",IFERROR(Q164/H164,""))</f>
        <v/>
      </c>
      <c r="S164" s="30" t="str">
        <f aca="false">IF($E164="","",IFERROR(E164/Q164,"—"))</f>
        <v/>
      </c>
      <c r="T164" s="30" t="str">
        <f aca="false">IF($E164="","",Q164*IFERROR(INDEX('Гео-калькулятор'!$D$7:$D$13,MATCH($C164,'Гео-калькулятор'!$B$7:$B$13,0)),0))</f>
        <v/>
      </c>
      <c r="U164" s="40" t="str">
        <f aca="false">IF($E164="","",T164-E164)</f>
        <v/>
      </c>
      <c r="V164" s="41" t="str">
        <f aca="false">IF($E164="","",IFERROR(U164/E164,""))</f>
        <v/>
      </c>
      <c r="W164" s="10" t="str">
        <f aca="false">IF($E164="","",IF($I164&lt;&gt;"","факт","прогноз"))</f>
        <v/>
      </c>
      <c r="X164" s="1"/>
      <c r="Y164" s="1"/>
      <c r="Z164" s="1"/>
      <c r="AA164" s="1"/>
      <c r="AB164" s="1"/>
      <c r="AC164" s="1"/>
      <c r="AD164" s="1"/>
    </row>
    <row r="165" customFormat="false" ht="18" hidden="false" customHeight="true" outlineLevel="0" collapsed="false">
      <c r="A165" s="1"/>
      <c r="B165" s="35"/>
      <c r="C165" s="8"/>
      <c r="D165" s="26"/>
      <c r="E165" s="27"/>
      <c r="F165" s="36"/>
      <c r="G165" s="36"/>
      <c r="H165" s="36"/>
      <c r="I165" s="36"/>
      <c r="J165" s="37" t="str">
        <f aca="false">IF($E165="","",IFERROR(G165/F165,""))</f>
        <v/>
      </c>
      <c r="K165" s="30" t="str">
        <f aca="false">IF($E165="","",IFERROR(E165/G165,""))</f>
        <v/>
      </c>
      <c r="L165" s="30" t="str">
        <f aca="false">IF($E165="","",IFERROR(E165/F165*1000,""))</f>
        <v/>
      </c>
      <c r="M165" s="37" t="str">
        <f aca="false">IF($E165="","",IFERROR(H165/G165,""))</f>
        <v/>
      </c>
      <c r="N165" s="30" t="str">
        <f aca="false">IF($E165="","",IFERROR(E165/H165,"—"))</f>
        <v/>
      </c>
      <c r="O165" s="30" t="str">
        <f aca="false">IF($E165="","",IFERROR(INDEX('Гео-калькулятор'!$K$7:$K$13,MATCH($C165,'Гео-калькулятор'!$B$7:$B$13,0)),""))</f>
        <v/>
      </c>
      <c r="P165" s="38" t="str">
        <f aca="false">IF($E165="","",IFERROR(N165/O165,""))</f>
        <v/>
      </c>
      <c r="Q165" s="39" t="str">
        <f aca="false">IF($E165="","",IF($I165&lt;&gt;"",$I165,N($H165)*IFERROR(INDEX('Гео-калькулятор'!$E$7:$E$13,MATCH($C165,'Гео-калькулятор'!$B$7:$B$13,0)),0)))</f>
        <v/>
      </c>
      <c r="R165" s="38" t="str">
        <f aca="false">IF($E165="","",IFERROR(Q165/H165,""))</f>
        <v/>
      </c>
      <c r="S165" s="30" t="str">
        <f aca="false">IF($E165="","",IFERROR(E165/Q165,"—"))</f>
        <v/>
      </c>
      <c r="T165" s="30" t="str">
        <f aca="false">IF($E165="","",Q165*IFERROR(INDEX('Гео-калькулятор'!$D$7:$D$13,MATCH($C165,'Гео-калькулятор'!$B$7:$B$13,0)),0))</f>
        <v/>
      </c>
      <c r="U165" s="40" t="str">
        <f aca="false">IF($E165="","",T165-E165)</f>
        <v/>
      </c>
      <c r="V165" s="41" t="str">
        <f aca="false">IF($E165="","",IFERROR(U165/E165,""))</f>
        <v/>
      </c>
      <c r="W165" s="10" t="str">
        <f aca="false">IF($E165="","",IF($I165&lt;&gt;"","факт","прогноз"))</f>
        <v/>
      </c>
      <c r="X165" s="1"/>
      <c r="Y165" s="1"/>
      <c r="Z165" s="1"/>
      <c r="AA165" s="1"/>
      <c r="AB165" s="1"/>
      <c r="AC165" s="1"/>
      <c r="AD165" s="1"/>
    </row>
    <row r="166" customFormat="false" ht="18" hidden="false" customHeight="true" outlineLevel="0" collapsed="false">
      <c r="A166" s="1"/>
      <c r="B166" s="35"/>
      <c r="C166" s="8"/>
      <c r="D166" s="26"/>
      <c r="E166" s="27"/>
      <c r="F166" s="36"/>
      <c r="G166" s="36"/>
      <c r="H166" s="36"/>
      <c r="I166" s="36"/>
      <c r="J166" s="37" t="str">
        <f aca="false">IF($E166="","",IFERROR(G166/F166,""))</f>
        <v/>
      </c>
      <c r="K166" s="30" t="str">
        <f aca="false">IF($E166="","",IFERROR(E166/G166,""))</f>
        <v/>
      </c>
      <c r="L166" s="30" t="str">
        <f aca="false">IF($E166="","",IFERROR(E166/F166*1000,""))</f>
        <v/>
      </c>
      <c r="M166" s="37" t="str">
        <f aca="false">IF($E166="","",IFERROR(H166/G166,""))</f>
        <v/>
      </c>
      <c r="N166" s="30" t="str">
        <f aca="false">IF($E166="","",IFERROR(E166/H166,"—"))</f>
        <v/>
      </c>
      <c r="O166" s="30" t="str">
        <f aca="false">IF($E166="","",IFERROR(INDEX('Гео-калькулятор'!$K$7:$K$13,MATCH($C166,'Гео-калькулятор'!$B$7:$B$13,0)),""))</f>
        <v/>
      </c>
      <c r="P166" s="38" t="str">
        <f aca="false">IF($E166="","",IFERROR(N166/O166,""))</f>
        <v/>
      </c>
      <c r="Q166" s="39" t="str">
        <f aca="false">IF($E166="","",IF($I166&lt;&gt;"",$I166,N($H166)*IFERROR(INDEX('Гео-калькулятор'!$E$7:$E$13,MATCH($C166,'Гео-калькулятор'!$B$7:$B$13,0)),0)))</f>
        <v/>
      </c>
      <c r="R166" s="38" t="str">
        <f aca="false">IF($E166="","",IFERROR(Q166/H166,""))</f>
        <v/>
      </c>
      <c r="S166" s="30" t="str">
        <f aca="false">IF($E166="","",IFERROR(E166/Q166,"—"))</f>
        <v/>
      </c>
      <c r="T166" s="30" t="str">
        <f aca="false">IF($E166="","",Q166*IFERROR(INDEX('Гео-калькулятор'!$D$7:$D$13,MATCH($C166,'Гео-калькулятор'!$B$7:$B$13,0)),0))</f>
        <v/>
      </c>
      <c r="U166" s="40" t="str">
        <f aca="false">IF($E166="","",T166-E166)</f>
        <v/>
      </c>
      <c r="V166" s="41" t="str">
        <f aca="false">IF($E166="","",IFERROR(U166/E166,""))</f>
        <v/>
      </c>
      <c r="W166" s="10" t="str">
        <f aca="false">IF($E166="","",IF($I166&lt;&gt;"","факт","прогноз"))</f>
        <v/>
      </c>
      <c r="X166" s="1"/>
      <c r="Y166" s="1"/>
      <c r="Z166" s="1"/>
      <c r="AA166" s="1"/>
      <c r="AB166" s="1"/>
      <c r="AC166" s="1"/>
      <c r="AD166" s="1"/>
    </row>
    <row r="167" customFormat="false" ht="18" hidden="false" customHeight="true" outlineLevel="0" collapsed="false">
      <c r="A167" s="1"/>
      <c r="B167" s="35"/>
      <c r="C167" s="8"/>
      <c r="D167" s="26"/>
      <c r="E167" s="27"/>
      <c r="F167" s="36"/>
      <c r="G167" s="36"/>
      <c r="H167" s="36"/>
      <c r="I167" s="36"/>
      <c r="J167" s="37" t="str">
        <f aca="false">IF($E167="","",IFERROR(G167/F167,""))</f>
        <v/>
      </c>
      <c r="K167" s="30" t="str">
        <f aca="false">IF($E167="","",IFERROR(E167/G167,""))</f>
        <v/>
      </c>
      <c r="L167" s="30" t="str">
        <f aca="false">IF($E167="","",IFERROR(E167/F167*1000,""))</f>
        <v/>
      </c>
      <c r="M167" s="37" t="str">
        <f aca="false">IF($E167="","",IFERROR(H167/G167,""))</f>
        <v/>
      </c>
      <c r="N167" s="30" t="str">
        <f aca="false">IF($E167="","",IFERROR(E167/H167,"—"))</f>
        <v/>
      </c>
      <c r="O167" s="30" t="str">
        <f aca="false">IF($E167="","",IFERROR(INDEX('Гео-калькулятор'!$K$7:$K$13,MATCH($C167,'Гео-калькулятор'!$B$7:$B$13,0)),""))</f>
        <v/>
      </c>
      <c r="P167" s="38" t="str">
        <f aca="false">IF($E167="","",IFERROR(N167/O167,""))</f>
        <v/>
      </c>
      <c r="Q167" s="39" t="str">
        <f aca="false">IF($E167="","",IF($I167&lt;&gt;"",$I167,N($H167)*IFERROR(INDEX('Гео-калькулятор'!$E$7:$E$13,MATCH($C167,'Гео-калькулятор'!$B$7:$B$13,0)),0)))</f>
        <v/>
      </c>
      <c r="R167" s="38" t="str">
        <f aca="false">IF($E167="","",IFERROR(Q167/H167,""))</f>
        <v/>
      </c>
      <c r="S167" s="30" t="str">
        <f aca="false">IF($E167="","",IFERROR(E167/Q167,"—"))</f>
        <v/>
      </c>
      <c r="T167" s="30" t="str">
        <f aca="false">IF($E167="","",Q167*IFERROR(INDEX('Гео-калькулятор'!$D$7:$D$13,MATCH($C167,'Гео-калькулятор'!$B$7:$B$13,0)),0))</f>
        <v/>
      </c>
      <c r="U167" s="40" t="str">
        <f aca="false">IF($E167="","",T167-E167)</f>
        <v/>
      </c>
      <c r="V167" s="41" t="str">
        <f aca="false">IF($E167="","",IFERROR(U167/E167,""))</f>
        <v/>
      </c>
      <c r="W167" s="10" t="str">
        <f aca="false">IF($E167="","",IF($I167&lt;&gt;"","факт","прогноз"))</f>
        <v/>
      </c>
      <c r="X167" s="1"/>
      <c r="Y167" s="1"/>
      <c r="Z167" s="1"/>
      <c r="AA167" s="1"/>
      <c r="AB167" s="1"/>
      <c r="AC167" s="1"/>
      <c r="AD167" s="1"/>
    </row>
    <row r="168" customFormat="false" ht="18" hidden="false" customHeight="true" outlineLevel="0" collapsed="false">
      <c r="A168" s="1"/>
      <c r="B168" s="35"/>
      <c r="C168" s="8"/>
      <c r="D168" s="26"/>
      <c r="E168" s="27"/>
      <c r="F168" s="36"/>
      <c r="G168" s="36"/>
      <c r="H168" s="36"/>
      <c r="I168" s="36"/>
      <c r="J168" s="37" t="str">
        <f aca="false">IF($E168="","",IFERROR(G168/F168,""))</f>
        <v/>
      </c>
      <c r="K168" s="30" t="str">
        <f aca="false">IF($E168="","",IFERROR(E168/G168,""))</f>
        <v/>
      </c>
      <c r="L168" s="30" t="str">
        <f aca="false">IF($E168="","",IFERROR(E168/F168*1000,""))</f>
        <v/>
      </c>
      <c r="M168" s="37" t="str">
        <f aca="false">IF($E168="","",IFERROR(H168/G168,""))</f>
        <v/>
      </c>
      <c r="N168" s="30" t="str">
        <f aca="false">IF($E168="","",IFERROR(E168/H168,"—"))</f>
        <v/>
      </c>
      <c r="O168" s="30" t="str">
        <f aca="false">IF($E168="","",IFERROR(INDEX('Гео-калькулятор'!$K$7:$K$13,MATCH($C168,'Гео-калькулятор'!$B$7:$B$13,0)),""))</f>
        <v/>
      </c>
      <c r="P168" s="38" t="str">
        <f aca="false">IF($E168="","",IFERROR(N168/O168,""))</f>
        <v/>
      </c>
      <c r="Q168" s="39" t="str">
        <f aca="false">IF($E168="","",IF($I168&lt;&gt;"",$I168,N($H168)*IFERROR(INDEX('Гео-калькулятор'!$E$7:$E$13,MATCH($C168,'Гео-калькулятор'!$B$7:$B$13,0)),0)))</f>
        <v/>
      </c>
      <c r="R168" s="38" t="str">
        <f aca="false">IF($E168="","",IFERROR(Q168/H168,""))</f>
        <v/>
      </c>
      <c r="S168" s="30" t="str">
        <f aca="false">IF($E168="","",IFERROR(E168/Q168,"—"))</f>
        <v/>
      </c>
      <c r="T168" s="30" t="str">
        <f aca="false">IF($E168="","",Q168*IFERROR(INDEX('Гео-калькулятор'!$D$7:$D$13,MATCH($C168,'Гео-калькулятор'!$B$7:$B$13,0)),0))</f>
        <v/>
      </c>
      <c r="U168" s="40" t="str">
        <f aca="false">IF($E168="","",T168-E168)</f>
        <v/>
      </c>
      <c r="V168" s="41" t="str">
        <f aca="false">IF($E168="","",IFERROR(U168/E168,""))</f>
        <v/>
      </c>
      <c r="W168" s="10" t="str">
        <f aca="false">IF($E168="","",IF($I168&lt;&gt;"","факт","прогноз"))</f>
        <v/>
      </c>
      <c r="X168" s="1"/>
      <c r="Y168" s="1"/>
      <c r="Z168" s="1"/>
      <c r="AA168" s="1"/>
      <c r="AB168" s="1"/>
      <c r="AC168" s="1"/>
      <c r="AD168" s="1"/>
    </row>
    <row r="169" customFormat="false" ht="18" hidden="false" customHeight="true" outlineLevel="0" collapsed="false">
      <c r="A169" s="1"/>
      <c r="B169" s="35"/>
      <c r="C169" s="8"/>
      <c r="D169" s="26"/>
      <c r="E169" s="27"/>
      <c r="F169" s="36"/>
      <c r="G169" s="36"/>
      <c r="H169" s="36"/>
      <c r="I169" s="36"/>
      <c r="J169" s="37" t="str">
        <f aca="false">IF($E169="","",IFERROR(G169/F169,""))</f>
        <v/>
      </c>
      <c r="K169" s="30" t="str">
        <f aca="false">IF($E169="","",IFERROR(E169/G169,""))</f>
        <v/>
      </c>
      <c r="L169" s="30" t="str">
        <f aca="false">IF($E169="","",IFERROR(E169/F169*1000,""))</f>
        <v/>
      </c>
      <c r="M169" s="37" t="str">
        <f aca="false">IF($E169="","",IFERROR(H169/G169,""))</f>
        <v/>
      </c>
      <c r="N169" s="30" t="str">
        <f aca="false">IF($E169="","",IFERROR(E169/H169,"—"))</f>
        <v/>
      </c>
      <c r="O169" s="30" t="str">
        <f aca="false">IF($E169="","",IFERROR(INDEX('Гео-калькулятор'!$K$7:$K$13,MATCH($C169,'Гео-калькулятор'!$B$7:$B$13,0)),""))</f>
        <v/>
      </c>
      <c r="P169" s="38" t="str">
        <f aca="false">IF($E169="","",IFERROR(N169/O169,""))</f>
        <v/>
      </c>
      <c r="Q169" s="39" t="str">
        <f aca="false">IF($E169="","",IF($I169&lt;&gt;"",$I169,N($H169)*IFERROR(INDEX('Гео-калькулятор'!$E$7:$E$13,MATCH($C169,'Гео-калькулятор'!$B$7:$B$13,0)),0)))</f>
        <v/>
      </c>
      <c r="R169" s="38" t="str">
        <f aca="false">IF($E169="","",IFERROR(Q169/H169,""))</f>
        <v/>
      </c>
      <c r="S169" s="30" t="str">
        <f aca="false">IF($E169="","",IFERROR(E169/Q169,"—"))</f>
        <v/>
      </c>
      <c r="T169" s="30" t="str">
        <f aca="false">IF($E169="","",Q169*IFERROR(INDEX('Гео-калькулятор'!$D$7:$D$13,MATCH($C169,'Гео-калькулятор'!$B$7:$B$13,0)),0))</f>
        <v/>
      </c>
      <c r="U169" s="40" t="str">
        <f aca="false">IF($E169="","",T169-E169)</f>
        <v/>
      </c>
      <c r="V169" s="41" t="str">
        <f aca="false">IF($E169="","",IFERROR(U169/E169,""))</f>
        <v/>
      </c>
      <c r="W169" s="10" t="str">
        <f aca="false">IF($E169="","",IF($I169&lt;&gt;"","факт","прогноз"))</f>
        <v/>
      </c>
      <c r="X169" s="1"/>
      <c r="Y169" s="1"/>
      <c r="Z169" s="1"/>
      <c r="AA169" s="1"/>
      <c r="AB169" s="1"/>
      <c r="AC169" s="1"/>
      <c r="AD169" s="1"/>
    </row>
    <row r="170" customFormat="false" ht="18" hidden="false" customHeight="true" outlineLevel="0" collapsed="false">
      <c r="A170" s="1"/>
      <c r="B170" s="35"/>
      <c r="C170" s="8"/>
      <c r="D170" s="26"/>
      <c r="E170" s="27"/>
      <c r="F170" s="36"/>
      <c r="G170" s="36"/>
      <c r="H170" s="36"/>
      <c r="I170" s="36"/>
      <c r="J170" s="37" t="str">
        <f aca="false">IF($E170="","",IFERROR(G170/F170,""))</f>
        <v/>
      </c>
      <c r="K170" s="30" t="str">
        <f aca="false">IF($E170="","",IFERROR(E170/G170,""))</f>
        <v/>
      </c>
      <c r="L170" s="30" t="str">
        <f aca="false">IF($E170="","",IFERROR(E170/F170*1000,""))</f>
        <v/>
      </c>
      <c r="M170" s="37" t="str">
        <f aca="false">IF($E170="","",IFERROR(H170/G170,""))</f>
        <v/>
      </c>
      <c r="N170" s="30" t="str">
        <f aca="false">IF($E170="","",IFERROR(E170/H170,"—"))</f>
        <v/>
      </c>
      <c r="O170" s="30" t="str">
        <f aca="false">IF($E170="","",IFERROR(INDEX('Гео-калькулятор'!$K$7:$K$13,MATCH($C170,'Гео-калькулятор'!$B$7:$B$13,0)),""))</f>
        <v/>
      </c>
      <c r="P170" s="38" t="str">
        <f aca="false">IF($E170="","",IFERROR(N170/O170,""))</f>
        <v/>
      </c>
      <c r="Q170" s="39" t="str">
        <f aca="false">IF($E170="","",IF($I170&lt;&gt;"",$I170,N($H170)*IFERROR(INDEX('Гео-калькулятор'!$E$7:$E$13,MATCH($C170,'Гео-калькулятор'!$B$7:$B$13,0)),0)))</f>
        <v/>
      </c>
      <c r="R170" s="38" t="str">
        <f aca="false">IF($E170="","",IFERROR(Q170/H170,""))</f>
        <v/>
      </c>
      <c r="S170" s="30" t="str">
        <f aca="false">IF($E170="","",IFERROR(E170/Q170,"—"))</f>
        <v/>
      </c>
      <c r="T170" s="30" t="str">
        <f aca="false">IF($E170="","",Q170*IFERROR(INDEX('Гео-калькулятор'!$D$7:$D$13,MATCH($C170,'Гео-калькулятор'!$B$7:$B$13,0)),0))</f>
        <v/>
      </c>
      <c r="U170" s="40" t="str">
        <f aca="false">IF($E170="","",T170-E170)</f>
        <v/>
      </c>
      <c r="V170" s="41" t="str">
        <f aca="false">IF($E170="","",IFERROR(U170/E170,""))</f>
        <v/>
      </c>
      <c r="W170" s="10" t="str">
        <f aca="false">IF($E170="","",IF($I170&lt;&gt;"","факт","прогноз"))</f>
        <v/>
      </c>
      <c r="X170" s="1"/>
      <c r="Y170" s="1"/>
      <c r="Z170" s="1"/>
      <c r="AA170" s="1"/>
      <c r="AB170" s="1"/>
      <c r="AC170" s="1"/>
      <c r="AD170" s="1"/>
    </row>
    <row r="171" customFormat="false" ht="18" hidden="false" customHeight="true" outlineLevel="0" collapsed="false">
      <c r="A171" s="1"/>
      <c r="B171" s="35"/>
      <c r="C171" s="8"/>
      <c r="D171" s="26"/>
      <c r="E171" s="27"/>
      <c r="F171" s="36"/>
      <c r="G171" s="36"/>
      <c r="H171" s="36"/>
      <c r="I171" s="36"/>
      <c r="J171" s="37" t="str">
        <f aca="false">IF($E171="","",IFERROR(G171/F171,""))</f>
        <v/>
      </c>
      <c r="K171" s="30" t="str">
        <f aca="false">IF($E171="","",IFERROR(E171/G171,""))</f>
        <v/>
      </c>
      <c r="L171" s="30" t="str">
        <f aca="false">IF($E171="","",IFERROR(E171/F171*1000,""))</f>
        <v/>
      </c>
      <c r="M171" s="37" t="str">
        <f aca="false">IF($E171="","",IFERROR(H171/G171,""))</f>
        <v/>
      </c>
      <c r="N171" s="30" t="str">
        <f aca="false">IF($E171="","",IFERROR(E171/H171,"—"))</f>
        <v/>
      </c>
      <c r="O171" s="30" t="str">
        <f aca="false">IF($E171="","",IFERROR(INDEX('Гео-калькулятор'!$K$7:$K$13,MATCH($C171,'Гео-калькулятор'!$B$7:$B$13,0)),""))</f>
        <v/>
      </c>
      <c r="P171" s="38" t="str">
        <f aca="false">IF($E171="","",IFERROR(N171/O171,""))</f>
        <v/>
      </c>
      <c r="Q171" s="39" t="str">
        <f aca="false">IF($E171="","",IF($I171&lt;&gt;"",$I171,N($H171)*IFERROR(INDEX('Гео-калькулятор'!$E$7:$E$13,MATCH($C171,'Гео-калькулятор'!$B$7:$B$13,0)),0)))</f>
        <v/>
      </c>
      <c r="R171" s="38" t="str">
        <f aca="false">IF($E171="","",IFERROR(Q171/H171,""))</f>
        <v/>
      </c>
      <c r="S171" s="30" t="str">
        <f aca="false">IF($E171="","",IFERROR(E171/Q171,"—"))</f>
        <v/>
      </c>
      <c r="T171" s="30" t="str">
        <f aca="false">IF($E171="","",Q171*IFERROR(INDEX('Гео-калькулятор'!$D$7:$D$13,MATCH($C171,'Гео-калькулятор'!$B$7:$B$13,0)),0))</f>
        <v/>
      </c>
      <c r="U171" s="40" t="str">
        <f aca="false">IF($E171="","",T171-E171)</f>
        <v/>
      </c>
      <c r="V171" s="41" t="str">
        <f aca="false">IF($E171="","",IFERROR(U171/E171,""))</f>
        <v/>
      </c>
      <c r="W171" s="10" t="str">
        <f aca="false">IF($E171="","",IF($I171&lt;&gt;"","факт","прогноз"))</f>
        <v/>
      </c>
      <c r="X171" s="1"/>
      <c r="Y171" s="1"/>
      <c r="Z171" s="1"/>
      <c r="AA171" s="1"/>
      <c r="AB171" s="1"/>
      <c r="AC171" s="1"/>
      <c r="AD171" s="1"/>
    </row>
    <row r="172" customFormat="false" ht="18" hidden="false" customHeight="true" outlineLevel="0" collapsed="false">
      <c r="A172" s="1"/>
      <c r="B172" s="35"/>
      <c r="C172" s="8"/>
      <c r="D172" s="26"/>
      <c r="E172" s="27"/>
      <c r="F172" s="36"/>
      <c r="G172" s="36"/>
      <c r="H172" s="36"/>
      <c r="I172" s="36"/>
      <c r="J172" s="37" t="str">
        <f aca="false">IF($E172="","",IFERROR(G172/F172,""))</f>
        <v/>
      </c>
      <c r="K172" s="30" t="str">
        <f aca="false">IF($E172="","",IFERROR(E172/G172,""))</f>
        <v/>
      </c>
      <c r="L172" s="30" t="str">
        <f aca="false">IF($E172="","",IFERROR(E172/F172*1000,""))</f>
        <v/>
      </c>
      <c r="M172" s="37" t="str">
        <f aca="false">IF($E172="","",IFERROR(H172/G172,""))</f>
        <v/>
      </c>
      <c r="N172" s="30" t="str">
        <f aca="false">IF($E172="","",IFERROR(E172/H172,"—"))</f>
        <v/>
      </c>
      <c r="O172" s="30" t="str">
        <f aca="false">IF($E172="","",IFERROR(INDEX('Гео-калькулятор'!$K$7:$K$13,MATCH($C172,'Гео-калькулятор'!$B$7:$B$13,0)),""))</f>
        <v/>
      </c>
      <c r="P172" s="38" t="str">
        <f aca="false">IF($E172="","",IFERROR(N172/O172,""))</f>
        <v/>
      </c>
      <c r="Q172" s="39" t="str">
        <f aca="false">IF($E172="","",IF($I172&lt;&gt;"",$I172,N($H172)*IFERROR(INDEX('Гео-калькулятор'!$E$7:$E$13,MATCH($C172,'Гео-калькулятор'!$B$7:$B$13,0)),0)))</f>
        <v/>
      </c>
      <c r="R172" s="38" t="str">
        <f aca="false">IF($E172="","",IFERROR(Q172/H172,""))</f>
        <v/>
      </c>
      <c r="S172" s="30" t="str">
        <f aca="false">IF($E172="","",IFERROR(E172/Q172,"—"))</f>
        <v/>
      </c>
      <c r="T172" s="30" t="str">
        <f aca="false">IF($E172="","",Q172*IFERROR(INDEX('Гео-калькулятор'!$D$7:$D$13,MATCH($C172,'Гео-калькулятор'!$B$7:$B$13,0)),0))</f>
        <v/>
      </c>
      <c r="U172" s="40" t="str">
        <f aca="false">IF($E172="","",T172-E172)</f>
        <v/>
      </c>
      <c r="V172" s="41" t="str">
        <f aca="false">IF($E172="","",IFERROR(U172/E172,""))</f>
        <v/>
      </c>
      <c r="W172" s="10" t="str">
        <f aca="false">IF($E172="","",IF($I172&lt;&gt;"","факт","прогноз"))</f>
        <v/>
      </c>
      <c r="X172" s="1"/>
      <c r="Y172" s="1"/>
      <c r="Z172" s="1"/>
      <c r="AA172" s="1"/>
      <c r="AB172" s="1"/>
      <c r="AC172" s="1"/>
      <c r="AD172" s="1"/>
    </row>
    <row r="173" customFormat="false" ht="18" hidden="false" customHeight="true" outlineLevel="0" collapsed="false">
      <c r="A173" s="1"/>
      <c r="B173" s="35"/>
      <c r="C173" s="8"/>
      <c r="D173" s="26"/>
      <c r="E173" s="27"/>
      <c r="F173" s="36"/>
      <c r="G173" s="36"/>
      <c r="H173" s="36"/>
      <c r="I173" s="36"/>
      <c r="J173" s="37" t="str">
        <f aca="false">IF($E173="","",IFERROR(G173/F173,""))</f>
        <v/>
      </c>
      <c r="K173" s="30" t="str">
        <f aca="false">IF($E173="","",IFERROR(E173/G173,""))</f>
        <v/>
      </c>
      <c r="L173" s="30" t="str">
        <f aca="false">IF($E173="","",IFERROR(E173/F173*1000,""))</f>
        <v/>
      </c>
      <c r="M173" s="37" t="str">
        <f aca="false">IF($E173="","",IFERROR(H173/G173,""))</f>
        <v/>
      </c>
      <c r="N173" s="30" t="str">
        <f aca="false">IF($E173="","",IFERROR(E173/H173,"—"))</f>
        <v/>
      </c>
      <c r="O173" s="30" t="str">
        <f aca="false">IF($E173="","",IFERROR(INDEX('Гео-калькулятор'!$K$7:$K$13,MATCH($C173,'Гео-калькулятор'!$B$7:$B$13,0)),""))</f>
        <v/>
      </c>
      <c r="P173" s="38" t="str">
        <f aca="false">IF($E173="","",IFERROR(N173/O173,""))</f>
        <v/>
      </c>
      <c r="Q173" s="39" t="str">
        <f aca="false">IF($E173="","",IF($I173&lt;&gt;"",$I173,N($H173)*IFERROR(INDEX('Гео-калькулятор'!$E$7:$E$13,MATCH($C173,'Гео-калькулятор'!$B$7:$B$13,0)),0)))</f>
        <v/>
      </c>
      <c r="R173" s="38" t="str">
        <f aca="false">IF($E173="","",IFERROR(Q173/H173,""))</f>
        <v/>
      </c>
      <c r="S173" s="30" t="str">
        <f aca="false">IF($E173="","",IFERROR(E173/Q173,"—"))</f>
        <v/>
      </c>
      <c r="T173" s="30" t="str">
        <f aca="false">IF($E173="","",Q173*IFERROR(INDEX('Гео-калькулятор'!$D$7:$D$13,MATCH($C173,'Гео-калькулятор'!$B$7:$B$13,0)),0))</f>
        <v/>
      </c>
      <c r="U173" s="40" t="str">
        <f aca="false">IF($E173="","",T173-E173)</f>
        <v/>
      </c>
      <c r="V173" s="41" t="str">
        <f aca="false">IF($E173="","",IFERROR(U173/E173,""))</f>
        <v/>
      </c>
      <c r="W173" s="10" t="str">
        <f aca="false">IF($E173="","",IF($I173&lt;&gt;"","факт","прогноз"))</f>
        <v/>
      </c>
      <c r="X173" s="1"/>
      <c r="Y173" s="1"/>
      <c r="Z173" s="1"/>
      <c r="AA173" s="1"/>
      <c r="AB173" s="1"/>
      <c r="AC173" s="1"/>
      <c r="AD173" s="1"/>
    </row>
    <row r="174" customFormat="false" ht="18" hidden="false" customHeight="true" outlineLevel="0" collapsed="false">
      <c r="A174" s="1"/>
      <c r="B174" s="35"/>
      <c r="C174" s="8"/>
      <c r="D174" s="26"/>
      <c r="E174" s="27"/>
      <c r="F174" s="36"/>
      <c r="G174" s="36"/>
      <c r="H174" s="36"/>
      <c r="I174" s="36"/>
      <c r="J174" s="37" t="str">
        <f aca="false">IF($E174="","",IFERROR(G174/F174,""))</f>
        <v/>
      </c>
      <c r="K174" s="30" t="str">
        <f aca="false">IF($E174="","",IFERROR(E174/G174,""))</f>
        <v/>
      </c>
      <c r="L174" s="30" t="str">
        <f aca="false">IF($E174="","",IFERROR(E174/F174*1000,""))</f>
        <v/>
      </c>
      <c r="M174" s="37" t="str">
        <f aca="false">IF($E174="","",IFERROR(H174/G174,""))</f>
        <v/>
      </c>
      <c r="N174" s="30" t="str">
        <f aca="false">IF($E174="","",IFERROR(E174/H174,"—"))</f>
        <v/>
      </c>
      <c r="O174" s="30" t="str">
        <f aca="false">IF($E174="","",IFERROR(INDEX('Гео-калькулятор'!$K$7:$K$13,MATCH($C174,'Гео-калькулятор'!$B$7:$B$13,0)),""))</f>
        <v/>
      </c>
      <c r="P174" s="38" t="str">
        <f aca="false">IF($E174="","",IFERROR(N174/O174,""))</f>
        <v/>
      </c>
      <c r="Q174" s="39" t="str">
        <f aca="false">IF($E174="","",IF($I174&lt;&gt;"",$I174,N($H174)*IFERROR(INDEX('Гео-калькулятор'!$E$7:$E$13,MATCH($C174,'Гео-калькулятор'!$B$7:$B$13,0)),0)))</f>
        <v/>
      </c>
      <c r="R174" s="38" t="str">
        <f aca="false">IF($E174="","",IFERROR(Q174/H174,""))</f>
        <v/>
      </c>
      <c r="S174" s="30" t="str">
        <f aca="false">IF($E174="","",IFERROR(E174/Q174,"—"))</f>
        <v/>
      </c>
      <c r="T174" s="30" t="str">
        <f aca="false">IF($E174="","",Q174*IFERROR(INDEX('Гео-калькулятор'!$D$7:$D$13,MATCH($C174,'Гео-калькулятор'!$B$7:$B$13,0)),0))</f>
        <v/>
      </c>
      <c r="U174" s="40" t="str">
        <f aca="false">IF($E174="","",T174-E174)</f>
        <v/>
      </c>
      <c r="V174" s="41" t="str">
        <f aca="false">IF($E174="","",IFERROR(U174/E174,""))</f>
        <v/>
      </c>
      <c r="W174" s="10" t="str">
        <f aca="false">IF($E174="","",IF($I174&lt;&gt;"","факт","прогноз"))</f>
        <v/>
      </c>
      <c r="X174" s="1"/>
      <c r="Y174" s="1"/>
      <c r="Z174" s="1"/>
      <c r="AA174" s="1"/>
      <c r="AB174" s="1"/>
      <c r="AC174" s="1"/>
      <c r="AD174" s="1"/>
    </row>
    <row r="175" customFormat="false" ht="18" hidden="false" customHeight="true" outlineLevel="0" collapsed="false">
      <c r="A175" s="1"/>
      <c r="B175" s="35"/>
      <c r="C175" s="8"/>
      <c r="D175" s="26"/>
      <c r="E175" s="27"/>
      <c r="F175" s="36"/>
      <c r="G175" s="36"/>
      <c r="H175" s="36"/>
      <c r="I175" s="36"/>
      <c r="J175" s="37" t="str">
        <f aca="false">IF($E175="","",IFERROR(G175/F175,""))</f>
        <v/>
      </c>
      <c r="K175" s="30" t="str">
        <f aca="false">IF($E175="","",IFERROR(E175/G175,""))</f>
        <v/>
      </c>
      <c r="L175" s="30" t="str">
        <f aca="false">IF($E175="","",IFERROR(E175/F175*1000,""))</f>
        <v/>
      </c>
      <c r="M175" s="37" t="str">
        <f aca="false">IF($E175="","",IFERROR(H175/G175,""))</f>
        <v/>
      </c>
      <c r="N175" s="30" t="str">
        <f aca="false">IF($E175="","",IFERROR(E175/H175,"—"))</f>
        <v/>
      </c>
      <c r="O175" s="30" t="str">
        <f aca="false">IF($E175="","",IFERROR(INDEX('Гео-калькулятор'!$K$7:$K$13,MATCH($C175,'Гео-калькулятор'!$B$7:$B$13,0)),""))</f>
        <v/>
      </c>
      <c r="P175" s="38" t="str">
        <f aca="false">IF($E175="","",IFERROR(N175/O175,""))</f>
        <v/>
      </c>
      <c r="Q175" s="39" t="str">
        <f aca="false">IF($E175="","",IF($I175&lt;&gt;"",$I175,N($H175)*IFERROR(INDEX('Гео-калькулятор'!$E$7:$E$13,MATCH($C175,'Гео-калькулятор'!$B$7:$B$13,0)),0)))</f>
        <v/>
      </c>
      <c r="R175" s="38" t="str">
        <f aca="false">IF($E175="","",IFERROR(Q175/H175,""))</f>
        <v/>
      </c>
      <c r="S175" s="30" t="str">
        <f aca="false">IF($E175="","",IFERROR(E175/Q175,"—"))</f>
        <v/>
      </c>
      <c r="T175" s="30" t="str">
        <f aca="false">IF($E175="","",Q175*IFERROR(INDEX('Гео-калькулятор'!$D$7:$D$13,MATCH($C175,'Гео-калькулятор'!$B$7:$B$13,0)),0))</f>
        <v/>
      </c>
      <c r="U175" s="40" t="str">
        <f aca="false">IF($E175="","",T175-E175)</f>
        <v/>
      </c>
      <c r="V175" s="41" t="str">
        <f aca="false">IF($E175="","",IFERROR(U175/E175,""))</f>
        <v/>
      </c>
      <c r="W175" s="10" t="str">
        <f aca="false">IF($E175="","",IF($I175&lt;&gt;"","факт","прогноз"))</f>
        <v/>
      </c>
      <c r="X175" s="1"/>
      <c r="Y175" s="1"/>
      <c r="Z175" s="1"/>
      <c r="AA175" s="1"/>
      <c r="AB175" s="1"/>
      <c r="AC175" s="1"/>
      <c r="AD175" s="1"/>
    </row>
    <row r="176" customFormat="false" ht="18" hidden="false" customHeight="true" outlineLevel="0" collapsed="false">
      <c r="A176" s="1"/>
      <c r="B176" s="35"/>
      <c r="C176" s="8"/>
      <c r="D176" s="26"/>
      <c r="E176" s="27"/>
      <c r="F176" s="36"/>
      <c r="G176" s="36"/>
      <c r="H176" s="36"/>
      <c r="I176" s="36"/>
      <c r="J176" s="37" t="str">
        <f aca="false">IF($E176="","",IFERROR(G176/F176,""))</f>
        <v/>
      </c>
      <c r="K176" s="30" t="str">
        <f aca="false">IF($E176="","",IFERROR(E176/G176,""))</f>
        <v/>
      </c>
      <c r="L176" s="30" t="str">
        <f aca="false">IF($E176="","",IFERROR(E176/F176*1000,""))</f>
        <v/>
      </c>
      <c r="M176" s="37" t="str">
        <f aca="false">IF($E176="","",IFERROR(H176/G176,""))</f>
        <v/>
      </c>
      <c r="N176" s="30" t="str">
        <f aca="false">IF($E176="","",IFERROR(E176/H176,"—"))</f>
        <v/>
      </c>
      <c r="O176" s="30" t="str">
        <f aca="false">IF($E176="","",IFERROR(INDEX('Гео-калькулятор'!$K$7:$K$13,MATCH($C176,'Гео-калькулятор'!$B$7:$B$13,0)),""))</f>
        <v/>
      </c>
      <c r="P176" s="38" t="str">
        <f aca="false">IF($E176="","",IFERROR(N176/O176,""))</f>
        <v/>
      </c>
      <c r="Q176" s="39" t="str">
        <f aca="false">IF($E176="","",IF($I176&lt;&gt;"",$I176,N($H176)*IFERROR(INDEX('Гео-калькулятор'!$E$7:$E$13,MATCH($C176,'Гео-калькулятор'!$B$7:$B$13,0)),0)))</f>
        <v/>
      </c>
      <c r="R176" s="38" t="str">
        <f aca="false">IF($E176="","",IFERROR(Q176/H176,""))</f>
        <v/>
      </c>
      <c r="S176" s="30" t="str">
        <f aca="false">IF($E176="","",IFERROR(E176/Q176,"—"))</f>
        <v/>
      </c>
      <c r="T176" s="30" t="str">
        <f aca="false">IF($E176="","",Q176*IFERROR(INDEX('Гео-калькулятор'!$D$7:$D$13,MATCH($C176,'Гео-калькулятор'!$B$7:$B$13,0)),0))</f>
        <v/>
      </c>
      <c r="U176" s="40" t="str">
        <f aca="false">IF($E176="","",T176-E176)</f>
        <v/>
      </c>
      <c r="V176" s="41" t="str">
        <f aca="false">IF($E176="","",IFERROR(U176/E176,""))</f>
        <v/>
      </c>
      <c r="W176" s="10" t="str">
        <f aca="false">IF($E176="","",IF($I176&lt;&gt;"","факт","прогноз"))</f>
        <v/>
      </c>
      <c r="X176" s="1"/>
      <c r="Y176" s="1"/>
      <c r="Z176" s="1"/>
      <c r="AA176" s="1"/>
      <c r="AB176" s="1"/>
      <c r="AC176" s="1"/>
      <c r="AD176" s="1"/>
    </row>
    <row r="177" customFormat="false" ht="18" hidden="false" customHeight="true" outlineLevel="0" collapsed="false">
      <c r="A177" s="1"/>
      <c r="B177" s="35"/>
      <c r="C177" s="8"/>
      <c r="D177" s="26"/>
      <c r="E177" s="27"/>
      <c r="F177" s="36"/>
      <c r="G177" s="36"/>
      <c r="H177" s="36"/>
      <c r="I177" s="36"/>
      <c r="J177" s="37" t="str">
        <f aca="false">IF($E177="","",IFERROR(G177/F177,""))</f>
        <v/>
      </c>
      <c r="K177" s="30" t="str">
        <f aca="false">IF($E177="","",IFERROR(E177/G177,""))</f>
        <v/>
      </c>
      <c r="L177" s="30" t="str">
        <f aca="false">IF($E177="","",IFERROR(E177/F177*1000,""))</f>
        <v/>
      </c>
      <c r="M177" s="37" t="str">
        <f aca="false">IF($E177="","",IFERROR(H177/G177,""))</f>
        <v/>
      </c>
      <c r="N177" s="30" t="str">
        <f aca="false">IF($E177="","",IFERROR(E177/H177,"—"))</f>
        <v/>
      </c>
      <c r="O177" s="30" t="str">
        <f aca="false">IF($E177="","",IFERROR(INDEX('Гео-калькулятор'!$K$7:$K$13,MATCH($C177,'Гео-калькулятор'!$B$7:$B$13,0)),""))</f>
        <v/>
      </c>
      <c r="P177" s="38" t="str">
        <f aca="false">IF($E177="","",IFERROR(N177/O177,""))</f>
        <v/>
      </c>
      <c r="Q177" s="39" t="str">
        <f aca="false">IF($E177="","",IF($I177&lt;&gt;"",$I177,N($H177)*IFERROR(INDEX('Гео-калькулятор'!$E$7:$E$13,MATCH($C177,'Гео-калькулятор'!$B$7:$B$13,0)),0)))</f>
        <v/>
      </c>
      <c r="R177" s="38" t="str">
        <f aca="false">IF($E177="","",IFERROR(Q177/H177,""))</f>
        <v/>
      </c>
      <c r="S177" s="30" t="str">
        <f aca="false">IF($E177="","",IFERROR(E177/Q177,"—"))</f>
        <v/>
      </c>
      <c r="T177" s="30" t="str">
        <f aca="false">IF($E177="","",Q177*IFERROR(INDEX('Гео-калькулятор'!$D$7:$D$13,MATCH($C177,'Гео-калькулятор'!$B$7:$B$13,0)),0))</f>
        <v/>
      </c>
      <c r="U177" s="40" t="str">
        <f aca="false">IF($E177="","",T177-E177)</f>
        <v/>
      </c>
      <c r="V177" s="41" t="str">
        <f aca="false">IF($E177="","",IFERROR(U177/E177,""))</f>
        <v/>
      </c>
      <c r="W177" s="10" t="str">
        <f aca="false">IF($E177="","",IF($I177&lt;&gt;"","факт","прогноз"))</f>
        <v/>
      </c>
      <c r="X177" s="1"/>
      <c r="Y177" s="1"/>
      <c r="Z177" s="1"/>
      <c r="AA177" s="1"/>
      <c r="AB177" s="1"/>
      <c r="AC177" s="1"/>
      <c r="AD177" s="1"/>
    </row>
    <row r="178" customFormat="false" ht="18" hidden="false" customHeight="true" outlineLevel="0" collapsed="false">
      <c r="A178" s="1"/>
      <c r="B178" s="35"/>
      <c r="C178" s="8"/>
      <c r="D178" s="26"/>
      <c r="E178" s="27"/>
      <c r="F178" s="36"/>
      <c r="G178" s="36"/>
      <c r="H178" s="36"/>
      <c r="I178" s="36"/>
      <c r="J178" s="37" t="str">
        <f aca="false">IF($E178="","",IFERROR(G178/F178,""))</f>
        <v/>
      </c>
      <c r="K178" s="30" t="str">
        <f aca="false">IF($E178="","",IFERROR(E178/G178,""))</f>
        <v/>
      </c>
      <c r="L178" s="30" t="str">
        <f aca="false">IF($E178="","",IFERROR(E178/F178*1000,""))</f>
        <v/>
      </c>
      <c r="M178" s="37" t="str">
        <f aca="false">IF($E178="","",IFERROR(H178/G178,""))</f>
        <v/>
      </c>
      <c r="N178" s="30" t="str">
        <f aca="false">IF($E178="","",IFERROR(E178/H178,"—"))</f>
        <v/>
      </c>
      <c r="O178" s="30" t="str">
        <f aca="false">IF($E178="","",IFERROR(INDEX('Гео-калькулятор'!$K$7:$K$13,MATCH($C178,'Гео-калькулятор'!$B$7:$B$13,0)),""))</f>
        <v/>
      </c>
      <c r="P178" s="38" t="str">
        <f aca="false">IF($E178="","",IFERROR(N178/O178,""))</f>
        <v/>
      </c>
      <c r="Q178" s="39" t="str">
        <f aca="false">IF($E178="","",IF($I178&lt;&gt;"",$I178,N($H178)*IFERROR(INDEX('Гео-калькулятор'!$E$7:$E$13,MATCH($C178,'Гео-калькулятор'!$B$7:$B$13,0)),0)))</f>
        <v/>
      </c>
      <c r="R178" s="38" t="str">
        <f aca="false">IF($E178="","",IFERROR(Q178/H178,""))</f>
        <v/>
      </c>
      <c r="S178" s="30" t="str">
        <f aca="false">IF($E178="","",IFERROR(E178/Q178,"—"))</f>
        <v/>
      </c>
      <c r="T178" s="30" t="str">
        <f aca="false">IF($E178="","",Q178*IFERROR(INDEX('Гео-калькулятор'!$D$7:$D$13,MATCH($C178,'Гео-калькулятор'!$B$7:$B$13,0)),0))</f>
        <v/>
      </c>
      <c r="U178" s="40" t="str">
        <f aca="false">IF($E178="","",T178-E178)</f>
        <v/>
      </c>
      <c r="V178" s="41" t="str">
        <f aca="false">IF($E178="","",IFERROR(U178/E178,""))</f>
        <v/>
      </c>
      <c r="W178" s="10" t="str">
        <f aca="false">IF($E178="","",IF($I178&lt;&gt;"","факт","прогноз"))</f>
        <v/>
      </c>
      <c r="X178" s="1"/>
      <c r="Y178" s="1"/>
      <c r="Z178" s="1"/>
      <c r="AA178" s="1"/>
      <c r="AB178" s="1"/>
      <c r="AC178" s="1"/>
      <c r="AD178" s="1"/>
    </row>
    <row r="179" customFormat="false" ht="18" hidden="false" customHeight="true" outlineLevel="0" collapsed="false">
      <c r="A179" s="1"/>
      <c r="B179" s="35"/>
      <c r="C179" s="8"/>
      <c r="D179" s="26"/>
      <c r="E179" s="27"/>
      <c r="F179" s="36"/>
      <c r="G179" s="36"/>
      <c r="H179" s="36"/>
      <c r="I179" s="36"/>
      <c r="J179" s="37" t="str">
        <f aca="false">IF($E179="","",IFERROR(G179/F179,""))</f>
        <v/>
      </c>
      <c r="K179" s="30" t="str">
        <f aca="false">IF($E179="","",IFERROR(E179/G179,""))</f>
        <v/>
      </c>
      <c r="L179" s="30" t="str">
        <f aca="false">IF($E179="","",IFERROR(E179/F179*1000,""))</f>
        <v/>
      </c>
      <c r="M179" s="37" t="str">
        <f aca="false">IF($E179="","",IFERROR(H179/G179,""))</f>
        <v/>
      </c>
      <c r="N179" s="30" t="str">
        <f aca="false">IF($E179="","",IFERROR(E179/H179,"—"))</f>
        <v/>
      </c>
      <c r="O179" s="30" t="str">
        <f aca="false">IF($E179="","",IFERROR(INDEX('Гео-калькулятор'!$K$7:$K$13,MATCH($C179,'Гео-калькулятор'!$B$7:$B$13,0)),""))</f>
        <v/>
      </c>
      <c r="P179" s="38" t="str">
        <f aca="false">IF($E179="","",IFERROR(N179/O179,""))</f>
        <v/>
      </c>
      <c r="Q179" s="39" t="str">
        <f aca="false">IF($E179="","",IF($I179&lt;&gt;"",$I179,N($H179)*IFERROR(INDEX('Гео-калькулятор'!$E$7:$E$13,MATCH($C179,'Гео-калькулятор'!$B$7:$B$13,0)),0)))</f>
        <v/>
      </c>
      <c r="R179" s="38" t="str">
        <f aca="false">IF($E179="","",IFERROR(Q179/H179,""))</f>
        <v/>
      </c>
      <c r="S179" s="30" t="str">
        <f aca="false">IF($E179="","",IFERROR(E179/Q179,"—"))</f>
        <v/>
      </c>
      <c r="T179" s="30" t="str">
        <f aca="false">IF($E179="","",Q179*IFERROR(INDEX('Гео-калькулятор'!$D$7:$D$13,MATCH($C179,'Гео-калькулятор'!$B$7:$B$13,0)),0))</f>
        <v/>
      </c>
      <c r="U179" s="40" t="str">
        <f aca="false">IF($E179="","",T179-E179)</f>
        <v/>
      </c>
      <c r="V179" s="41" t="str">
        <f aca="false">IF($E179="","",IFERROR(U179/E179,""))</f>
        <v/>
      </c>
      <c r="W179" s="10" t="str">
        <f aca="false">IF($E179="","",IF($I179&lt;&gt;"","факт","прогноз"))</f>
        <v/>
      </c>
      <c r="X179" s="1"/>
      <c r="Y179" s="1"/>
      <c r="Z179" s="1"/>
      <c r="AA179" s="1"/>
      <c r="AB179" s="1"/>
      <c r="AC179" s="1"/>
      <c r="AD179" s="1"/>
    </row>
    <row r="180" customFormat="false" ht="18" hidden="false" customHeight="true" outlineLevel="0" collapsed="false">
      <c r="A180" s="1"/>
      <c r="B180" s="35"/>
      <c r="C180" s="8"/>
      <c r="D180" s="26"/>
      <c r="E180" s="27"/>
      <c r="F180" s="36"/>
      <c r="G180" s="36"/>
      <c r="H180" s="36"/>
      <c r="I180" s="36"/>
      <c r="J180" s="37" t="str">
        <f aca="false">IF($E180="","",IFERROR(G180/F180,""))</f>
        <v/>
      </c>
      <c r="K180" s="30" t="str">
        <f aca="false">IF($E180="","",IFERROR(E180/G180,""))</f>
        <v/>
      </c>
      <c r="L180" s="30" t="str">
        <f aca="false">IF($E180="","",IFERROR(E180/F180*1000,""))</f>
        <v/>
      </c>
      <c r="M180" s="37" t="str">
        <f aca="false">IF($E180="","",IFERROR(H180/G180,""))</f>
        <v/>
      </c>
      <c r="N180" s="30" t="str">
        <f aca="false">IF($E180="","",IFERROR(E180/H180,"—"))</f>
        <v/>
      </c>
      <c r="O180" s="30" t="str">
        <f aca="false">IF($E180="","",IFERROR(INDEX('Гео-калькулятор'!$K$7:$K$13,MATCH($C180,'Гео-калькулятор'!$B$7:$B$13,0)),""))</f>
        <v/>
      </c>
      <c r="P180" s="38" t="str">
        <f aca="false">IF($E180="","",IFERROR(N180/O180,""))</f>
        <v/>
      </c>
      <c r="Q180" s="39" t="str">
        <f aca="false">IF($E180="","",IF($I180&lt;&gt;"",$I180,N($H180)*IFERROR(INDEX('Гео-калькулятор'!$E$7:$E$13,MATCH($C180,'Гео-калькулятор'!$B$7:$B$13,0)),0)))</f>
        <v/>
      </c>
      <c r="R180" s="38" t="str">
        <f aca="false">IF($E180="","",IFERROR(Q180/H180,""))</f>
        <v/>
      </c>
      <c r="S180" s="30" t="str">
        <f aca="false">IF($E180="","",IFERROR(E180/Q180,"—"))</f>
        <v/>
      </c>
      <c r="T180" s="30" t="str">
        <f aca="false">IF($E180="","",Q180*IFERROR(INDEX('Гео-калькулятор'!$D$7:$D$13,MATCH($C180,'Гео-калькулятор'!$B$7:$B$13,0)),0))</f>
        <v/>
      </c>
      <c r="U180" s="40" t="str">
        <f aca="false">IF($E180="","",T180-E180)</f>
        <v/>
      </c>
      <c r="V180" s="41" t="str">
        <f aca="false">IF($E180="","",IFERROR(U180/E180,""))</f>
        <v/>
      </c>
      <c r="W180" s="10" t="str">
        <f aca="false">IF($E180="","",IF($I180&lt;&gt;"","факт","прогноз"))</f>
        <v/>
      </c>
      <c r="X180" s="1"/>
      <c r="Y180" s="1"/>
      <c r="Z180" s="1"/>
      <c r="AA180" s="1"/>
      <c r="AB180" s="1"/>
      <c r="AC180" s="1"/>
      <c r="AD180" s="1"/>
    </row>
    <row r="181" customFormat="false" ht="18" hidden="false" customHeight="true" outlineLevel="0" collapsed="false">
      <c r="A181" s="1"/>
      <c r="B181" s="35"/>
      <c r="C181" s="8"/>
      <c r="D181" s="26"/>
      <c r="E181" s="27"/>
      <c r="F181" s="36"/>
      <c r="G181" s="36"/>
      <c r="H181" s="36"/>
      <c r="I181" s="36"/>
      <c r="J181" s="37" t="str">
        <f aca="false">IF($E181="","",IFERROR(G181/F181,""))</f>
        <v/>
      </c>
      <c r="K181" s="30" t="str">
        <f aca="false">IF($E181="","",IFERROR(E181/G181,""))</f>
        <v/>
      </c>
      <c r="L181" s="30" t="str">
        <f aca="false">IF($E181="","",IFERROR(E181/F181*1000,""))</f>
        <v/>
      </c>
      <c r="M181" s="37" t="str">
        <f aca="false">IF($E181="","",IFERROR(H181/G181,""))</f>
        <v/>
      </c>
      <c r="N181" s="30" t="str">
        <f aca="false">IF($E181="","",IFERROR(E181/H181,"—"))</f>
        <v/>
      </c>
      <c r="O181" s="30" t="str">
        <f aca="false">IF($E181="","",IFERROR(INDEX('Гео-калькулятор'!$K$7:$K$13,MATCH($C181,'Гео-калькулятор'!$B$7:$B$13,0)),""))</f>
        <v/>
      </c>
      <c r="P181" s="38" t="str">
        <f aca="false">IF($E181="","",IFERROR(N181/O181,""))</f>
        <v/>
      </c>
      <c r="Q181" s="39" t="str">
        <f aca="false">IF($E181="","",IF($I181&lt;&gt;"",$I181,N($H181)*IFERROR(INDEX('Гео-калькулятор'!$E$7:$E$13,MATCH($C181,'Гео-калькулятор'!$B$7:$B$13,0)),0)))</f>
        <v/>
      </c>
      <c r="R181" s="38" t="str">
        <f aca="false">IF($E181="","",IFERROR(Q181/H181,""))</f>
        <v/>
      </c>
      <c r="S181" s="30" t="str">
        <f aca="false">IF($E181="","",IFERROR(E181/Q181,"—"))</f>
        <v/>
      </c>
      <c r="T181" s="30" t="str">
        <f aca="false">IF($E181="","",Q181*IFERROR(INDEX('Гео-калькулятор'!$D$7:$D$13,MATCH($C181,'Гео-калькулятор'!$B$7:$B$13,0)),0))</f>
        <v/>
      </c>
      <c r="U181" s="40" t="str">
        <f aca="false">IF($E181="","",T181-E181)</f>
        <v/>
      </c>
      <c r="V181" s="41" t="str">
        <f aca="false">IF($E181="","",IFERROR(U181/E181,""))</f>
        <v/>
      </c>
      <c r="W181" s="10" t="str">
        <f aca="false">IF($E181="","",IF($I181&lt;&gt;"","факт","прогноз"))</f>
        <v/>
      </c>
      <c r="X181" s="1"/>
      <c r="Y181" s="1"/>
      <c r="Z181" s="1"/>
      <c r="AA181" s="1"/>
      <c r="AB181" s="1"/>
      <c r="AC181" s="1"/>
      <c r="AD181" s="1"/>
    </row>
    <row r="182" customFormat="false" ht="18" hidden="false" customHeight="true" outlineLevel="0" collapsed="false">
      <c r="A182" s="1"/>
      <c r="B182" s="35"/>
      <c r="C182" s="8"/>
      <c r="D182" s="26"/>
      <c r="E182" s="27"/>
      <c r="F182" s="36"/>
      <c r="G182" s="36"/>
      <c r="H182" s="36"/>
      <c r="I182" s="36"/>
      <c r="J182" s="37" t="str">
        <f aca="false">IF($E182="","",IFERROR(G182/F182,""))</f>
        <v/>
      </c>
      <c r="K182" s="30" t="str">
        <f aca="false">IF($E182="","",IFERROR(E182/G182,""))</f>
        <v/>
      </c>
      <c r="L182" s="30" t="str">
        <f aca="false">IF($E182="","",IFERROR(E182/F182*1000,""))</f>
        <v/>
      </c>
      <c r="M182" s="37" t="str">
        <f aca="false">IF($E182="","",IFERROR(H182/G182,""))</f>
        <v/>
      </c>
      <c r="N182" s="30" t="str">
        <f aca="false">IF($E182="","",IFERROR(E182/H182,"—"))</f>
        <v/>
      </c>
      <c r="O182" s="30" t="str">
        <f aca="false">IF($E182="","",IFERROR(INDEX('Гео-калькулятор'!$K$7:$K$13,MATCH($C182,'Гео-калькулятор'!$B$7:$B$13,0)),""))</f>
        <v/>
      </c>
      <c r="P182" s="38" t="str">
        <f aca="false">IF($E182="","",IFERROR(N182/O182,""))</f>
        <v/>
      </c>
      <c r="Q182" s="39" t="str">
        <f aca="false">IF($E182="","",IF($I182&lt;&gt;"",$I182,N($H182)*IFERROR(INDEX('Гео-калькулятор'!$E$7:$E$13,MATCH($C182,'Гео-калькулятор'!$B$7:$B$13,0)),0)))</f>
        <v/>
      </c>
      <c r="R182" s="38" t="str">
        <f aca="false">IF($E182="","",IFERROR(Q182/H182,""))</f>
        <v/>
      </c>
      <c r="S182" s="30" t="str">
        <f aca="false">IF($E182="","",IFERROR(E182/Q182,"—"))</f>
        <v/>
      </c>
      <c r="T182" s="30" t="str">
        <f aca="false">IF($E182="","",Q182*IFERROR(INDEX('Гео-калькулятор'!$D$7:$D$13,MATCH($C182,'Гео-калькулятор'!$B$7:$B$13,0)),0))</f>
        <v/>
      </c>
      <c r="U182" s="40" t="str">
        <f aca="false">IF($E182="","",T182-E182)</f>
        <v/>
      </c>
      <c r="V182" s="41" t="str">
        <f aca="false">IF($E182="","",IFERROR(U182/E182,""))</f>
        <v/>
      </c>
      <c r="W182" s="10" t="str">
        <f aca="false">IF($E182="","",IF($I182&lt;&gt;"","факт","прогноз"))</f>
        <v/>
      </c>
      <c r="X182" s="1"/>
      <c r="Y182" s="1"/>
      <c r="Z182" s="1"/>
      <c r="AA182" s="1"/>
      <c r="AB182" s="1"/>
      <c r="AC182" s="1"/>
      <c r="AD182" s="1"/>
    </row>
    <row r="183" customFormat="false" ht="18" hidden="false" customHeight="true" outlineLevel="0" collapsed="false">
      <c r="A183" s="1"/>
      <c r="B183" s="35"/>
      <c r="C183" s="8"/>
      <c r="D183" s="26"/>
      <c r="E183" s="27"/>
      <c r="F183" s="36"/>
      <c r="G183" s="36"/>
      <c r="H183" s="36"/>
      <c r="I183" s="36"/>
      <c r="J183" s="37" t="str">
        <f aca="false">IF($E183="","",IFERROR(G183/F183,""))</f>
        <v/>
      </c>
      <c r="K183" s="30" t="str">
        <f aca="false">IF($E183="","",IFERROR(E183/G183,""))</f>
        <v/>
      </c>
      <c r="L183" s="30" t="str">
        <f aca="false">IF($E183="","",IFERROR(E183/F183*1000,""))</f>
        <v/>
      </c>
      <c r="M183" s="37" t="str">
        <f aca="false">IF($E183="","",IFERROR(H183/G183,""))</f>
        <v/>
      </c>
      <c r="N183" s="30" t="str">
        <f aca="false">IF($E183="","",IFERROR(E183/H183,"—"))</f>
        <v/>
      </c>
      <c r="O183" s="30" t="str">
        <f aca="false">IF($E183="","",IFERROR(INDEX('Гео-калькулятор'!$K$7:$K$13,MATCH($C183,'Гео-калькулятор'!$B$7:$B$13,0)),""))</f>
        <v/>
      </c>
      <c r="P183" s="38" t="str">
        <f aca="false">IF($E183="","",IFERROR(N183/O183,""))</f>
        <v/>
      </c>
      <c r="Q183" s="39" t="str">
        <f aca="false">IF($E183="","",IF($I183&lt;&gt;"",$I183,N($H183)*IFERROR(INDEX('Гео-калькулятор'!$E$7:$E$13,MATCH($C183,'Гео-калькулятор'!$B$7:$B$13,0)),0)))</f>
        <v/>
      </c>
      <c r="R183" s="38" t="str">
        <f aca="false">IF($E183="","",IFERROR(Q183/H183,""))</f>
        <v/>
      </c>
      <c r="S183" s="30" t="str">
        <f aca="false">IF($E183="","",IFERROR(E183/Q183,"—"))</f>
        <v/>
      </c>
      <c r="T183" s="30" t="str">
        <f aca="false">IF($E183="","",Q183*IFERROR(INDEX('Гео-калькулятор'!$D$7:$D$13,MATCH($C183,'Гео-калькулятор'!$B$7:$B$13,0)),0))</f>
        <v/>
      </c>
      <c r="U183" s="40" t="str">
        <f aca="false">IF($E183="","",T183-E183)</f>
        <v/>
      </c>
      <c r="V183" s="41" t="str">
        <f aca="false">IF($E183="","",IFERROR(U183/E183,""))</f>
        <v/>
      </c>
      <c r="W183" s="10" t="str">
        <f aca="false">IF($E183="","",IF($I183&lt;&gt;"","факт","прогноз"))</f>
        <v/>
      </c>
      <c r="X183" s="1"/>
      <c r="Y183" s="1"/>
      <c r="Z183" s="1"/>
      <c r="AA183" s="1"/>
      <c r="AB183" s="1"/>
      <c r="AC183" s="1"/>
      <c r="AD183" s="1"/>
    </row>
    <row r="184" customFormat="false" ht="18" hidden="false" customHeight="true" outlineLevel="0" collapsed="false">
      <c r="A184" s="1"/>
      <c r="B184" s="35"/>
      <c r="C184" s="8"/>
      <c r="D184" s="26"/>
      <c r="E184" s="27"/>
      <c r="F184" s="36"/>
      <c r="G184" s="36"/>
      <c r="H184" s="36"/>
      <c r="I184" s="36"/>
      <c r="J184" s="37" t="str">
        <f aca="false">IF($E184="","",IFERROR(G184/F184,""))</f>
        <v/>
      </c>
      <c r="K184" s="30" t="str">
        <f aca="false">IF($E184="","",IFERROR(E184/G184,""))</f>
        <v/>
      </c>
      <c r="L184" s="30" t="str">
        <f aca="false">IF($E184="","",IFERROR(E184/F184*1000,""))</f>
        <v/>
      </c>
      <c r="M184" s="37" t="str">
        <f aca="false">IF($E184="","",IFERROR(H184/G184,""))</f>
        <v/>
      </c>
      <c r="N184" s="30" t="str">
        <f aca="false">IF($E184="","",IFERROR(E184/H184,"—"))</f>
        <v/>
      </c>
      <c r="O184" s="30" t="str">
        <f aca="false">IF($E184="","",IFERROR(INDEX('Гео-калькулятор'!$K$7:$K$13,MATCH($C184,'Гео-калькулятор'!$B$7:$B$13,0)),""))</f>
        <v/>
      </c>
      <c r="P184" s="38" t="str">
        <f aca="false">IF($E184="","",IFERROR(N184/O184,""))</f>
        <v/>
      </c>
      <c r="Q184" s="39" t="str">
        <f aca="false">IF($E184="","",IF($I184&lt;&gt;"",$I184,N($H184)*IFERROR(INDEX('Гео-калькулятор'!$E$7:$E$13,MATCH($C184,'Гео-калькулятор'!$B$7:$B$13,0)),0)))</f>
        <v/>
      </c>
      <c r="R184" s="38" t="str">
        <f aca="false">IF($E184="","",IFERROR(Q184/H184,""))</f>
        <v/>
      </c>
      <c r="S184" s="30" t="str">
        <f aca="false">IF($E184="","",IFERROR(E184/Q184,"—"))</f>
        <v/>
      </c>
      <c r="T184" s="30" t="str">
        <f aca="false">IF($E184="","",Q184*IFERROR(INDEX('Гео-калькулятор'!$D$7:$D$13,MATCH($C184,'Гео-калькулятор'!$B$7:$B$13,0)),0))</f>
        <v/>
      </c>
      <c r="U184" s="40" t="str">
        <f aca="false">IF($E184="","",T184-E184)</f>
        <v/>
      </c>
      <c r="V184" s="41" t="str">
        <f aca="false">IF($E184="","",IFERROR(U184/E184,""))</f>
        <v/>
      </c>
      <c r="W184" s="10" t="str">
        <f aca="false">IF($E184="","",IF($I184&lt;&gt;"","факт","прогноз"))</f>
        <v/>
      </c>
      <c r="X184" s="1"/>
      <c r="Y184" s="1"/>
      <c r="Z184" s="1"/>
      <c r="AA184" s="1"/>
      <c r="AB184" s="1"/>
      <c r="AC184" s="1"/>
      <c r="AD184" s="1"/>
    </row>
    <row r="185" customFormat="false" ht="18" hidden="false" customHeight="true" outlineLevel="0" collapsed="false">
      <c r="A185" s="1"/>
      <c r="B185" s="35"/>
      <c r="C185" s="8"/>
      <c r="D185" s="26"/>
      <c r="E185" s="27"/>
      <c r="F185" s="36"/>
      <c r="G185" s="36"/>
      <c r="H185" s="36"/>
      <c r="I185" s="36"/>
      <c r="J185" s="37" t="str">
        <f aca="false">IF($E185="","",IFERROR(G185/F185,""))</f>
        <v/>
      </c>
      <c r="K185" s="30" t="str">
        <f aca="false">IF($E185="","",IFERROR(E185/G185,""))</f>
        <v/>
      </c>
      <c r="L185" s="30" t="str">
        <f aca="false">IF($E185="","",IFERROR(E185/F185*1000,""))</f>
        <v/>
      </c>
      <c r="M185" s="37" t="str">
        <f aca="false">IF($E185="","",IFERROR(H185/G185,""))</f>
        <v/>
      </c>
      <c r="N185" s="30" t="str">
        <f aca="false">IF($E185="","",IFERROR(E185/H185,"—"))</f>
        <v/>
      </c>
      <c r="O185" s="30" t="str">
        <f aca="false">IF($E185="","",IFERROR(INDEX('Гео-калькулятор'!$K$7:$K$13,MATCH($C185,'Гео-калькулятор'!$B$7:$B$13,0)),""))</f>
        <v/>
      </c>
      <c r="P185" s="38" t="str">
        <f aca="false">IF($E185="","",IFERROR(N185/O185,""))</f>
        <v/>
      </c>
      <c r="Q185" s="39" t="str">
        <f aca="false">IF($E185="","",IF($I185&lt;&gt;"",$I185,N($H185)*IFERROR(INDEX('Гео-калькулятор'!$E$7:$E$13,MATCH($C185,'Гео-калькулятор'!$B$7:$B$13,0)),0)))</f>
        <v/>
      </c>
      <c r="R185" s="38" t="str">
        <f aca="false">IF($E185="","",IFERROR(Q185/H185,""))</f>
        <v/>
      </c>
      <c r="S185" s="30" t="str">
        <f aca="false">IF($E185="","",IFERROR(E185/Q185,"—"))</f>
        <v/>
      </c>
      <c r="T185" s="30" t="str">
        <f aca="false">IF($E185="","",Q185*IFERROR(INDEX('Гео-калькулятор'!$D$7:$D$13,MATCH($C185,'Гео-калькулятор'!$B$7:$B$13,0)),0))</f>
        <v/>
      </c>
      <c r="U185" s="40" t="str">
        <f aca="false">IF($E185="","",T185-E185)</f>
        <v/>
      </c>
      <c r="V185" s="41" t="str">
        <f aca="false">IF($E185="","",IFERROR(U185/E185,""))</f>
        <v/>
      </c>
      <c r="W185" s="10" t="str">
        <f aca="false">IF($E185="","",IF($I185&lt;&gt;"","факт","прогноз"))</f>
        <v/>
      </c>
      <c r="X185" s="1"/>
      <c r="Y185" s="1"/>
      <c r="Z185" s="1"/>
      <c r="AA185" s="1"/>
      <c r="AB185" s="1"/>
      <c r="AC185" s="1"/>
      <c r="AD185" s="1"/>
    </row>
    <row r="186" customFormat="false" ht="18" hidden="false" customHeight="true" outlineLevel="0" collapsed="false">
      <c r="A186" s="1"/>
      <c r="B186" s="35"/>
      <c r="C186" s="8"/>
      <c r="D186" s="26"/>
      <c r="E186" s="27"/>
      <c r="F186" s="36"/>
      <c r="G186" s="36"/>
      <c r="H186" s="36"/>
      <c r="I186" s="36"/>
      <c r="J186" s="37" t="str">
        <f aca="false">IF($E186="","",IFERROR(G186/F186,""))</f>
        <v/>
      </c>
      <c r="K186" s="30" t="str">
        <f aca="false">IF($E186="","",IFERROR(E186/G186,""))</f>
        <v/>
      </c>
      <c r="L186" s="30" t="str">
        <f aca="false">IF($E186="","",IFERROR(E186/F186*1000,""))</f>
        <v/>
      </c>
      <c r="M186" s="37" t="str">
        <f aca="false">IF($E186="","",IFERROR(H186/G186,""))</f>
        <v/>
      </c>
      <c r="N186" s="30" t="str">
        <f aca="false">IF($E186="","",IFERROR(E186/H186,"—"))</f>
        <v/>
      </c>
      <c r="O186" s="30" t="str">
        <f aca="false">IF($E186="","",IFERROR(INDEX('Гео-калькулятор'!$K$7:$K$13,MATCH($C186,'Гео-калькулятор'!$B$7:$B$13,0)),""))</f>
        <v/>
      </c>
      <c r="P186" s="38" t="str">
        <f aca="false">IF($E186="","",IFERROR(N186/O186,""))</f>
        <v/>
      </c>
      <c r="Q186" s="39" t="str">
        <f aca="false">IF($E186="","",IF($I186&lt;&gt;"",$I186,N($H186)*IFERROR(INDEX('Гео-калькулятор'!$E$7:$E$13,MATCH($C186,'Гео-калькулятор'!$B$7:$B$13,0)),0)))</f>
        <v/>
      </c>
      <c r="R186" s="38" t="str">
        <f aca="false">IF($E186="","",IFERROR(Q186/H186,""))</f>
        <v/>
      </c>
      <c r="S186" s="30" t="str">
        <f aca="false">IF($E186="","",IFERROR(E186/Q186,"—"))</f>
        <v/>
      </c>
      <c r="T186" s="30" t="str">
        <f aca="false">IF($E186="","",Q186*IFERROR(INDEX('Гео-калькулятор'!$D$7:$D$13,MATCH($C186,'Гео-калькулятор'!$B$7:$B$13,0)),0))</f>
        <v/>
      </c>
      <c r="U186" s="40" t="str">
        <f aca="false">IF($E186="","",T186-E186)</f>
        <v/>
      </c>
      <c r="V186" s="41" t="str">
        <f aca="false">IF($E186="","",IFERROR(U186/E186,""))</f>
        <v/>
      </c>
      <c r="W186" s="10" t="str">
        <f aca="false">IF($E186="","",IF($I186&lt;&gt;"","факт","прогноз"))</f>
        <v/>
      </c>
      <c r="X186" s="1"/>
      <c r="Y186" s="1"/>
      <c r="Z186" s="1"/>
      <c r="AA186" s="1"/>
      <c r="AB186" s="1"/>
      <c r="AC186" s="1"/>
      <c r="AD186" s="1"/>
    </row>
    <row r="187" customFormat="false" ht="18" hidden="false" customHeight="true" outlineLevel="0" collapsed="false">
      <c r="A187" s="1"/>
      <c r="B187" s="35"/>
      <c r="C187" s="8"/>
      <c r="D187" s="26"/>
      <c r="E187" s="27"/>
      <c r="F187" s="36"/>
      <c r="G187" s="36"/>
      <c r="H187" s="36"/>
      <c r="I187" s="36"/>
      <c r="J187" s="37" t="str">
        <f aca="false">IF($E187="","",IFERROR(G187/F187,""))</f>
        <v/>
      </c>
      <c r="K187" s="30" t="str">
        <f aca="false">IF($E187="","",IFERROR(E187/G187,""))</f>
        <v/>
      </c>
      <c r="L187" s="30" t="str">
        <f aca="false">IF($E187="","",IFERROR(E187/F187*1000,""))</f>
        <v/>
      </c>
      <c r="M187" s="37" t="str">
        <f aca="false">IF($E187="","",IFERROR(H187/G187,""))</f>
        <v/>
      </c>
      <c r="N187" s="30" t="str">
        <f aca="false">IF($E187="","",IFERROR(E187/H187,"—"))</f>
        <v/>
      </c>
      <c r="O187" s="30" t="str">
        <f aca="false">IF($E187="","",IFERROR(INDEX('Гео-калькулятор'!$K$7:$K$13,MATCH($C187,'Гео-калькулятор'!$B$7:$B$13,0)),""))</f>
        <v/>
      </c>
      <c r="P187" s="38" t="str">
        <f aca="false">IF($E187="","",IFERROR(N187/O187,""))</f>
        <v/>
      </c>
      <c r="Q187" s="39" t="str">
        <f aca="false">IF($E187="","",IF($I187&lt;&gt;"",$I187,N($H187)*IFERROR(INDEX('Гео-калькулятор'!$E$7:$E$13,MATCH($C187,'Гео-калькулятор'!$B$7:$B$13,0)),0)))</f>
        <v/>
      </c>
      <c r="R187" s="38" t="str">
        <f aca="false">IF($E187="","",IFERROR(Q187/H187,""))</f>
        <v/>
      </c>
      <c r="S187" s="30" t="str">
        <f aca="false">IF($E187="","",IFERROR(E187/Q187,"—"))</f>
        <v/>
      </c>
      <c r="T187" s="30" t="str">
        <f aca="false">IF($E187="","",Q187*IFERROR(INDEX('Гео-калькулятор'!$D$7:$D$13,MATCH($C187,'Гео-калькулятор'!$B$7:$B$13,0)),0))</f>
        <v/>
      </c>
      <c r="U187" s="40" t="str">
        <f aca="false">IF($E187="","",T187-E187)</f>
        <v/>
      </c>
      <c r="V187" s="41" t="str">
        <f aca="false">IF($E187="","",IFERROR(U187/E187,""))</f>
        <v/>
      </c>
      <c r="W187" s="10" t="str">
        <f aca="false">IF($E187="","",IF($I187&lt;&gt;"","факт","прогноз"))</f>
        <v/>
      </c>
      <c r="X187" s="1"/>
      <c r="Y187" s="1"/>
      <c r="Z187" s="1"/>
      <c r="AA187" s="1"/>
      <c r="AB187" s="1"/>
      <c r="AC187" s="1"/>
      <c r="AD187" s="1"/>
    </row>
    <row r="188" customFormat="false" ht="18" hidden="false" customHeight="true" outlineLevel="0" collapsed="false">
      <c r="A188" s="1"/>
      <c r="B188" s="35"/>
      <c r="C188" s="8"/>
      <c r="D188" s="26"/>
      <c r="E188" s="27"/>
      <c r="F188" s="36"/>
      <c r="G188" s="36"/>
      <c r="H188" s="36"/>
      <c r="I188" s="36"/>
      <c r="J188" s="37" t="str">
        <f aca="false">IF($E188="","",IFERROR(G188/F188,""))</f>
        <v/>
      </c>
      <c r="K188" s="30" t="str">
        <f aca="false">IF($E188="","",IFERROR(E188/G188,""))</f>
        <v/>
      </c>
      <c r="L188" s="30" t="str">
        <f aca="false">IF($E188="","",IFERROR(E188/F188*1000,""))</f>
        <v/>
      </c>
      <c r="M188" s="37" t="str">
        <f aca="false">IF($E188="","",IFERROR(H188/G188,""))</f>
        <v/>
      </c>
      <c r="N188" s="30" t="str">
        <f aca="false">IF($E188="","",IFERROR(E188/H188,"—"))</f>
        <v/>
      </c>
      <c r="O188" s="30" t="str">
        <f aca="false">IF($E188="","",IFERROR(INDEX('Гео-калькулятор'!$K$7:$K$13,MATCH($C188,'Гео-калькулятор'!$B$7:$B$13,0)),""))</f>
        <v/>
      </c>
      <c r="P188" s="38" t="str">
        <f aca="false">IF($E188="","",IFERROR(N188/O188,""))</f>
        <v/>
      </c>
      <c r="Q188" s="39" t="str">
        <f aca="false">IF($E188="","",IF($I188&lt;&gt;"",$I188,N($H188)*IFERROR(INDEX('Гео-калькулятор'!$E$7:$E$13,MATCH($C188,'Гео-калькулятор'!$B$7:$B$13,0)),0)))</f>
        <v/>
      </c>
      <c r="R188" s="38" t="str">
        <f aca="false">IF($E188="","",IFERROR(Q188/H188,""))</f>
        <v/>
      </c>
      <c r="S188" s="30" t="str">
        <f aca="false">IF($E188="","",IFERROR(E188/Q188,"—"))</f>
        <v/>
      </c>
      <c r="T188" s="30" t="str">
        <f aca="false">IF($E188="","",Q188*IFERROR(INDEX('Гео-калькулятор'!$D$7:$D$13,MATCH($C188,'Гео-калькулятор'!$B$7:$B$13,0)),0))</f>
        <v/>
      </c>
      <c r="U188" s="40" t="str">
        <f aca="false">IF($E188="","",T188-E188)</f>
        <v/>
      </c>
      <c r="V188" s="41" t="str">
        <f aca="false">IF($E188="","",IFERROR(U188/E188,""))</f>
        <v/>
      </c>
      <c r="W188" s="10" t="str">
        <f aca="false">IF($E188="","",IF($I188&lt;&gt;"","факт","прогноз"))</f>
        <v/>
      </c>
      <c r="X188" s="1"/>
      <c r="Y188" s="1"/>
      <c r="Z188" s="1"/>
      <c r="AA188" s="1"/>
      <c r="AB188" s="1"/>
      <c r="AC188" s="1"/>
      <c r="AD188" s="1"/>
    </row>
    <row r="189" customFormat="false" ht="18" hidden="false" customHeight="true" outlineLevel="0" collapsed="false">
      <c r="A189" s="1"/>
      <c r="B189" s="35"/>
      <c r="C189" s="8"/>
      <c r="D189" s="26"/>
      <c r="E189" s="27"/>
      <c r="F189" s="36"/>
      <c r="G189" s="36"/>
      <c r="H189" s="36"/>
      <c r="I189" s="36"/>
      <c r="J189" s="37" t="str">
        <f aca="false">IF($E189="","",IFERROR(G189/F189,""))</f>
        <v/>
      </c>
      <c r="K189" s="30" t="str">
        <f aca="false">IF($E189="","",IFERROR(E189/G189,""))</f>
        <v/>
      </c>
      <c r="L189" s="30" t="str">
        <f aca="false">IF($E189="","",IFERROR(E189/F189*1000,""))</f>
        <v/>
      </c>
      <c r="M189" s="37" t="str">
        <f aca="false">IF($E189="","",IFERROR(H189/G189,""))</f>
        <v/>
      </c>
      <c r="N189" s="30" t="str">
        <f aca="false">IF($E189="","",IFERROR(E189/H189,"—"))</f>
        <v/>
      </c>
      <c r="O189" s="30" t="str">
        <f aca="false">IF($E189="","",IFERROR(INDEX('Гео-калькулятор'!$K$7:$K$13,MATCH($C189,'Гео-калькулятор'!$B$7:$B$13,0)),""))</f>
        <v/>
      </c>
      <c r="P189" s="38" t="str">
        <f aca="false">IF($E189="","",IFERROR(N189/O189,""))</f>
        <v/>
      </c>
      <c r="Q189" s="39" t="str">
        <f aca="false">IF($E189="","",IF($I189&lt;&gt;"",$I189,N($H189)*IFERROR(INDEX('Гео-калькулятор'!$E$7:$E$13,MATCH($C189,'Гео-калькулятор'!$B$7:$B$13,0)),0)))</f>
        <v/>
      </c>
      <c r="R189" s="38" t="str">
        <f aca="false">IF($E189="","",IFERROR(Q189/H189,""))</f>
        <v/>
      </c>
      <c r="S189" s="30" t="str">
        <f aca="false">IF($E189="","",IFERROR(E189/Q189,"—"))</f>
        <v/>
      </c>
      <c r="T189" s="30" t="str">
        <f aca="false">IF($E189="","",Q189*IFERROR(INDEX('Гео-калькулятор'!$D$7:$D$13,MATCH($C189,'Гео-калькулятор'!$B$7:$B$13,0)),0))</f>
        <v/>
      </c>
      <c r="U189" s="40" t="str">
        <f aca="false">IF($E189="","",T189-E189)</f>
        <v/>
      </c>
      <c r="V189" s="41" t="str">
        <f aca="false">IF($E189="","",IFERROR(U189/E189,""))</f>
        <v/>
      </c>
      <c r="W189" s="10" t="str">
        <f aca="false">IF($E189="","",IF($I189&lt;&gt;"","факт","прогноз"))</f>
        <v/>
      </c>
      <c r="X189" s="1"/>
      <c r="Y189" s="1"/>
      <c r="Z189" s="1"/>
      <c r="AA189" s="1"/>
      <c r="AB189" s="1"/>
      <c r="AC189" s="1"/>
      <c r="AD189" s="1"/>
    </row>
    <row r="190" customFormat="false" ht="18" hidden="false" customHeight="true" outlineLevel="0" collapsed="false">
      <c r="A190" s="1"/>
      <c r="B190" s="35"/>
      <c r="C190" s="8"/>
      <c r="D190" s="26"/>
      <c r="E190" s="27"/>
      <c r="F190" s="36"/>
      <c r="G190" s="36"/>
      <c r="H190" s="36"/>
      <c r="I190" s="36"/>
      <c r="J190" s="37" t="str">
        <f aca="false">IF($E190="","",IFERROR(G190/F190,""))</f>
        <v/>
      </c>
      <c r="K190" s="30" t="str">
        <f aca="false">IF($E190="","",IFERROR(E190/G190,""))</f>
        <v/>
      </c>
      <c r="L190" s="30" t="str">
        <f aca="false">IF($E190="","",IFERROR(E190/F190*1000,""))</f>
        <v/>
      </c>
      <c r="M190" s="37" t="str">
        <f aca="false">IF($E190="","",IFERROR(H190/G190,""))</f>
        <v/>
      </c>
      <c r="N190" s="30" t="str">
        <f aca="false">IF($E190="","",IFERROR(E190/H190,"—"))</f>
        <v/>
      </c>
      <c r="O190" s="30" t="str">
        <f aca="false">IF($E190="","",IFERROR(INDEX('Гео-калькулятор'!$K$7:$K$13,MATCH($C190,'Гео-калькулятор'!$B$7:$B$13,0)),""))</f>
        <v/>
      </c>
      <c r="P190" s="38" t="str">
        <f aca="false">IF($E190="","",IFERROR(N190/O190,""))</f>
        <v/>
      </c>
      <c r="Q190" s="39" t="str">
        <f aca="false">IF($E190="","",IF($I190&lt;&gt;"",$I190,N($H190)*IFERROR(INDEX('Гео-калькулятор'!$E$7:$E$13,MATCH($C190,'Гео-калькулятор'!$B$7:$B$13,0)),0)))</f>
        <v/>
      </c>
      <c r="R190" s="38" t="str">
        <f aca="false">IF($E190="","",IFERROR(Q190/H190,""))</f>
        <v/>
      </c>
      <c r="S190" s="30" t="str">
        <f aca="false">IF($E190="","",IFERROR(E190/Q190,"—"))</f>
        <v/>
      </c>
      <c r="T190" s="30" t="str">
        <f aca="false">IF($E190="","",Q190*IFERROR(INDEX('Гео-калькулятор'!$D$7:$D$13,MATCH($C190,'Гео-калькулятор'!$B$7:$B$13,0)),0))</f>
        <v/>
      </c>
      <c r="U190" s="40" t="str">
        <f aca="false">IF($E190="","",T190-E190)</f>
        <v/>
      </c>
      <c r="V190" s="41" t="str">
        <f aca="false">IF($E190="","",IFERROR(U190/E190,""))</f>
        <v/>
      </c>
      <c r="W190" s="10" t="str">
        <f aca="false">IF($E190="","",IF($I190&lt;&gt;"","факт","прогноз"))</f>
        <v/>
      </c>
      <c r="X190" s="1"/>
      <c r="Y190" s="1"/>
      <c r="Z190" s="1"/>
      <c r="AA190" s="1"/>
      <c r="AB190" s="1"/>
      <c r="AC190" s="1"/>
      <c r="AD190" s="1"/>
    </row>
    <row r="191" customFormat="false" ht="18" hidden="false" customHeight="true" outlineLevel="0" collapsed="false">
      <c r="A191" s="1"/>
      <c r="B191" s="35"/>
      <c r="C191" s="8"/>
      <c r="D191" s="26"/>
      <c r="E191" s="27"/>
      <c r="F191" s="36"/>
      <c r="G191" s="36"/>
      <c r="H191" s="36"/>
      <c r="I191" s="36"/>
      <c r="J191" s="37" t="str">
        <f aca="false">IF($E191="","",IFERROR(G191/F191,""))</f>
        <v/>
      </c>
      <c r="K191" s="30" t="str">
        <f aca="false">IF($E191="","",IFERROR(E191/G191,""))</f>
        <v/>
      </c>
      <c r="L191" s="30" t="str">
        <f aca="false">IF($E191="","",IFERROR(E191/F191*1000,""))</f>
        <v/>
      </c>
      <c r="M191" s="37" t="str">
        <f aca="false">IF($E191="","",IFERROR(H191/G191,""))</f>
        <v/>
      </c>
      <c r="N191" s="30" t="str">
        <f aca="false">IF($E191="","",IFERROR(E191/H191,"—"))</f>
        <v/>
      </c>
      <c r="O191" s="30" t="str">
        <f aca="false">IF($E191="","",IFERROR(INDEX('Гео-калькулятор'!$K$7:$K$13,MATCH($C191,'Гео-калькулятор'!$B$7:$B$13,0)),""))</f>
        <v/>
      </c>
      <c r="P191" s="38" t="str">
        <f aca="false">IF($E191="","",IFERROR(N191/O191,""))</f>
        <v/>
      </c>
      <c r="Q191" s="39" t="str">
        <f aca="false">IF($E191="","",IF($I191&lt;&gt;"",$I191,N($H191)*IFERROR(INDEX('Гео-калькулятор'!$E$7:$E$13,MATCH($C191,'Гео-калькулятор'!$B$7:$B$13,0)),0)))</f>
        <v/>
      </c>
      <c r="R191" s="38" t="str">
        <f aca="false">IF($E191="","",IFERROR(Q191/H191,""))</f>
        <v/>
      </c>
      <c r="S191" s="30" t="str">
        <f aca="false">IF($E191="","",IFERROR(E191/Q191,"—"))</f>
        <v/>
      </c>
      <c r="T191" s="30" t="str">
        <f aca="false">IF($E191="","",Q191*IFERROR(INDEX('Гео-калькулятор'!$D$7:$D$13,MATCH($C191,'Гео-калькулятор'!$B$7:$B$13,0)),0))</f>
        <v/>
      </c>
      <c r="U191" s="40" t="str">
        <f aca="false">IF($E191="","",T191-E191)</f>
        <v/>
      </c>
      <c r="V191" s="41" t="str">
        <f aca="false">IF($E191="","",IFERROR(U191/E191,""))</f>
        <v/>
      </c>
      <c r="W191" s="10" t="str">
        <f aca="false">IF($E191="","",IF($I191&lt;&gt;"","факт","прогноз"))</f>
        <v/>
      </c>
      <c r="X191" s="1"/>
      <c r="Y191" s="1"/>
      <c r="Z191" s="1"/>
      <c r="AA191" s="1"/>
      <c r="AB191" s="1"/>
      <c r="AC191" s="1"/>
      <c r="AD191" s="1"/>
    </row>
    <row r="192" customFormat="false" ht="18" hidden="false" customHeight="true" outlineLevel="0" collapsed="false">
      <c r="A192" s="1"/>
      <c r="B192" s="35"/>
      <c r="C192" s="8"/>
      <c r="D192" s="26"/>
      <c r="E192" s="27"/>
      <c r="F192" s="36"/>
      <c r="G192" s="36"/>
      <c r="H192" s="36"/>
      <c r="I192" s="36"/>
      <c r="J192" s="37" t="str">
        <f aca="false">IF($E192="","",IFERROR(G192/F192,""))</f>
        <v/>
      </c>
      <c r="K192" s="30" t="str">
        <f aca="false">IF($E192="","",IFERROR(E192/G192,""))</f>
        <v/>
      </c>
      <c r="L192" s="30" t="str">
        <f aca="false">IF($E192="","",IFERROR(E192/F192*1000,""))</f>
        <v/>
      </c>
      <c r="M192" s="37" t="str">
        <f aca="false">IF($E192="","",IFERROR(H192/G192,""))</f>
        <v/>
      </c>
      <c r="N192" s="30" t="str">
        <f aca="false">IF($E192="","",IFERROR(E192/H192,"—"))</f>
        <v/>
      </c>
      <c r="O192" s="30" t="str">
        <f aca="false">IF($E192="","",IFERROR(INDEX('Гео-калькулятор'!$K$7:$K$13,MATCH($C192,'Гео-калькулятор'!$B$7:$B$13,0)),""))</f>
        <v/>
      </c>
      <c r="P192" s="38" t="str">
        <f aca="false">IF($E192="","",IFERROR(N192/O192,""))</f>
        <v/>
      </c>
      <c r="Q192" s="39" t="str">
        <f aca="false">IF($E192="","",IF($I192&lt;&gt;"",$I192,N($H192)*IFERROR(INDEX('Гео-калькулятор'!$E$7:$E$13,MATCH($C192,'Гео-калькулятор'!$B$7:$B$13,0)),0)))</f>
        <v/>
      </c>
      <c r="R192" s="38" t="str">
        <f aca="false">IF($E192="","",IFERROR(Q192/H192,""))</f>
        <v/>
      </c>
      <c r="S192" s="30" t="str">
        <f aca="false">IF($E192="","",IFERROR(E192/Q192,"—"))</f>
        <v/>
      </c>
      <c r="T192" s="30" t="str">
        <f aca="false">IF($E192="","",Q192*IFERROR(INDEX('Гео-калькулятор'!$D$7:$D$13,MATCH($C192,'Гео-калькулятор'!$B$7:$B$13,0)),0))</f>
        <v/>
      </c>
      <c r="U192" s="40" t="str">
        <f aca="false">IF($E192="","",T192-E192)</f>
        <v/>
      </c>
      <c r="V192" s="41" t="str">
        <f aca="false">IF($E192="","",IFERROR(U192/E192,""))</f>
        <v/>
      </c>
      <c r="W192" s="10" t="str">
        <f aca="false">IF($E192="","",IF($I192&lt;&gt;"","факт","прогноз"))</f>
        <v/>
      </c>
      <c r="X192" s="1"/>
      <c r="Y192" s="1"/>
      <c r="Z192" s="1"/>
      <c r="AA192" s="1"/>
      <c r="AB192" s="1"/>
      <c r="AC192" s="1"/>
      <c r="AD192" s="1"/>
    </row>
    <row r="193" customFormat="false" ht="18" hidden="false" customHeight="true" outlineLevel="0" collapsed="false">
      <c r="A193" s="1"/>
      <c r="B193" s="35"/>
      <c r="C193" s="8"/>
      <c r="D193" s="26"/>
      <c r="E193" s="27"/>
      <c r="F193" s="36"/>
      <c r="G193" s="36"/>
      <c r="H193" s="36"/>
      <c r="I193" s="36"/>
      <c r="J193" s="37" t="str">
        <f aca="false">IF($E193="","",IFERROR(G193/F193,""))</f>
        <v/>
      </c>
      <c r="K193" s="30" t="str">
        <f aca="false">IF($E193="","",IFERROR(E193/G193,""))</f>
        <v/>
      </c>
      <c r="L193" s="30" t="str">
        <f aca="false">IF($E193="","",IFERROR(E193/F193*1000,""))</f>
        <v/>
      </c>
      <c r="M193" s="37" t="str">
        <f aca="false">IF($E193="","",IFERROR(H193/G193,""))</f>
        <v/>
      </c>
      <c r="N193" s="30" t="str">
        <f aca="false">IF($E193="","",IFERROR(E193/H193,"—"))</f>
        <v/>
      </c>
      <c r="O193" s="30" t="str">
        <f aca="false">IF($E193="","",IFERROR(INDEX('Гео-калькулятор'!$K$7:$K$13,MATCH($C193,'Гео-калькулятор'!$B$7:$B$13,0)),""))</f>
        <v/>
      </c>
      <c r="P193" s="38" t="str">
        <f aca="false">IF($E193="","",IFERROR(N193/O193,""))</f>
        <v/>
      </c>
      <c r="Q193" s="39" t="str">
        <f aca="false">IF($E193="","",IF($I193&lt;&gt;"",$I193,N($H193)*IFERROR(INDEX('Гео-калькулятор'!$E$7:$E$13,MATCH($C193,'Гео-калькулятор'!$B$7:$B$13,0)),0)))</f>
        <v/>
      </c>
      <c r="R193" s="38" t="str">
        <f aca="false">IF($E193="","",IFERROR(Q193/H193,""))</f>
        <v/>
      </c>
      <c r="S193" s="30" t="str">
        <f aca="false">IF($E193="","",IFERROR(E193/Q193,"—"))</f>
        <v/>
      </c>
      <c r="T193" s="30" t="str">
        <f aca="false">IF($E193="","",Q193*IFERROR(INDEX('Гео-калькулятор'!$D$7:$D$13,MATCH($C193,'Гео-калькулятор'!$B$7:$B$13,0)),0))</f>
        <v/>
      </c>
      <c r="U193" s="40" t="str">
        <f aca="false">IF($E193="","",T193-E193)</f>
        <v/>
      </c>
      <c r="V193" s="41" t="str">
        <f aca="false">IF($E193="","",IFERROR(U193/E193,""))</f>
        <v/>
      </c>
      <c r="W193" s="10" t="str">
        <f aca="false">IF($E193="","",IF($I193&lt;&gt;"","факт","прогноз"))</f>
        <v/>
      </c>
      <c r="X193" s="1"/>
      <c r="Y193" s="1"/>
      <c r="Z193" s="1"/>
      <c r="AA193" s="1"/>
      <c r="AB193" s="1"/>
      <c r="AC193" s="1"/>
      <c r="AD193" s="1"/>
    </row>
    <row r="194" customFormat="false" ht="18" hidden="false" customHeight="true" outlineLevel="0" collapsed="false">
      <c r="A194" s="1"/>
      <c r="B194" s="35"/>
      <c r="C194" s="8"/>
      <c r="D194" s="26"/>
      <c r="E194" s="27"/>
      <c r="F194" s="36"/>
      <c r="G194" s="36"/>
      <c r="H194" s="36"/>
      <c r="I194" s="36"/>
      <c r="J194" s="37" t="str">
        <f aca="false">IF($E194="","",IFERROR(G194/F194,""))</f>
        <v/>
      </c>
      <c r="K194" s="30" t="str">
        <f aca="false">IF($E194="","",IFERROR(E194/G194,""))</f>
        <v/>
      </c>
      <c r="L194" s="30" t="str">
        <f aca="false">IF($E194="","",IFERROR(E194/F194*1000,""))</f>
        <v/>
      </c>
      <c r="M194" s="37" t="str">
        <f aca="false">IF($E194="","",IFERROR(H194/G194,""))</f>
        <v/>
      </c>
      <c r="N194" s="30" t="str">
        <f aca="false">IF($E194="","",IFERROR(E194/H194,"—"))</f>
        <v/>
      </c>
      <c r="O194" s="30" t="str">
        <f aca="false">IF($E194="","",IFERROR(INDEX('Гео-калькулятор'!$K$7:$K$13,MATCH($C194,'Гео-калькулятор'!$B$7:$B$13,0)),""))</f>
        <v/>
      </c>
      <c r="P194" s="38" t="str">
        <f aca="false">IF($E194="","",IFERROR(N194/O194,""))</f>
        <v/>
      </c>
      <c r="Q194" s="39" t="str">
        <f aca="false">IF($E194="","",IF($I194&lt;&gt;"",$I194,N($H194)*IFERROR(INDEX('Гео-калькулятор'!$E$7:$E$13,MATCH($C194,'Гео-калькулятор'!$B$7:$B$13,0)),0)))</f>
        <v/>
      </c>
      <c r="R194" s="38" t="str">
        <f aca="false">IF($E194="","",IFERROR(Q194/H194,""))</f>
        <v/>
      </c>
      <c r="S194" s="30" t="str">
        <f aca="false">IF($E194="","",IFERROR(E194/Q194,"—"))</f>
        <v/>
      </c>
      <c r="T194" s="30" t="str">
        <f aca="false">IF($E194="","",Q194*IFERROR(INDEX('Гео-калькулятор'!$D$7:$D$13,MATCH($C194,'Гео-калькулятор'!$B$7:$B$13,0)),0))</f>
        <v/>
      </c>
      <c r="U194" s="40" t="str">
        <f aca="false">IF($E194="","",T194-E194)</f>
        <v/>
      </c>
      <c r="V194" s="41" t="str">
        <f aca="false">IF($E194="","",IFERROR(U194/E194,""))</f>
        <v/>
      </c>
      <c r="W194" s="10" t="str">
        <f aca="false">IF($E194="","",IF($I194&lt;&gt;"","факт","прогноз"))</f>
        <v/>
      </c>
      <c r="X194" s="1"/>
      <c r="Y194" s="1"/>
      <c r="Z194" s="1"/>
      <c r="AA194" s="1"/>
      <c r="AB194" s="1"/>
      <c r="AC194" s="1"/>
      <c r="AD194" s="1"/>
    </row>
    <row r="195" customFormat="false" ht="18" hidden="false" customHeight="true" outlineLevel="0" collapsed="false">
      <c r="A195" s="1"/>
      <c r="B195" s="35"/>
      <c r="C195" s="8"/>
      <c r="D195" s="26"/>
      <c r="E195" s="27"/>
      <c r="F195" s="36"/>
      <c r="G195" s="36"/>
      <c r="H195" s="36"/>
      <c r="I195" s="36"/>
      <c r="J195" s="37" t="str">
        <f aca="false">IF($E195="","",IFERROR(G195/F195,""))</f>
        <v/>
      </c>
      <c r="K195" s="30" t="str">
        <f aca="false">IF($E195="","",IFERROR(E195/G195,""))</f>
        <v/>
      </c>
      <c r="L195" s="30" t="str">
        <f aca="false">IF($E195="","",IFERROR(E195/F195*1000,""))</f>
        <v/>
      </c>
      <c r="M195" s="37" t="str">
        <f aca="false">IF($E195="","",IFERROR(H195/G195,""))</f>
        <v/>
      </c>
      <c r="N195" s="30" t="str">
        <f aca="false">IF($E195="","",IFERROR(E195/H195,"—"))</f>
        <v/>
      </c>
      <c r="O195" s="30" t="str">
        <f aca="false">IF($E195="","",IFERROR(INDEX('Гео-калькулятор'!$K$7:$K$13,MATCH($C195,'Гео-калькулятор'!$B$7:$B$13,0)),""))</f>
        <v/>
      </c>
      <c r="P195" s="38" t="str">
        <f aca="false">IF($E195="","",IFERROR(N195/O195,""))</f>
        <v/>
      </c>
      <c r="Q195" s="39" t="str">
        <f aca="false">IF($E195="","",IF($I195&lt;&gt;"",$I195,N($H195)*IFERROR(INDEX('Гео-калькулятор'!$E$7:$E$13,MATCH($C195,'Гео-калькулятор'!$B$7:$B$13,0)),0)))</f>
        <v/>
      </c>
      <c r="R195" s="38" t="str">
        <f aca="false">IF($E195="","",IFERROR(Q195/H195,""))</f>
        <v/>
      </c>
      <c r="S195" s="30" t="str">
        <f aca="false">IF($E195="","",IFERROR(E195/Q195,"—"))</f>
        <v/>
      </c>
      <c r="T195" s="30" t="str">
        <f aca="false">IF($E195="","",Q195*IFERROR(INDEX('Гео-калькулятор'!$D$7:$D$13,MATCH($C195,'Гео-калькулятор'!$B$7:$B$13,0)),0))</f>
        <v/>
      </c>
      <c r="U195" s="40" t="str">
        <f aca="false">IF($E195="","",T195-E195)</f>
        <v/>
      </c>
      <c r="V195" s="41" t="str">
        <f aca="false">IF($E195="","",IFERROR(U195/E195,""))</f>
        <v/>
      </c>
      <c r="W195" s="10" t="str">
        <f aca="false">IF($E195="","",IF($I195&lt;&gt;"","факт","прогноз"))</f>
        <v/>
      </c>
      <c r="X195" s="1"/>
      <c r="Y195" s="1"/>
      <c r="Z195" s="1"/>
      <c r="AA195" s="1"/>
      <c r="AB195" s="1"/>
      <c r="AC195" s="1"/>
      <c r="AD195" s="1"/>
    </row>
    <row r="196" customFormat="false" ht="18" hidden="false" customHeight="true" outlineLevel="0" collapsed="false">
      <c r="A196" s="1"/>
      <c r="B196" s="35"/>
      <c r="C196" s="8"/>
      <c r="D196" s="26"/>
      <c r="E196" s="27"/>
      <c r="F196" s="36"/>
      <c r="G196" s="36"/>
      <c r="H196" s="36"/>
      <c r="I196" s="36"/>
      <c r="J196" s="37" t="str">
        <f aca="false">IF($E196="","",IFERROR(G196/F196,""))</f>
        <v/>
      </c>
      <c r="K196" s="30" t="str">
        <f aca="false">IF($E196="","",IFERROR(E196/G196,""))</f>
        <v/>
      </c>
      <c r="L196" s="30" t="str">
        <f aca="false">IF($E196="","",IFERROR(E196/F196*1000,""))</f>
        <v/>
      </c>
      <c r="M196" s="37" t="str">
        <f aca="false">IF($E196="","",IFERROR(H196/G196,""))</f>
        <v/>
      </c>
      <c r="N196" s="30" t="str">
        <f aca="false">IF($E196="","",IFERROR(E196/H196,"—"))</f>
        <v/>
      </c>
      <c r="O196" s="30" t="str">
        <f aca="false">IF($E196="","",IFERROR(INDEX('Гео-калькулятор'!$K$7:$K$13,MATCH($C196,'Гео-калькулятор'!$B$7:$B$13,0)),""))</f>
        <v/>
      </c>
      <c r="P196" s="38" t="str">
        <f aca="false">IF($E196="","",IFERROR(N196/O196,""))</f>
        <v/>
      </c>
      <c r="Q196" s="39" t="str">
        <f aca="false">IF($E196="","",IF($I196&lt;&gt;"",$I196,N($H196)*IFERROR(INDEX('Гео-калькулятор'!$E$7:$E$13,MATCH($C196,'Гео-калькулятор'!$B$7:$B$13,0)),0)))</f>
        <v/>
      </c>
      <c r="R196" s="38" t="str">
        <f aca="false">IF($E196="","",IFERROR(Q196/H196,""))</f>
        <v/>
      </c>
      <c r="S196" s="30" t="str">
        <f aca="false">IF($E196="","",IFERROR(E196/Q196,"—"))</f>
        <v/>
      </c>
      <c r="T196" s="30" t="str">
        <f aca="false">IF($E196="","",Q196*IFERROR(INDEX('Гео-калькулятор'!$D$7:$D$13,MATCH($C196,'Гео-калькулятор'!$B$7:$B$13,0)),0))</f>
        <v/>
      </c>
      <c r="U196" s="40" t="str">
        <f aca="false">IF($E196="","",T196-E196)</f>
        <v/>
      </c>
      <c r="V196" s="41" t="str">
        <f aca="false">IF($E196="","",IFERROR(U196/E196,""))</f>
        <v/>
      </c>
      <c r="W196" s="10" t="str">
        <f aca="false">IF($E196="","",IF($I196&lt;&gt;"","факт","прогноз"))</f>
        <v/>
      </c>
      <c r="X196" s="1"/>
      <c r="Y196" s="1"/>
      <c r="Z196" s="1"/>
      <c r="AA196" s="1"/>
      <c r="AB196" s="1"/>
      <c r="AC196" s="1"/>
      <c r="AD196" s="1"/>
    </row>
    <row r="197" customFormat="false" ht="18" hidden="false" customHeight="true" outlineLevel="0" collapsed="false">
      <c r="A197" s="1"/>
      <c r="B197" s="35"/>
      <c r="C197" s="8"/>
      <c r="D197" s="26"/>
      <c r="E197" s="27"/>
      <c r="F197" s="36"/>
      <c r="G197" s="36"/>
      <c r="H197" s="36"/>
      <c r="I197" s="36"/>
      <c r="J197" s="37" t="str">
        <f aca="false">IF($E197="","",IFERROR(G197/F197,""))</f>
        <v/>
      </c>
      <c r="K197" s="30" t="str">
        <f aca="false">IF($E197="","",IFERROR(E197/G197,""))</f>
        <v/>
      </c>
      <c r="L197" s="30" t="str">
        <f aca="false">IF($E197="","",IFERROR(E197/F197*1000,""))</f>
        <v/>
      </c>
      <c r="M197" s="37" t="str">
        <f aca="false">IF($E197="","",IFERROR(H197/G197,""))</f>
        <v/>
      </c>
      <c r="N197" s="30" t="str">
        <f aca="false">IF($E197="","",IFERROR(E197/H197,"—"))</f>
        <v/>
      </c>
      <c r="O197" s="30" t="str">
        <f aca="false">IF($E197="","",IFERROR(INDEX('Гео-калькулятор'!$K$7:$K$13,MATCH($C197,'Гео-калькулятор'!$B$7:$B$13,0)),""))</f>
        <v/>
      </c>
      <c r="P197" s="38" t="str">
        <f aca="false">IF($E197="","",IFERROR(N197/O197,""))</f>
        <v/>
      </c>
      <c r="Q197" s="39" t="str">
        <f aca="false">IF($E197="","",IF($I197&lt;&gt;"",$I197,N($H197)*IFERROR(INDEX('Гео-калькулятор'!$E$7:$E$13,MATCH($C197,'Гео-калькулятор'!$B$7:$B$13,0)),0)))</f>
        <v/>
      </c>
      <c r="R197" s="38" t="str">
        <f aca="false">IF($E197="","",IFERROR(Q197/H197,""))</f>
        <v/>
      </c>
      <c r="S197" s="30" t="str">
        <f aca="false">IF($E197="","",IFERROR(E197/Q197,"—"))</f>
        <v/>
      </c>
      <c r="T197" s="30" t="str">
        <f aca="false">IF($E197="","",Q197*IFERROR(INDEX('Гео-калькулятор'!$D$7:$D$13,MATCH($C197,'Гео-калькулятор'!$B$7:$B$13,0)),0))</f>
        <v/>
      </c>
      <c r="U197" s="40" t="str">
        <f aca="false">IF($E197="","",T197-E197)</f>
        <v/>
      </c>
      <c r="V197" s="41" t="str">
        <f aca="false">IF($E197="","",IFERROR(U197/E197,""))</f>
        <v/>
      </c>
      <c r="W197" s="10" t="str">
        <f aca="false">IF($E197="","",IF($I197&lt;&gt;"","факт","прогноз"))</f>
        <v/>
      </c>
      <c r="X197" s="1"/>
      <c r="Y197" s="1"/>
      <c r="Z197" s="1"/>
      <c r="AA197" s="1"/>
      <c r="AB197" s="1"/>
      <c r="AC197" s="1"/>
      <c r="AD197" s="1"/>
    </row>
    <row r="198" customFormat="false" ht="18" hidden="false" customHeight="true" outlineLevel="0" collapsed="false">
      <c r="A198" s="1"/>
      <c r="B198" s="35"/>
      <c r="C198" s="8"/>
      <c r="D198" s="26"/>
      <c r="E198" s="27"/>
      <c r="F198" s="36"/>
      <c r="G198" s="36"/>
      <c r="H198" s="36"/>
      <c r="I198" s="36"/>
      <c r="J198" s="37" t="str">
        <f aca="false">IF($E198="","",IFERROR(G198/F198,""))</f>
        <v/>
      </c>
      <c r="K198" s="30" t="str">
        <f aca="false">IF($E198="","",IFERROR(E198/G198,""))</f>
        <v/>
      </c>
      <c r="L198" s="30" t="str">
        <f aca="false">IF($E198="","",IFERROR(E198/F198*1000,""))</f>
        <v/>
      </c>
      <c r="M198" s="37" t="str">
        <f aca="false">IF($E198="","",IFERROR(H198/G198,""))</f>
        <v/>
      </c>
      <c r="N198" s="30" t="str">
        <f aca="false">IF($E198="","",IFERROR(E198/H198,"—"))</f>
        <v/>
      </c>
      <c r="O198" s="30" t="str">
        <f aca="false">IF($E198="","",IFERROR(INDEX('Гео-калькулятор'!$K$7:$K$13,MATCH($C198,'Гео-калькулятор'!$B$7:$B$13,0)),""))</f>
        <v/>
      </c>
      <c r="P198" s="38" t="str">
        <f aca="false">IF($E198="","",IFERROR(N198/O198,""))</f>
        <v/>
      </c>
      <c r="Q198" s="39" t="str">
        <f aca="false">IF($E198="","",IF($I198&lt;&gt;"",$I198,N($H198)*IFERROR(INDEX('Гео-калькулятор'!$E$7:$E$13,MATCH($C198,'Гео-калькулятор'!$B$7:$B$13,0)),0)))</f>
        <v/>
      </c>
      <c r="R198" s="38" t="str">
        <f aca="false">IF($E198="","",IFERROR(Q198/H198,""))</f>
        <v/>
      </c>
      <c r="S198" s="30" t="str">
        <f aca="false">IF($E198="","",IFERROR(E198/Q198,"—"))</f>
        <v/>
      </c>
      <c r="T198" s="30" t="str">
        <f aca="false">IF($E198="","",Q198*IFERROR(INDEX('Гео-калькулятор'!$D$7:$D$13,MATCH($C198,'Гео-калькулятор'!$B$7:$B$13,0)),0))</f>
        <v/>
      </c>
      <c r="U198" s="40" t="str">
        <f aca="false">IF($E198="","",T198-E198)</f>
        <v/>
      </c>
      <c r="V198" s="41" t="str">
        <f aca="false">IF($E198="","",IFERROR(U198/E198,""))</f>
        <v/>
      </c>
      <c r="W198" s="10" t="str">
        <f aca="false">IF($E198="","",IF($I198&lt;&gt;"","факт","прогноз"))</f>
        <v/>
      </c>
      <c r="X198" s="1"/>
      <c r="Y198" s="1"/>
      <c r="Z198" s="1"/>
      <c r="AA198" s="1"/>
      <c r="AB198" s="1"/>
      <c r="AC198" s="1"/>
      <c r="AD198" s="1"/>
    </row>
    <row r="199" customFormat="false" ht="18" hidden="false" customHeight="true" outlineLevel="0" collapsed="false">
      <c r="A199" s="1"/>
      <c r="B199" s="35"/>
      <c r="C199" s="8"/>
      <c r="D199" s="26"/>
      <c r="E199" s="27"/>
      <c r="F199" s="36"/>
      <c r="G199" s="36"/>
      <c r="H199" s="36"/>
      <c r="I199" s="36"/>
      <c r="J199" s="37" t="str">
        <f aca="false">IF($E199="","",IFERROR(G199/F199,""))</f>
        <v/>
      </c>
      <c r="K199" s="30" t="str">
        <f aca="false">IF($E199="","",IFERROR(E199/G199,""))</f>
        <v/>
      </c>
      <c r="L199" s="30" t="str">
        <f aca="false">IF($E199="","",IFERROR(E199/F199*1000,""))</f>
        <v/>
      </c>
      <c r="M199" s="37" t="str">
        <f aca="false">IF($E199="","",IFERROR(H199/G199,""))</f>
        <v/>
      </c>
      <c r="N199" s="30" t="str">
        <f aca="false">IF($E199="","",IFERROR(E199/H199,"—"))</f>
        <v/>
      </c>
      <c r="O199" s="30" t="str">
        <f aca="false">IF($E199="","",IFERROR(INDEX('Гео-калькулятор'!$K$7:$K$13,MATCH($C199,'Гео-калькулятор'!$B$7:$B$13,0)),""))</f>
        <v/>
      </c>
      <c r="P199" s="38" t="str">
        <f aca="false">IF($E199="","",IFERROR(N199/O199,""))</f>
        <v/>
      </c>
      <c r="Q199" s="39" t="str">
        <f aca="false">IF($E199="","",IF($I199&lt;&gt;"",$I199,N($H199)*IFERROR(INDEX('Гео-калькулятор'!$E$7:$E$13,MATCH($C199,'Гео-калькулятор'!$B$7:$B$13,0)),0)))</f>
        <v/>
      </c>
      <c r="R199" s="38" t="str">
        <f aca="false">IF($E199="","",IFERROR(Q199/H199,""))</f>
        <v/>
      </c>
      <c r="S199" s="30" t="str">
        <f aca="false">IF($E199="","",IFERROR(E199/Q199,"—"))</f>
        <v/>
      </c>
      <c r="T199" s="30" t="str">
        <f aca="false">IF($E199="","",Q199*IFERROR(INDEX('Гео-калькулятор'!$D$7:$D$13,MATCH($C199,'Гео-калькулятор'!$B$7:$B$13,0)),0))</f>
        <v/>
      </c>
      <c r="U199" s="40" t="str">
        <f aca="false">IF($E199="","",T199-E199)</f>
        <v/>
      </c>
      <c r="V199" s="41" t="str">
        <f aca="false">IF($E199="","",IFERROR(U199/E199,""))</f>
        <v/>
      </c>
      <c r="W199" s="10" t="str">
        <f aca="false">IF($E199="","",IF($I199&lt;&gt;"","факт","прогноз"))</f>
        <v/>
      </c>
      <c r="X199" s="1"/>
      <c r="Y199" s="1"/>
      <c r="Z199" s="1"/>
      <c r="AA199" s="1"/>
      <c r="AB199" s="1"/>
      <c r="AC199" s="1"/>
      <c r="AD199" s="1"/>
    </row>
    <row r="200" customFormat="false" ht="18" hidden="false" customHeight="true" outlineLevel="0" collapsed="false">
      <c r="A200" s="1"/>
      <c r="B200" s="35"/>
      <c r="C200" s="8"/>
      <c r="D200" s="26"/>
      <c r="E200" s="27"/>
      <c r="F200" s="36"/>
      <c r="G200" s="36"/>
      <c r="H200" s="36"/>
      <c r="I200" s="36"/>
      <c r="J200" s="37" t="str">
        <f aca="false">IF($E200="","",IFERROR(G200/F200,""))</f>
        <v/>
      </c>
      <c r="K200" s="30" t="str">
        <f aca="false">IF($E200="","",IFERROR(E200/G200,""))</f>
        <v/>
      </c>
      <c r="L200" s="30" t="str">
        <f aca="false">IF($E200="","",IFERROR(E200/F200*1000,""))</f>
        <v/>
      </c>
      <c r="M200" s="37" t="str">
        <f aca="false">IF($E200="","",IFERROR(H200/G200,""))</f>
        <v/>
      </c>
      <c r="N200" s="30" t="str">
        <f aca="false">IF($E200="","",IFERROR(E200/H200,"—"))</f>
        <v/>
      </c>
      <c r="O200" s="30" t="str">
        <f aca="false">IF($E200="","",IFERROR(INDEX('Гео-калькулятор'!$K$7:$K$13,MATCH($C200,'Гео-калькулятор'!$B$7:$B$13,0)),""))</f>
        <v/>
      </c>
      <c r="P200" s="38" t="str">
        <f aca="false">IF($E200="","",IFERROR(N200/O200,""))</f>
        <v/>
      </c>
      <c r="Q200" s="39" t="str">
        <f aca="false">IF($E200="","",IF($I200&lt;&gt;"",$I200,N($H200)*IFERROR(INDEX('Гео-калькулятор'!$E$7:$E$13,MATCH($C200,'Гео-калькулятор'!$B$7:$B$13,0)),0)))</f>
        <v/>
      </c>
      <c r="R200" s="38" t="str">
        <f aca="false">IF($E200="","",IFERROR(Q200/H200,""))</f>
        <v/>
      </c>
      <c r="S200" s="30" t="str">
        <f aca="false">IF($E200="","",IFERROR(E200/Q200,"—"))</f>
        <v/>
      </c>
      <c r="T200" s="30" t="str">
        <f aca="false">IF($E200="","",Q200*IFERROR(INDEX('Гео-калькулятор'!$D$7:$D$13,MATCH($C200,'Гео-калькулятор'!$B$7:$B$13,0)),0))</f>
        <v/>
      </c>
      <c r="U200" s="40" t="str">
        <f aca="false">IF($E200="","",T200-E200)</f>
        <v/>
      </c>
      <c r="V200" s="41" t="str">
        <f aca="false">IF($E200="","",IFERROR(U200/E200,""))</f>
        <v/>
      </c>
      <c r="W200" s="10" t="str">
        <f aca="false">IF($E200="","",IF($I200&lt;&gt;"","факт","прогноз"))</f>
        <v/>
      </c>
      <c r="X200" s="1"/>
      <c r="Y200" s="1"/>
      <c r="Z200" s="1"/>
      <c r="AA200" s="1"/>
      <c r="AB200" s="1"/>
      <c r="AC200" s="1"/>
      <c r="AD200" s="1"/>
    </row>
    <row r="201" customFormat="false" ht="18" hidden="false" customHeight="true" outlineLevel="0" collapsed="false">
      <c r="A201" s="1"/>
      <c r="B201" s="35"/>
      <c r="C201" s="8"/>
      <c r="D201" s="26"/>
      <c r="E201" s="27"/>
      <c r="F201" s="36"/>
      <c r="G201" s="36"/>
      <c r="H201" s="36"/>
      <c r="I201" s="36"/>
      <c r="J201" s="37" t="str">
        <f aca="false">IF($E201="","",IFERROR(G201/F201,""))</f>
        <v/>
      </c>
      <c r="K201" s="30" t="str">
        <f aca="false">IF($E201="","",IFERROR(E201/G201,""))</f>
        <v/>
      </c>
      <c r="L201" s="30" t="str">
        <f aca="false">IF($E201="","",IFERROR(E201/F201*1000,""))</f>
        <v/>
      </c>
      <c r="M201" s="37" t="str">
        <f aca="false">IF($E201="","",IFERROR(H201/G201,""))</f>
        <v/>
      </c>
      <c r="N201" s="30" t="str">
        <f aca="false">IF($E201="","",IFERROR(E201/H201,"—"))</f>
        <v/>
      </c>
      <c r="O201" s="30" t="str">
        <f aca="false">IF($E201="","",IFERROR(INDEX('Гео-калькулятор'!$K$7:$K$13,MATCH($C201,'Гео-калькулятор'!$B$7:$B$13,0)),""))</f>
        <v/>
      </c>
      <c r="P201" s="38" t="str">
        <f aca="false">IF($E201="","",IFERROR(N201/O201,""))</f>
        <v/>
      </c>
      <c r="Q201" s="39" t="str">
        <f aca="false">IF($E201="","",IF($I201&lt;&gt;"",$I201,N($H201)*IFERROR(INDEX('Гео-калькулятор'!$E$7:$E$13,MATCH($C201,'Гео-калькулятор'!$B$7:$B$13,0)),0)))</f>
        <v/>
      </c>
      <c r="R201" s="38" t="str">
        <f aca="false">IF($E201="","",IFERROR(Q201/H201,""))</f>
        <v/>
      </c>
      <c r="S201" s="30" t="str">
        <f aca="false">IF($E201="","",IFERROR(E201/Q201,"—"))</f>
        <v/>
      </c>
      <c r="T201" s="30" t="str">
        <f aca="false">IF($E201="","",Q201*IFERROR(INDEX('Гео-калькулятор'!$D$7:$D$13,MATCH($C201,'Гео-калькулятор'!$B$7:$B$13,0)),0))</f>
        <v/>
      </c>
      <c r="U201" s="40" t="str">
        <f aca="false">IF($E201="","",T201-E201)</f>
        <v/>
      </c>
      <c r="V201" s="41" t="str">
        <f aca="false">IF($E201="","",IFERROR(U201/E201,""))</f>
        <v/>
      </c>
      <c r="W201" s="10" t="str">
        <f aca="false">IF($E201="","",IF($I201&lt;&gt;"","факт","прогноз"))</f>
        <v/>
      </c>
      <c r="X201" s="1"/>
      <c r="Y201" s="1"/>
      <c r="Z201" s="1"/>
      <c r="AA201" s="1"/>
      <c r="AB201" s="1"/>
      <c r="AC201" s="1"/>
      <c r="AD201" s="1"/>
    </row>
    <row r="202" customFormat="false" ht="18" hidden="false" customHeight="true" outlineLevel="0" collapsed="false">
      <c r="A202" s="1"/>
      <c r="B202" s="35"/>
      <c r="C202" s="8"/>
      <c r="D202" s="26"/>
      <c r="E202" s="27"/>
      <c r="F202" s="36"/>
      <c r="G202" s="36"/>
      <c r="H202" s="36"/>
      <c r="I202" s="36"/>
      <c r="J202" s="37" t="str">
        <f aca="false">IF($E202="","",IFERROR(G202/F202,""))</f>
        <v/>
      </c>
      <c r="K202" s="30" t="str">
        <f aca="false">IF($E202="","",IFERROR(E202/G202,""))</f>
        <v/>
      </c>
      <c r="L202" s="30" t="str">
        <f aca="false">IF($E202="","",IFERROR(E202/F202*1000,""))</f>
        <v/>
      </c>
      <c r="M202" s="37" t="str">
        <f aca="false">IF($E202="","",IFERROR(H202/G202,""))</f>
        <v/>
      </c>
      <c r="N202" s="30" t="str">
        <f aca="false">IF($E202="","",IFERROR(E202/H202,"—"))</f>
        <v/>
      </c>
      <c r="O202" s="30" t="str">
        <f aca="false">IF($E202="","",IFERROR(INDEX('Гео-калькулятор'!$K$7:$K$13,MATCH($C202,'Гео-калькулятор'!$B$7:$B$13,0)),""))</f>
        <v/>
      </c>
      <c r="P202" s="38" t="str">
        <f aca="false">IF($E202="","",IFERROR(N202/O202,""))</f>
        <v/>
      </c>
      <c r="Q202" s="39" t="str">
        <f aca="false">IF($E202="","",IF($I202&lt;&gt;"",$I202,N($H202)*IFERROR(INDEX('Гео-калькулятор'!$E$7:$E$13,MATCH($C202,'Гео-калькулятор'!$B$7:$B$13,0)),0)))</f>
        <v/>
      </c>
      <c r="R202" s="38" t="str">
        <f aca="false">IF($E202="","",IFERROR(Q202/H202,""))</f>
        <v/>
      </c>
      <c r="S202" s="30" t="str">
        <f aca="false">IF($E202="","",IFERROR(E202/Q202,"—"))</f>
        <v/>
      </c>
      <c r="T202" s="30" t="str">
        <f aca="false">IF($E202="","",Q202*IFERROR(INDEX('Гео-калькулятор'!$D$7:$D$13,MATCH($C202,'Гео-калькулятор'!$B$7:$B$13,0)),0))</f>
        <v/>
      </c>
      <c r="U202" s="40" t="str">
        <f aca="false">IF($E202="","",T202-E202)</f>
        <v/>
      </c>
      <c r="V202" s="41" t="str">
        <f aca="false">IF($E202="","",IFERROR(U202/E202,""))</f>
        <v/>
      </c>
      <c r="W202" s="10" t="str">
        <f aca="false">IF($E202="","",IF($I202&lt;&gt;"","факт","прогноз"))</f>
        <v/>
      </c>
      <c r="X202" s="1"/>
      <c r="Y202" s="1"/>
      <c r="Z202" s="1"/>
      <c r="AA202" s="1"/>
      <c r="AB202" s="1"/>
      <c r="AC202" s="1"/>
      <c r="AD202" s="1"/>
    </row>
    <row r="203" customFormat="false" ht="18" hidden="false" customHeight="true" outlineLevel="0" collapsed="false">
      <c r="A203" s="1"/>
      <c r="B203" s="35"/>
      <c r="C203" s="8"/>
      <c r="D203" s="26"/>
      <c r="E203" s="27"/>
      <c r="F203" s="36"/>
      <c r="G203" s="36"/>
      <c r="H203" s="36"/>
      <c r="I203" s="36"/>
      <c r="J203" s="37" t="str">
        <f aca="false">IF($E203="","",IFERROR(G203/F203,""))</f>
        <v/>
      </c>
      <c r="K203" s="30" t="str">
        <f aca="false">IF($E203="","",IFERROR(E203/G203,""))</f>
        <v/>
      </c>
      <c r="L203" s="30" t="str">
        <f aca="false">IF($E203="","",IFERROR(E203/F203*1000,""))</f>
        <v/>
      </c>
      <c r="M203" s="37" t="str">
        <f aca="false">IF($E203="","",IFERROR(H203/G203,""))</f>
        <v/>
      </c>
      <c r="N203" s="30" t="str">
        <f aca="false">IF($E203="","",IFERROR(E203/H203,"—"))</f>
        <v/>
      </c>
      <c r="O203" s="30" t="str">
        <f aca="false">IF($E203="","",IFERROR(INDEX('Гео-калькулятор'!$K$7:$K$13,MATCH($C203,'Гео-калькулятор'!$B$7:$B$13,0)),""))</f>
        <v/>
      </c>
      <c r="P203" s="38" t="str">
        <f aca="false">IF($E203="","",IFERROR(N203/O203,""))</f>
        <v/>
      </c>
      <c r="Q203" s="39" t="str">
        <f aca="false">IF($E203="","",IF($I203&lt;&gt;"",$I203,N($H203)*IFERROR(INDEX('Гео-калькулятор'!$E$7:$E$13,MATCH($C203,'Гео-калькулятор'!$B$7:$B$13,0)),0)))</f>
        <v/>
      </c>
      <c r="R203" s="38" t="str">
        <f aca="false">IF($E203="","",IFERROR(Q203/H203,""))</f>
        <v/>
      </c>
      <c r="S203" s="30" t="str">
        <f aca="false">IF($E203="","",IFERROR(E203/Q203,"—"))</f>
        <v/>
      </c>
      <c r="T203" s="30" t="str">
        <f aca="false">IF($E203="","",Q203*IFERROR(INDEX('Гео-калькулятор'!$D$7:$D$13,MATCH($C203,'Гео-калькулятор'!$B$7:$B$13,0)),0))</f>
        <v/>
      </c>
      <c r="U203" s="40" t="str">
        <f aca="false">IF($E203="","",T203-E203)</f>
        <v/>
      </c>
      <c r="V203" s="41" t="str">
        <f aca="false">IF($E203="","",IFERROR(U203/E203,""))</f>
        <v/>
      </c>
      <c r="W203" s="10" t="str">
        <f aca="false">IF($E203="","",IF($I203&lt;&gt;"","факт","прогноз"))</f>
        <v/>
      </c>
      <c r="X203" s="1"/>
      <c r="Y203" s="1"/>
      <c r="Z203" s="1"/>
      <c r="AA203" s="1"/>
      <c r="AB203" s="1"/>
      <c r="AC203" s="1"/>
      <c r="AD203" s="1"/>
    </row>
    <row r="204" customFormat="false" ht="18" hidden="false" customHeight="true" outlineLevel="0" collapsed="false">
      <c r="A204" s="1"/>
      <c r="B204" s="35"/>
      <c r="C204" s="8"/>
      <c r="D204" s="26"/>
      <c r="E204" s="27"/>
      <c r="F204" s="36"/>
      <c r="G204" s="36"/>
      <c r="H204" s="36"/>
      <c r="I204" s="36"/>
      <c r="J204" s="37" t="str">
        <f aca="false">IF($E204="","",IFERROR(G204/F204,""))</f>
        <v/>
      </c>
      <c r="K204" s="30" t="str">
        <f aca="false">IF($E204="","",IFERROR(E204/G204,""))</f>
        <v/>
      </c>
      <c r="L204" s="30" t="str">
        <f aca="false">IF($E204="","",IFERROR(E204/F204*1000,""))</f>
        <v/>
      </c>
      <c r="M204" s="37" t="str">
        <f aca="false">IF($E204="","",IFERROR(H204/G204,""))</f>
        <v/>
      </c>
      <c r="N204" s="30" t="str">
        <f aca="false">IF($E204="","",IFERROR(E204/H204,"—"))</f>
        <v/>
      </c>
      <c r="O204" s="30" t="str">
        <f aca="false">IF($E204="","",IFERROR(INDEX('Гео-калькулятор'!$K$7:$K$13,MATCH($C204,'Гео-калькулятор'!$B$7:$B$13,0)),""))</f>
        <v/>
      </c>
      <c r="P204" s="38" t="str">
        <f aca="false">IF($E204="","",IFERROR(N204/O204,""))</f>
        <v/>
      </c>
      <c r="Q204" s="39" t="str">
        <f aca="false">IF($E204="","",IF($I204&lt;&gt;"",$I204,N($H204)*IFERROR(INDEX('Гео-калькулятор'!$E$7:$E$13,MATCH($C204,'Гео-калькулятор'!$B$7:$B$13,0)),0)))</f>
        <v/>
      </c>
      <c r="R204" s="38" t="str">
        <f aca="false">IF($E204="","",IFERROR(Q204/H204,""))</f>
        <v/>
      </c>
      <c r="S204" s="30" t="str">
        <f aca="false">IF($E204="","",IFERROR(E204/Q204,"—"))</f>
        <v/>
      </c>
      <c r="T204" s="30" t="str">
        <f aca="false">IF($E204="","",Q204*IFERROR(INDEX('Гео-калькулятор'!$D$7:$D$13,MATCH($C204,'Гео-калькулятор'!$B$7:$B$13,0)),0))</f>
        <v/>
      </c>
      <c r="U204" s="40" t="str">
        <f aca="false">IF($E204="","",T204-E204)</f>
        <v/>
      </c>
      <c r="V204" s="41" t="str">
        <f aca="false">IF($E204="","",IFERROR(U204/E204,""))</f>
        <v/>
      </c>
      <c r="W204" s="10" t="str">
        <f aca="false">IF($E204="","",IF($I204&lt;&gt;"","факт","прогноз"))</f>
        <v/>
      </c>
      <c r="X204" s="1"/>
      <c r="Y204" s="1"/>
      <c r="Z204" s="1"/>
      <c r="AA204" s="1"/>
      <c r="AB204" s="1"/>
      <c r="AC204" s="1"/>
      <c r="AD204" s="1"/>
    </row>
    <row r="205" customFormat="false" ht="18" hidden="false" customHeight="true" outlineLevel="0" collapsed="false">
      <c r="A205" s="1"/>
      <c r="B205" s="35"/>
      <c r="C205" s="8"/>
      <c r="D205" s="26"/>
      <c r="E205" s="27"/>
      <c r="F205" s="36"/>
      <c r="G205" s="36"/>
      <c r="H205" s="36"/>
      <c r="I205" s="36"/>
      <c r="J205" s="37" t="str">
        <f aca="false">IF($E205="","",IFERROR(G205/F205,""))</f>
        <v/>
      </c>
      <c r="K205" s="30" t="str">
        <f aca="false">IF($E205="","",IFERROR(E205/G205,""))</f>
        <v/>
      </c>
      <c r="L205" s="30" t="str">
        <f aca="false">IF($E205="","",IFERROR(E205/F205*1000,""))</f>
        <v/>
      </c>
      <c r="M205" s="37" t="str">
        <f aca="false">IF($E205="","",IFERROR(H205/G205,""))</f>
        <v/>
      </c>
      <c r="N205" s="30" t="str">
        <f aca="false">IF($E205="","",IFERROR(E205/H205,"—"))</f>
        <v/>
      </c>
      <c r="O205" s="30" t="str">
        <f aca="false">IF($E205="","",IFERROR(INDEX('Гео-калькулятор'!$K$7:$K$13,MATCH($C205,'Гео-калькулятор'!$B$7:$B$13,0)),""))</f>
        <v/>
      </c>
      <c r="P205" s="38" t="str">
        <f aca="false">IF($E205="","",IFERROR(N205/O205,""))</f>
        <v/>
      </c>
      <c r="Q205" s="39" t="str">
        <f aca="false">IF($E205="","",IF($I205&lt;&gt;"",$I205,N($H205)*IFERROR(INDEX('Гео-калькулятор'!$E$7:$E$13,MATCH($C205,'Гео-калькулятор'!$B$7:$B$13,0)),0)))</f>
        <v/>
      </c>
      <c r="R205" s="38" t="str">
        <f aca="false">IF($E205="","",IFERROR(Q205/H205,""))</f>
        <v/>
      </c>
      <c r="S205" s="30" t="str">
        <f aca="false">IF($E205="","",IFERROR(E205/Q205,"—"))</f>
        <v/>
      </c>
      <c r="T205" s="30" t="str">
        <f aca="false">IF($E205="","",Q205*IFERROR(INDEX('Гео-калькулятор'!$D$7:$D$13,MATCH($C205,'Гео-калькулятор'!$B$7:$B$13,0)),0))</f>
        <v/>
      </c>
      <c r="U205" s="40" t="str">
        <f aca="false">IF($E205="","",T205-E205)</f>
        <v/>
      </c>
      <c r="V205" s="41" t="str">
        <f aca="false">IF($E205="","",IFERROR(U205/E205,""))</f>
        <v/>
      </c>
      <c r="W205" s="10" t="str">
        <f aca="false">IF($E205="","",IF($I205&lt;&gt;"","факт","прогноз"))</f>
        <v/>
      </c>
      <c r="X205" s="1"/>
      <c r="Y205" s="1"/>
      <c r="Z205" s="1"/>
      <c r="AA205" s="1"/>
      <c r="AB205" s="1"/>
      <c r="AC205" s="1"/>
      <c r="AD205" s="1"/>
    </row>
    <row r="206" customFormat="false" ht="18" hidden="false" customHeight="true" outlineLevel="0" collapsed="false">
      <c r="A206" s="1"/>
      <c r="B206" s="35"/>
      <c r="C206" s="8"/>
      <c r="D206" s="26"/>
      <c r="E206" s="27"/>
      <c r="F206" s="36"/>
      <c r="G206" s="36"/>
      <c r="H206" s="36"/>
      <c r="I206" s="36"/>
      <c r="J206" s="37" t="str">
        <f aca="false">IF($E206="","",IFERROR(G206/F206,""))</f>
        <v/>
      </c>
      <c r="K206" s="30" t="str">
        <f aca="false">IF($E206="","",IFERROR(E206/G206,""))</f>
        <v/>
      </c>
      <c r="L206" s="30" t="str">
        <f aca="false">IF($E206="","",IFERROR(E206/F206*1000,""))</f>
        <v/>
      </c>
      <c r="M206" s="37" t="str">
        <f aca="false">IF($E206="","",IFERROR(H206/G206,""))</f>
        <v/>
      </c>
      <c r="N206" s="30" t="str">
        <f aca="false">IF($E206="","",IFERROR(E206/H206,"—"))</f>
        <v/>
      </c>
      <c r="O206" s="30" t="str">
        <f aca="false">IF($E206="","",IFERROR(INDEX('Гео-калькулятор'!$K$7:$K$13,MATCH($C206,'Гео-калькулятор'!$B$7:$B$13,0)),""))</f>
        <v/>
      </c>
      <c r="P206" s="38" t="str">
        <f aca="false">IF($E206="","",IFERROR(N206/O206,""))</f>
        <v/>
      </c>
      <c r="Q206" s="39" t="str">
        <f aca="false">IF($E206="","",IF($I206&lt;&gt;"",$I206,N($H206)*IFERROR(INDEX('Гео-калькулятор'!$E$7:$E$13,MATCH($C206,'Гео-калькулятор'!$B$7:$B$13,0)),0)))</f>
        <v/>
      </c>
      <c r="R206" s="38" t="str">
        <f aca="false">IF($E206="","",IFERROR(Q206/H206,""))</f>
        <v/>
      </c>
      <c r="S206" s="30" t="str">
        <f aca="false">IF($E206="","",IFERROR(E206/Q206,"—"))</f>
        <v/>
      </c>
      <c r="T206" s="30" t="str">
        <f aca="false">IF($E206="","",Q206*IFERROR(INDEX('Гео-калькулятор'!$D$7:$D$13,MATCH($C206,'Гео-калькулятор'!$B$7:$B$13,0)),0))</f>
        <v/>
      </c>
      <c r="U206" s="40" t="str">
        <f aca="false">IF($E206="","",T206-E206)</f>
        <v/>
      </c>
      <c r="V206" s="41" t="str">
        <f aca="false">IF($E206="","",IFERROR(U206/E206,""))</f>
        <v/>
      </c>
      <c r="W206" s="10" t="str">
        <f aca="false">IF($E206="","",IF($I206&lt;&gt;"","факт","прогноз"))</f>
        <v/>
      </c>
      <c r="X206" s="1"/>
      <c r="Y206" s="1"/>
      <c r="Z206" s="1"/>
      <c r="AA206" s="1"/>
      <c r="AB206" s="1"/>
      <c r="AC206" s="1"/>
      <c r="AD206" s="1"/>
    </row>
    <row r="207" customFormat="false" ht="18" hidden="false" customHeight="true" outlineLevel="0" collapsed="false">
      <c r="A207" s="1"/>
      <c r="B207" s="35"/>
      <c r="C207" s="8"/>
      <c r="D207" s="26"/>
      <c r="E207" s="27"/>
      <c r="F207" s="36"/>
      <c r="G207" s="36"/>
      <c r="H207" s="36"/>
      <c r="I207" s="36"/>
      <c r="J207" s="37" t="str">
        <f aca="false">IF($E207="","",IFERROR(G207/F207,""))</f>
        <v/>
      </c>
      <c r="K207" s="30" t="str">
        <f aca="false">IF($E207="","",IFERROR(E207/G207,""))</f>
        <v/>
      </c>
      <c r="L207" s="30" t="str">
        <f aca="false">IF($E207="","",IFERROR(E207/F207*1000,""))</f>
        <v/>
      </c>
      <c r="M207" s="37" t="str">
        <f aca="false">IF($E207="","",IFERROR(H207/G207,""))</f>
        <v/>
      </c>
      <c r="N207" s="30" t="str">
        <f aca="false">IF($E207="","",IFERROR(E207/H207,"—"))</f>
        <v/>
      </c>
      <c r="O207" s="30" t="str">
        <f aca="false">IF($E207="","",IFERROR(INDEX('Гео-калькулятор'!$K$7:$K$13,MATCH($C207,'Гео-калькулятор'!$B$7:$B$13,0)),""))</f>
        <v/>
      </c>
      <c r="P207" s="38" t="str">
        <f aca="false">IF($E207="","",IFERROR(N207/O207,""))</f>
        <v/>
      </c>
      <c r="Q207" s="39" t="str">
        <f aca="false">IF($E207="","",IF($I207&lt;&gt;"",$I207,N($H207)*IFERROR(INDEX('Гео-калькулятор'!$E$7:$E$13,MATCH($C207,'Гео-калькулятор'!$B$7:$B$13,0)),0)))</f>
        <v/>
      </c>
      <c r="R207" s="38" t="str">
        <f aca="false">IF($E207="","",IFERROR(Q207/H207,""))</f>
        <v/>
      </c>
      <c r="S207" s="30" t="str">
        <f aca="false">IF($E207="","",IFERROR(E207/Q207,"—"))</f>
        <v/>
      </c>
      <c r="T207" s="30" t="str">
        <f aca="false">IF($E207="","",Q207*IFERROR(INDEX('Гео-калькулятор'!$D$7:$D$13,MATCH($C207,'Гео-калькулятор'!$B$7:$B$13,0)),0))</f>
        <v/>
      </c>
      <c r="U207" s="40" t="str">
        <f aca="false">IF($E207="","",T207-E207)</f>
        <v/>
      </c>
      <c r="V207" s="41" t="str">
        <f aca="false">IF($E207="","",IFERROR(U207/E207,""))</f>
        <v/>
      </c>
      <c r="W207" s="10" t="str">
        <f aca="false">IF($E207="","",IF($I207&lt;&gt;"","факт","прогноз"))</f>
        <v/>
      </c>
      <c r="X207" s="1"/>
      <c r="Y207" s="1"/>
      <c r="Z207" s="1"/>
      <c r="AA207" s="1"/>
      <c r="AB207" s="1"/>
      <c r="AC207" s="1"/>
      <c r="AD207" s="1"/>
    </row>
    <row r="208" customFormat="false" ht="18" hidden="false" customHeight="true" outlineLevel="0" collapsed="false">
      <c r="A208" s="1"/>
      <c r="B208" s="35"/>
      <c r="C208" s="8"/>
      <c r="D208" s="26"/>
      <c r="E208" s="27"/>
      <c r="F208" s="36"/>
      <c r="G208" s="36"/>
      <c r="H208" s="36"/>
      <c r="I208" s="36"/>
      <c r="J208" s="37" t="str">
        <f aca="false">IF($E208="","",IFERROR(G208/F208,""))</f>
        <v/>
      </c>
      <c r="K208" s="30" t="str">
        <f aca="false">IF($E208="","",IFERROR(E208/G208,""))</f>
        <v/>
      </c>
      <c r="L208" s="30" t="str">
        <f aca="false">IF($E208="","",IFERROR(E208/F208*1000,""))</f>
        <v/>
      </c>
      <c r="M208" s="37" t="str">
        <f aca="false">IF($E208="","",IFERROR(H208/G208,""))</f>
        <v/>
      </c>
      <c r="N208" s="30" t="str">
        <f aca="false">IF($E208="","",IFERROR(E208/H208,"—"))</f>
        <v/>
      </c>
      <c r="O208" s="30" t="str">
        <f aca="false">IF($E208="","",IFERROR(INDEX('Гео-калькулятор'!$K$7:$K$13,MATCH($C208,'Гео-калькулятор'!$B$7:$B$13,0)),""))</f>
        <v/>
      </c>
      <c r="P208" s="38" t="str">
        <f aca="false">IF($E208="","",IFERROR(N208/O208,""))</f>
        <v/>
      </c>
      <c r="Q208" s="39" t="str">
        <f aca="false">IF($E208="","",IF($I208&lt;&gt;"",$I208,N($H208)*IFERROR(INDEX('Гео-калькулятор'!$E$7:$E$13,MATCH($C208,'Гео-калькулятор'!$B$7:$B$13,0)),0)))</f>
        <v/>
      </c>
      <c r="R208" s="38" t="str">
        <f aca="false">IF($E208="","",IFERROR(Q208/H208,""))</f>
        <v/>
      </c>
      <c r="S208" s="30" t="str">
        <f aca="false">IF($E208="","",IFERROR(E208/Q208,"—"))</f>
        <v/>
      </c>
      <c r="T208" s="30" t="str">
        <f aca="false">IF($E208="","",Q208*IFERROR(INDEX('Гео-калькулятор'!$D$7:$D$13,MATCH($C208,'Гео-калькулятор'!$B$7:$B$13,0)),0))</f>
        <v/>
      </c>
      <c r="U208" s="40" t="str">
        <f aca="false">IF($E208="","",T208-E208)</f>
        <v/>
      </c>
      <c r="V208" s="41" t="str">
        <f aca="false">IF($E208="","",IFERROR(U208/E208,""))</f>
        <v/>
      </c>
      <c r="W208" s="10" t="str">
        <f aca="false">IF($E208="","",IF($I208&lt;&gt;"","факт","прогноз"))</f>
        <v/>
      </c>
      <c r="X208" s="1"/>
      <c r="Y208" s="1"/>
      <c r="Z208" s="1"/>
      <c r="AA208" s="1"/>
      <c r="AB208" s="1"/>
      <c r="AC208" s="1"/>
      <c r="AD208" s="1"/>
    </row>
    <row r="209" customFormat="false" ht="18" hidden="false" customHeight="true" outlineLevel="0" collapsed="false">
      <c r="A209" s="1"/>
      <c r="B209" s="35"/>
      <c r="C209" s="8"/>
      <c r="D209" s="26"/>
      <c r="E209" s="27"/>
      <c r="F209" s="36"/>
      <c r="G209" s="36"/>
      <c r="H209" s="36"/>
      <c r="I209" s="36"/>
      <c r="J209" s="37" t="str">
        <f aca="false">IF($E209="","",IFERROR(G209/F209,""))</f>
        <v/>
      </c>
      <c r="K209" s="30" t="str">
        <f aca="false">IF($E209="","",IFERROR(E209/G209,""))</f>
        <v/>
      </c>
      <c r="L209" s="30" t="str">
        <f aca="false">IF($E209="","",IFERROR(E209/F209*1000,""))</f>
        <v/>
      </c>
      <c r="M209" s="37" t="str">
        <f aca="false">IF($E209="","",IFERROR(H209/G209,""))</f>
        <v/>
      </c>
      <c r="N209" s="30" t="str">
        <f aca="false">IF($E209="","",IFERROR(E209/H209,"—"))</f>
        <v/>
      </c>
      <c r="O209" s="30" t="str">
        <f aca="false">IF($E209="","",IFERROR(INDEX('Гео-калькулятор'!$K$7:$K$13,MATCH($C209,'Гео-калькулятор'!$B$7:$B$13,0)),""))</f>
        <v/>
      </c>
      <c r="P209" s="38" t="str">
        <f aca="false">IF($E209="","",IFERROR(N209/O209,""))</f>
        <v/>
      </c>
      <c r="Q209" s="39" t="str">
        <f aca="false">IF($E209="","",IF($I209&lt;&gt;"",$I209,N($H209)*IFERROR(INDEX('Гео-калькулятор'!$E$7:$E$13,MATCH($C209,'Гео-калькулятор'!$B$7:$B$13,0)),0)))</f>
        <v/>
      </c>
      <c r="R209" s="38" t="str">
        <f aca="false">IF($E209="","",IFERROR(Q209/H209,""))</f>
        <v/>
      </c>
      <c r="S209" s="30" t="str">
        <f aca="false">IF($E209="","",IFERROR(E209/Q209,"—"))</f>
        <v/>
      </c>
      <c r="T209" s="30" t="str">
        <f aca="false">IF($E209="","",Q209*IFERROR(INDEX('Гео-калькулятор'!$D$7:$D$13,MATCH($C209,'Гео-калькулятор'!$B$7:$B$13,0)),0))</f>
        <v/>
      </c>
      <c r="U209" s="40" t="str">
        <f aca="false">IF($E209="","",T209-E209)</f>
        <v/>
      </c>
      <c r="V209" s="41" t="str">
        <f aca="false">IF($E209="","",IFERROR(U209/E209,""))</f>
        <v/>
      </c>
      <c r="W209" s="10" t="str">
        <f aca="false">IF($E209="","",IF($I209&lt;&gt;"","факт","прогноз"))</f>
        <v/>
      </c>
      <c r="X209" s="1"/>
      <c r="Y209" s="1"/>
      <c r="Z209" s="1"/>
      <c r="AA209" s="1"/>
      <c r="AB209" s="1"/>
      <c r="AC209" s="1"/>
      <c r="AD209" s="1"/>
    </row>
    <row r="210" customFormat="false" ht="18" hidden="false" customHeight="true" outlineLevel="0" collapsed="false">
      <c r="A210" s="1"/>
      <c r="B210" s="35"/>
      <c r="C210" s="8"/>
      <c r="D210" s="26"/>
      <c r="E210" s="27"/>
      <c r="F210" s="36"/>
      <c r="G210" s="36"/>
      <c r="H210" s="36"/>
      <c r="I210" s="36"/>
      <c r="J210" s="37" t="str">
        <f aca="false">IF($E210="","",IFERROR(G210/F210,""))</f>
        <v/>
      </c>
      <c r="K210" s="30" t="str">
        <f aca="false">IF($E210="","",IFERROR(E210/G210,""))</f>
        <v/>
      </c>
      <c r="L210" s="30" t="str">
        <f aca="false">IF($E210="","",IFERROR(E210/F210*1000,""))</f>
        <v/>
      </c>
      <c r="M210" s="37" t="str">
        <f aca="false">IF($E210="","",IFERROR(H210/G210,""))</f>
        <v/>
      </c>
      <c r="N210" s="30" t="str">
        <f aca="false">IF($E210="","",IFERROR(E210/H210,"—"))</f>
        <v/>
      </c>
      <c r="O210" s="30" t="str">
        <f aca="false">IF($E210="","",IFERROR(INDEX('Гео-калькулятор'!$K$7:$K$13,MATCH($C210,'Гео-калькулятор'!$B$7:$B$13,0)),""))</f>
        <v/>
      </c>
      <c r="P210" s="38" t="str">
        <f aca="false">IF($E210="","",IFERROR(N210/O210,""))</f>
        <v/>
      </c>
      <c r="Q210" s="39" t="str">
        <f aca="false">IF($E210="","",IF($I210&lt;&gt;"",$I210,N($H210)*IFERROR(INDEX('Гео-калькулятор'!$E$7:$E$13,MATCH($C210,'Гео-калькулятор'!$B$7:$B$13,0)),0)))</f>
        <v/>
      </c>
      <c r="R210" s="38" t="str">
        <f aca="false">IF($E210="","",IFERROR(Q210/H210,""))</f>
        <v/>
      </c>
      <c r="S210" s="30" t="str">
        <f aca="false">IF($E210="","",IFERROR(E210/Q210,"—"))</f>
        <v/>
      </c>
      <c r="T210" s="30" t="str">
        <f aca="false">IF($E210="","",Q210*IFERROR(INDEX('Гео-калькулятор'!$D$7:$D$13,MATCH($C210,'Гео-калькулятор'!$B$7:$B$13,0)),0))</f>
        <v/>
      </c>
      <c r="U210" s="40" t="str">
        <f aca="false">IF($E210="","",T210-E210)</f>
        <v/>
      </c>
      <c r="V210" s="41" t="str">
        <f aca="false">IF($E210="","",IFERROR(U210/E210,""))</f>
        <v/>
      </c>
      <c r="W210" s="10" t="str">
        <f aca="false">IF($E210="","",IF($I210&lt;&gt;"","факт","прогноз"))</f>
        <v/>
      </c>
      <c r="X210" s="1"/>
      <c r="Y210" s="1"/>
      <c r="Z210" s="1"/>
      <c r="AA210" s="1"/>
      <c r="AB210" s="1"/>
      <c r="AC210" s="1"/>
      <c r="AD210" s="1"/>
    </row>
    <row r="211" customFormat="false" ht="18" hidden="false" customHeight="true" outlineLevel="0" collapsed="false">
      <c r="A211" s="1"/>
      <c r="B211" s="35"/>
      <c r="C211" s="8"/>
      <c r="D211" s="26"/>
      <c r="E211" s="27"/>
      <c r="F211" s="36"/>
      <c r="G211" s="36"/>
      <c r="H211" s="36"/>
      <c r="I211" s="36"/>
      <c r="J211" s="37" t="str">
        <f aca="false">IF($E211="","",IFERROR(G211/F211,""))</f>
        <v/>
      </c>
      <c r="K211" s="30" t="str">
        <f aca="false">IF($E211="","",IFERROR(E211/G211,""))</f>
        <v/>
      </c>
      <c r="L211" s="30" t="str">
        <f aca="false">IF($E211="","",IFERROR(E211/F211*1000,""))</f>
        <v/>
      </c>
      <c r="M211" s="37" t="str">
        <f aca="false">IF($E211="","",IFERROR(H211/G211,""))</f>
        <v/>
      </c>
      <c r="N211" s="30" t="str">
        <f aca="false">IF($E211="","",IFERROR(E211/H211,"—"))</f>
        <v/>
      </c>
      <c r="O211" s="30" t="str">
        <f aca="false">IF($E211="","",IFERROR(INDEX('Гео-калькулятор'!$K$7:$K$13,MATCH($C211,'Гео-калькулятор'!$B$7:$B$13,0)),""))</f>
        <v/>
      </c>
      <c r="P211" s="38" t="str">
        <f aca="false">IF($E211="","",IFERROR(N211/O211,""))</f>
        <v/>
      </c>
      <c r="Q211" s="39" t="str">
        <f aca="false">IF($E211="","",IF($I211&lt;&gt;"",$I211,N($H211)*IFERROR(INDEX('Гео-калькулятор'!$E$7:$E$13,MATCH($C211,'Гео-калькулятор'!$B$7:$B$13,0)),0)))</f>
        <v/>
      </c>
      <c r="R211" s="38" t="str">
        <f aca="false">IF($E211="","",IFERROR(Q211/H211,""))</f>
        <v/>
      </c>
      <c r="S211" s="30" t="str">
        <f aca="false">IF($E211="","",IFERROR(E211/Q211,"—"))</f>
        <v/>
      </c>
      <c r="T211" s="30" t="str">
        <f aca="false">IF($E211="","",Q211*IFERROR(INDEX('Гео-калькулятор'!$D$7:$D$13,MATCH($C211,'Гео-калькулятор'!$B$7:$B$13,0)),0))</f>
        <v/>
      </c>
      <c r="U211" s="40" t="str">
        <f aca="false">IF($E211="","",T211-E211)</f>
        <v/>
      </c>
      <c r="V211" s="41" t="str">
        <f aca="false">IF($E211="","",IFERROR(U211/E211,""))</f>
        <v/>
      </c>
      <c r="W211" s="10" t="str">
        <f aca="false">IF($E211="","",IF($I211&lt;&gt;"","факт","прогноз"))</f>
        <v/>
      </c>
      <c r="X211" s="1"/>
      <c r="Y211" s="1"/>
      <c r="Z211" s="1"/>
      <c r="AA211" s="1"/>
      <c r="AB211" s="1"/>
      <c r="AC211" s="1"/>
      <c r="AD211" s="1"/>
    </row>
    <row r="212" customFormat="false" ht="18" hidden="false" customHeight="true" outlineLevel="0" collapsed="false">
      <c r="A212" s="1"/>
      <c r="B212" s="35"/>
      <c r="C212" s="8"/>
      <c r="D212" s="26"/>
      <c r="E212" s="27"/>
      <c r="F212" s="36"/>
      <c r="G212" s="36"/>
      <c r="H212" s="36"/>
      <c r="I212" s="36"/>
      <c r="J212" s="37" t="str">
        <f aca="false">IF($E212="","",IFERROR(G212/F212,""))</f>
        <v/>
      </c>
      <c r="K212" s="30" t="str">
        <f aca="false">IF($E212="","",IFERROR(E212/G212,""))</f>
        <v/>
      </c>
      <c r="L212" s="30" t="str">
        <f aca="false">IF($E212="","",IFERROR(E212/F212*1000,""))</f>
        <v/>
      </c>
      <c r="M212" s="37" t="str">
        <f aca="false">IF($E212="","",IFERROR(H212/G212,""))</f>
        <v/>
      </c>
      <c r="N212" s="30" t="str">
        <f aca="false">IF($E212="","",IFERROR(E212/H212,"—"))</f>
        <v/>
      </c>
      <c r="O212" s="30" t="str">
        <f aca="false">IF($E212="","",IFERROR(INDEX('Гео-калькулятор'!$K$7:$K$13,MATCH($C212,'Гео-калькулятор'!$B$7:$B$13,0)),""))</f>
        <v/>
      </c>
      <c r="P212" s="38" t="str">
        <f aca="false">IF($E212="","",IFERROR(N212/O212,""))</f>
        <v/>
      </c>
      <c r="Q212" s="39" t="str">
        <f aca="false">IF($E212="","",IF($I212&lt;&gt;"",$I212,N($H212)*IFERROR(INDEX('Гео-калькулятор'!$E$7:$E$13,MATCH($C212,'Гео-калькулятор'!$B$7:$B$13,0)),0)))</f>
        <v/>
      </c>
      <c r="R212" s="38" t="str">
        <f aca="false">IF($E212="","",IFERROR(Q212/H212,""))</f>
        <v/>
      </c>
      <c r="S212" s="30" t="str">
        <f aca="false">IF($E212="","",IFERROR(E212/Q212,"—"))</f>
        <v/>
      </c>
      <c r="T212" s="30" t="str">
        <f aca="false">IF($E212="","",Q212*IFERROR(INDEX('Гео-калькулятор'!$D$7:$D$13,MATCH($C212,'Гео-калькулятор'!$B$7:$B$13,0)),0))</f>
        <v/>
      </c>
      <c r="U212" s="40" t="str">
        <f aca="false">IF($E212="","",T212-E212)</f>
        <v/>
      </c>
      <c r="V212" s="41" t="str">
        <f aca="false">IF($E212="","",IFERROR(U212/E212,""))</f>
        <v/>
      </c>
      <c r="W212" s="10" t="str">
        <f aca="false">IF($E212="","",IF($I212&lt;&gt;"","факт","прогноз"))</f>
        <v/>
      </c>
      <c r="X212" s="1"/>
      <c r="Y212" s="1"/>
      <c r="Z212" s="1"/>
      <c r="AA212" s="1"/>
      <c r="AB212" s="1"/>
      <c r="AC212" s="1"/>
      <c r="AD212" s="1"/>
    </row>
    <row r="213" customFormat="false" ht="18" hidden="false" customHeight="true" outlineLevel="0" collapsed="false">
      <c r="A213" s="1"/>
      <c r="B213" s="35"/>
      <c r="C213" s="8"/>
      <c r="D213" s="26"/>
      <c r="E213" s="27"/>
      <c r="F213" s="36"/>
      <c r="G213" s="36"/>
      <c r="H213" s="36"/>
      <c r="I213" s="36"/>
      <c r="J213" s="37" t="str">
        <f aca="false">IF($E213="","",IFERROR(G213/F213,""))</f>
        <v/>
      </c>
      <c r="K213" s="30" t="str">
        <f aca="false">IF($E213="","",IFERROR(E213/G213,""))</f>
        <v/>
      </c>
      <c r="L213" s="30" t="str">
        <f aca="false">IF($E213="","",IFERROR(E213/F213*1000,""))</f>
        <v/>
      </c>
      <c r="M213" s="37" t="str">
        <f aca="false">IF($E213="","",IFERROR(H213/G213,""))</f>
        <v/>
      </c>
      <c r="N213" s="30" t="str">
        <f aca="false">IF($E213="","",IFERROR(E213/H213,"—"))</f>
        <v/>
      </c>
      <c r="O213" s="30" t="str">
        <f aca="false">IF($E213="","",IFERROR(INDEX('Гео-калькулятор'!$K$7:$K$13,MATCH($C213,'Гео-калькулятор'!$B$7:$B$13,0)),""))</f>
        <v/>
      </c>
      <c r="P213" s="38" t="str">
        <f aca="false">IF($E213="","",IFERROR(N213/O213,""))</f>
        <v/>
      </c>
      <c r="Q213" s="39" t="str">
        <f aca="false">IF($E213="","",IF($I213&lt;&gt;"",$I213,N($H213)*IFERROR(INDEX('Гео-калькулятор'!$E$7:$E$13,MATCH($C213,'Гео-калькулятор'!$B$7:$B$13,0)),0)))</f>
        <v/>
      </c>
      <c r="R213" s="38" t="str">
        <f aca="false">IF($E213="","",IFERROR(Q213/H213,""))</f>
        <v/>
      </c>
      <c r="S213" s="30" t="str">
        <f aca="false">IF($E213="","",IFERROR(E213/Q213,"—"))</f>
        <v/>
      </c>
      <c r="T213" s="30" t="str">
        <f aca="false">IF($E213="","",Q213*IFERROR(INDEX('Гео-калькулятор'!$D$7:$D$13,MATCH($C213,'Гео-калькулятор'!$B$7:$B$13,0)),0))</f>
        <v/>
      </c>
      <c r="U213" s="40" t="str">
        <f aca="false">IF($E213="","",T213-E213)</f>
        <v/>
      </c>
      <c r="V213" s="41" t="str">
        <f aca="false">IF($E213="","",IFERROR(U213/E213,""))</f>
        <v/>
      </c>
      <c r="W213" s="10" t="str">
        <f aca="false">IF($E213="","",IF($I213&lt;&gt;"","факт","прогноз"))</f>
        <v/>
      </c>
      <c r="X213" s="1"/>
      <c r="Y213" s="1"/>
      <c r="Z213" s="1"/>
      <c r="AA213" s="1"/>
      <c r="AB213" s="1"/>
      <c r="AC213" s="1"/>
      <c r="AD213" s="1"/>
    </row>
    <row r="214" customFormat="false" ht="18" hidden="false" customHeight="true" outlineLevel="0" collapsed="false">
      <c r="A214" s="1"/>
      <c r="B214" s="35"/>
      <c r="C214" s="8"/>
      <c r="D214" s="26"/>
      <c r="E214" s="27"/>
      <c r="F214" s="36"/>
      <c r="G214" s="36"/>
      <c r="H214" s="36"/>
      <c r="I214" s="36"/>
      <c r="J214" s="37" t="str">
        <f aca="false">IF($E214="","",IFERROR(G214/F214,""))</f>
        <v/>
      </c>
      <c r="K214" s="30" t="str">
        <f aca="false">IF($E214="","",IFERROR(E214/G214,""))</f>
        <v/>
      </c>
      <c r="L214" s="30" t="str">
        <f aca="false">IF($E214="","",IFERROR(E214/F214*1000,""))</f>
        <v/>
      </c>
      <c r="M214" s="37" t="str">
        <f aca="false">IF($E214="","",IFERROR(H214/G214,""))</f>
        <v/>
      </c>
      <c r="N214" s="30" t="str">
        <f aca="false">IF($E214="","",IFERROR(E214/H214,"—"))</f>
        <v/>
      </c>
      <c r="O214" s="30" t="str">
        <f aca="false">IF($E214="","",IFERROR(INDEX('Гео-калькулятор'!$K$7:$K$13,MATCH($C214,'Гео-калькулятор'!$B$7:$B$13,0)),""))</f>
        <v/>
      </c>
      <c r="P214" s="38" t="str">
        <f aca="false">IF($E214="","",IFERROR(N214/O214,""))</f>
        <v/>
      </c>
      <c r="Q214" s="39" t="str">
        <f aca="false">IF($E214="","",IF($I214&lt;&gt;"",$I214,N($H214)*IFERROR(INDEX('Гео-калькулятор'!$E$7:$E$13,MATCH($C214,'Гео-калькулятор'!$B$7:$B$13,0)),0)))</f>
        <v/>
      </c>
      <c r="R214" s="38" t="str">
        <f aca="false">IF($E214="","",IFERROR(Q214/H214,""))</f>
        <v/>
      </c>
      <c r="S214" s="30" t="str">
        <f aca="false">IF($E214="","",IFERROR(E214/Q214,"—"))</f>
        <v/>
      </c>
      <c r="T214" s="30" t="str">
        <f aca="false">IF($E214="","",Q214*IFERROR(INDEX('Гео-калькулятор'!$D$7:$D$13,MATCH($C214,'Гео-калькулятор'!$B$7:$B$13,0)),0))</f>
        <v/>
      </c>
      <c r="U214" s="40" t="str">
        <f aca="false">IF($E214="","",T214-E214)</f>
        <v/>
      </c>
      <c r="V214" s="41" t="str">
        <f aca="false">IF($E214="","",IFERROR(U214/E214,""))</f>
        <v/>
      </c>
      <c r="W214" s="10" t="str">
        <f aca="false">IF($E214="","",IF($I214&lt;&gt;"","факт","прогноз"))</f>
        <v/>
      </c>
      <c r="X214" s="1"/>
      <c r="Y214" s="1"/>
      <c r="Z214" s="1"/>
      <c r="AA214" s="1"/>
      <c r="AB214" s="1"/>
      <c r="AC214" s="1"/>
      <c r="AD214" s="1"/>
    </row>
    <row r="215" customFormat="false" ht="18" hidden="false" customHeight="true" outlineLevel="0" collapsed="false">
      <c r="A215" s="1"/>
      <c r="B215" s="35"/>
      <c r="C215" s="8"/>
      <c r="D215" s="26"/>
      <c r="E215" s="27"/>
      <c r="F215" s="36"/>
      <c r="G215" s="36"/>
      <c r="H215" s="36"/>
      <c r="I215" s="36"/>
      <c r="J215" s="37" t="str">
        <f aca="false">IF($E215="","",IFERROR(G215/F215,""))</f>
        <v/>
      </c>
      <c r="K215" s="30" t="str">
        <f aca="false">IF($E215="","",IFERROR(E215/G215,""))</f>
        <v/>
      </c>
      <c r="L215" s="30" t="str">
        <f aca="false">IF($E215="","",IFERROR(E215/F215*1000,""))</f>
        <v/>
      </c>
      <c r="M215" s="37" t="str">
        <f aca="false">IF($E215="","",IFERROR(H215/G215,""))</f>
        <v/>
      </c>
      <c r="N215" s="30" t="str">
        <f aca="false">IF($E215="","",IFERROR(E215/H215,"—"))</f>
        <v/>
      </c>
      <c r="O215" s="30" t="str">
        <f aca="false">IF($E215="","",IFERROR(INDEX('Гео-калькулятор'!$K$7:$K$13,MATCH($C215,'Гео-калькулятор'!$B$7:$B$13,0)),""))</f>
        <v/>
      </c>
      <c r="P215" s="38" t="str">
        <f aca="false">IF($E215="","",IFERROR(N215/O215,""))</f>
        <v/>
      </c>
      <c r="Q215" s="39" t="str">
        <f aca="false">IF($E215="","",IF($I215&lt;&gt;"",$I215,N($H215)*IFERROR(INDEX('Гео-калькулятор'!$E$7:$E$13,MATCH($C215,'Гео-калькулятор'!$B$7:$B$13,0)),0)))</f>
        <v/>
      </c>
      <c r="R215" s="38" t="str">
        <f aca="false">IF($E215="","",IFERROR(Q215/H215,""))</f>
        <v/>
      </c>
      <c r="S215" s="30" t="str">
        <f aca="false">IF($E215="","",IFERROR(E215/Q215,"—"))</f>
        <v/>
      </c>
      <c r="T215" s="30" t="str">
        <f aca="false">IF($E215="","",Q215*IFERROR(INDEX('Гео-калькулятор'!$D$7:$D$13,MATCH($C215,'Гео-калькулятор'!$B$7:$B$13,0)),0))</f>
        <v/>
      </c>
      <c r="U215" s="40" t="str">
        <f aca="false">IF($E215="","",T215-E215)</f>
        <v/>
      </c>
      <c r="V215" s="41" t="str">
        <f aca="false">IF($E215="","",IFERROR(U215/E215,""))</f>
        <v/>
      </c>
      <c r="W215" s="10" t="str">
        <f aca="false">IF($E215="","",IF($I215&lt;&gt;"","факт","прогноз"))</f>
        <v/>
      </c>
      <c r="X215" s="1"/>
      <c r="Y215" s="1"/>
      <c r="Z215" s="1"/>
      <c r="AA215" s="1"/>
      <c r="AB215" s="1"/>
      <c r="AC215" s="1"/>
      <c r="AD215" s="1"/>
    </row>
    <row r="216" customFormat="false" ht="18" hidden="false" customHeight="true" outlineLevel="0" collapsed="false">
      <c r="A216" s="1"/>
      <c r="B216" s="35"/>
      <c r="C216" s="8"/>
      <c r="D216" s="26"/>
      <c r="E216" s="27"/>
      <c r="F216" s="36"/>
      <c r="G216" s="36"/>
      <c r="H216" s="36"/>
      <c r="I216" s="36"/>
      <c r="J216" s="37" t="str">
        <f aca="false">IF($E216="","",IFERROR(G216/F216,""))</f>
        <v/>
      </c>
      <c r="K216" s="30" t="str">
        <f aca="false">IF($E216="","",IFERROR(E216/G216,""))</f>
        <v/>
      </c>
      <c r="L216" s="30" t="str">
        <f aca="false">IF($E216="","",IFERROR(E216/F216*1000,""))</f>
        <v/>
      </c>
      <c r="M216" s="37" t="str">
        <f aca="false">IF($E216="","",IFERROR(H216/G216,""))</f>
        <v/>
      </c>
      <c r="N216" s="30" t="str">
        <f aca="false">IF($E216="","",IFERROR(E216/H216,"—"))</f>
        <v/>
      </c>
      <c r="O216" s="30" t="str">
        <f aca="false">IF($E216="","",IFERROR(INDEX('Гео-калькулятор'!$K$7:$K$13,MATCH($C216,'Гео-калькулятор'!$B$7:$B$13,0)),""))</f>
        <v/>
      </c>
      <c r="P216" s="38" t="str">
        <f aca="false">IF($E216="","",IFERROR(N216/O216,""))</f>
        <v/>
      </c>
      <c r="Q216" s="39" t="str">
        <f aca="false">IF($E216="","",IF($I216&lt;&gt;"",$I216,N($H216)*IFERROR(INDEX('Гео-калькулятор'!$E$7:$E$13,MATCH($C216,'Гео-калькулятор'!$B$7:$B$13,0)),0)))</f>
        <v/>
      </c>
      <c r="R216" s="38" t="str">
        <f aca="false">IF($E216="","",IFERROR(Q216/H216,""))</f>
        <v/>
      </c>
      <c r="S216" s="30" t="str">
        <f aca="false">IF($E216="","",IFERROR(E216/Q216,"—"))</f>
        <v/>
      </c>
      <c r="T216" s="30" t="str">
        <f aca="false">IF($E216="","",Q216*IFERROR(INDEX('Гео-калькулятор'!$D$7:$D$13,MATCH($C216,'Гео-калькулятор'!$B$7:$B$13,0)),0))</f>
        <v/>
      </c>
      <c r="U216" s="40" t="str">
        <f aca="false">IF($E216="","",T216-E216)</f>
        <v/>
      </c>
      <c r="V216" s="41" t="str">
        <f aca="false">IF($E216="","",IFERROR(U216/E216,""))</f>
        <v/>
      </c>
      <c r="W216" s="10" t="str">
        <f aca="false">IF($E216="","",IF($I216&lt;&gt;"","факт","прогноз"))</f>
        <v/>
      </c>
      <c r="X216" s="1"/>
      <c r="Y216" s="1"/>
      <c r="Z216" s="1"/>
      <c r="AA216" s="1"/>
      <c r="AB216" s="1"/>
      <c r="AC216" s="1"/>
      <c r="AD216" s="1"/>
    </row>
    <row r="217" customFormat="false" ht="18" hidden="false" customHeight="true" outlineLevel="0" collapsed="false">
      <c r="A217" s="1"/>
      <c r="B217" s="35"/>
      <c r="C217" s="8"/>
      <c r="D217" s="26"/>
      <c r="E217" s="27"/>
      <c r="F217" s="36"/>
      <c r="G217" s="36"/>
      <c r="H217" s="36"/>
      <c r="I217" s="36"/>
      <c r="J217" s="37" t="str">
        <f aca="false">IF($E217="","",IFERROR(G217/F217,""))</f>
        <v/>
      </c>
      <c r="K217" s="30" t="str">
        <f aca="false">IF($E217="","",IFERROR(E217/G217,""))</f>
        <v/>
      </c>
      <c r="L217" s="30" t="str">
        <f aca="false">IF($E217="","",IFERROR(E217/F217*1000,""))</f>
        <v/>
      </c>
      <c r="M217" s="37" t="str">
        <f aca="false">IF($E217="","",IFERROR(H217/G217,""))</f>
        <v/>
      </c>
      <c r="N217" s="30" t="str">
        <f aca="false">IF($E217="","",IFERROR(E217/H217,"—"))</f>
        <v/>
      </c>
      <c r="O217" s="30" t="str">
        <f aca="false">IF($E217="","",IFERROR(INDEX('Гео-калькулятор'!$K$7:$K$13,MATCH($C217,'Гео-калькулятор'!$B$7:$B$13,0)),""))</f>
        <v/>
      </c>
      <c r="P217" s="38" t="str">
        <f aca="false">IF($E217="","",IFERROR(N217/O217,""))</f>
        <v/>
      </c>
      <c r="Q217" s="39" t="str">
        <f aca="false">IF($E217="","",IF($I217&lt;&gt;"",$I217,N($H217)*IFERROR(INDEX('Гео-калькулятор'!$E$7:$E$13,MATCH($C217,'Гео-калькулятор'!$B$7:$B$13,0)),0)))</f>
        <v/>
      </c>
      <c r="R217" s="38" t="str">
        <f aca="false">IF($E217="","",IFERROR(Q217/H217,""))</f>
        <v/>
      </c>
      <c r="S217" s="30" t="str">
        <f aca="false">IF($E217="","",IFERROR(E217/Q217,"—"))</f>
        <v/>
      </c>
      <c r="T217" s="30" t="str">
        <f aca="false">IF($E217="","",Q217*IFERROR(INDEX('Гео-калькулятор'!$D$7:$D$13,MATCH($C217,'Гео-калькулятор'!$B$7:$B$13,0)),0))</f>
        <v/>
      </c>
      <c r="U217" s="40" t="str">
        <f aca="false">IF($E217="","",T217-E217)</f>
        <v/>
      </c>
      <c r="V217" s="41" t="str">
        <f aca="false">IF($E217="","",IFERROR(U217/E217,""))</f>
        <v/>
      </c>
      <c r="W217" s="10" t="str">
        <f aca="false">IF($E217="","",IF($I217&lt;&gt;"","факт","прогноз"))</f>
        <v/>
      </c>
      <c r="X217" s="1"/>
      <c r="Y217" s="1"/>
      <c r="Z217" s="1"/>
      <c r="AA217" s="1"/>
      <c r="AB217" s="1"/>
      <c r="AC217" s="1"/>
      <c r="AD217" s="1"/>
    </row>
    <row r="218" customFormat="false" ht="18" hidden="false" customHeight="true" outlineLevel="0" collapsed="false">
      <c r="A218" s="1"/>
      <c r="B218" s="35"/>
      <c r="C218" s="8"/>
      <c r="D218" s="26"/>
      <c r="E218" s="27"/>
      <c r="F218" s="36"/>
      <c r="G218" s="36"/>
      <c r="H218" s="36"/>
      <c r="I218" s="36"/>
      <c r="J218" s="37" t="str">
        <f aca="false">IF($E218="","",IFERROR(G218/F218,""))</f>
        <v/>
      </c>
      <c r="K218" s="30" t="str">
        <f aca="false">IF($E218="","",IFERROR(E218/G218,""))</f>
        <v/>
      </c>
      <c r="L218" s="30" t="str">
        <f aca="false">IF($E218="","",IFERROR(E218/F218*1000,""))</f>
        <v/>
      </c>
      <c r="M218" s="37" t="str">
        <f aca="false">IF($E218="","",IFERROR(H218/G218,""))</f>
        <v/>
      </c>
      <c r="N218" s="30" t="str">
        <f aca="false">IF($E218="","",IFERROR(E218/H218,"—"))</f>
        <v/>
      </c>
      <c r="O218" s="30" t="str">
        <f aca="false">IF($E218="","",IFERROR(INDEX('Гео-калькулятор'!$K$7:$K$13,MATCH($C218,'Гео-калькулятор'!$B$7:$B$13,0)),""))</f>
        <v/>
      </c>
      <c r="P218" s="38" t="str">
        <f aca="false">IF($E218="","",IFERROR(N218/O218,""))</f>
        <v/>
      </c>
      <c r="Q218" s="39" t="str">
        <f aca="false">IF($E218="","",IF($I218&lt;&gt;"",$I218,N($H218)*IFERROR(INDEX('Гео-калькулятор'!$E$7:$E$13,MATCH($C218,'Гео-калькулятор'!$B$7:$B$13,0)),0)))</f>
        <v/>
      </c>
      <c r="R218" s="38" t="str">
        <f aca="false">IF($E218="","",IFERROR(Q218/H218,""))</f>
        <v/>
      </c>
      <c r="S218" s="30" t="str">
        <f aca="false">IF($E218="","",IFERROR(E218/Q218,"—"))</f>
        <v/>
      </c>
      <c r="T218" s="30" t="str">
        <f aca="false">IF($E218="","",Q218*IFERROR(INDEX('Гео-калькулятор'!$D$7:$D$13,MATCH($C218,'Гео-калькулятор'!$B$7:$B$13,0)),0))</f>
        <v/>
      </c>
      <c r="U218" s="40" t="str">
        <f aca="false">IF($E218="","",T218-E218)</f>
        <v/>
      </c>
      <c r="V218" s="41" t="str">
        <f aca="false">IF($E218="","",IFERROR(U218/E218,""))</f>
        <v/>
      </c>
      <c r="W218" s="10" t="str">
        <f aca="false">IF($E218="","",IF($I218&lt;&gt;"","факт","прогноз"))</f>
        <v/>
      </c>
      <c r="X218" s="1"/>
      <c r="Y218" s="1"/>
      <c r="Z218" s="1"/>
      <c r="AA218" s="1"/>
      <c r="AB218" s="1"/>
      <c r="AC218" s="1"/>
      <c r="AD218" s="1"/>
    </row>
    <row r="219" customFormat="false" ht="18" hidden="false" customHeight="true" outlineLevel="0" collapsed="false">
      <c r="A219" s="1"/>
      <c r="B219" s="35"/>
      <c r="C219" s="8"/>
      <c r="D219" s="26"/>
      <c r="E219" s="27"/>
      <c r="F219" s="36"/>
      <c r="G219" s="36"/>
      <c r="H219" s="36"/>
      <c r="I219" s="36"/>
      <c r="J219" s="37" t="str">
        <f aca="false">IF($E219="","",IFERROR(G219/F219,""))</f>
        <v/>
      </c>
      <c r="K219" s="30" t="str">
        <f aca="false">IF($E219="","",IFERROR(E219/G219,""))</f>
        <v/>
      </c>
      <c r="L219" s="30" t="str">
        <f aca="false">IF($E219="","",IFERROR(E219/F219*1000,""))</f>
        <v/>
      </c>
      <c r="M219" s="37" t="str">
        <f aca="false">IF($E219="","",IFERROR(H219/G219,""))</f>
        <v/>
      </c>
      <c r="N219" s="30" t="str">
        <f aca="false">IF($E219="","",IFERROR(E219/H219,"—"))</f>
        <v/>
      </c>
      <c r="O219" s="30" t="str">
        <f aca="false">IF($E219="","",IFERROR(INDEX('Гео-калькулятор'!$K$7:$K$13,MATCH($C219,'Гео-калькулятор'!$B$7:$B$13,0)),""))</f>
        <v/>
      </c>
      <c r="P219" s="38" t="str">
        <f aca="false">IF($E219="","",IFERROR(N219/O219,""))</f>
        <v/>
      </c>
      <c r="Q219" s="39" t="str">
        <f aca="false">IF($E219="","",IF($I219&lt;&gt;"",$I219,N($H219)*IFERROR(INDEX('Гео-калькулятор'!$E$7:$E$13,MATCH($C219,'Гео-калькулятор'!$B$7:$B$13,0)),0)))</f>
        <v/>
      </c>
      <c r="R219" s="38" t="str">
        <f aca="false">IF($E219="","",IFERROR(Q219/H219,""))</f>
        <v/>
      </c>
      <c r="S219" s="30" t="str">
        <f aca="false">IF($E219="","",IFERROR(E219/Q219,"—"))</f>
        <v/>
      </c>
      <c r="T219" s="30" t="str">
        <f aca="false">IF($E219="","",Q219*IFERROR(INDEX('Гео-калькулятор'!$D$7:$D$13,MATCH($C219,'Гео-калькулятор'!$B$7:$B$13,0)),0))</f>
        <v/>
      </c>
      <c r="U219" s="40" t="str">
        <f aca="false">IF($E219="","",T219-E219)</f>
        <v/>
      </c>
      <c r="V219" s="41" t="str">
        <f aca="false">IF($E219="","",IFERROR(U219/E219,""))</f>
        <v/>
      </c>
      <c r="W219" s="10" t="str">
        <f aca="false">IF($E219="","",IF($I219&lt;&gt;"","факт","прогноз"))</f>
        <v/>
      </c>
      <c r="X219" s="1"/>
      <c r="Y219" s="1"/>
      <c r="Z219" s="1"/>
      <c r="AA219" s="1"/>
      <c r="AB219" s="1"/>
      <c r="AC219" s="1"/>
      <c r="AD219" s="1"/>
    </row>
    <row r="220" customFormat="false" ht="18" hidden="false" customHeight="true" outlineLevel="0" collapsed="false">
      <c r="A220" s="1"/>
      <c r="B220" s="35"/>
      <c r="C220" s="8"/>
      <c r="D220" s="26"/>
      <c r="E220" s="27"/>
      <c r="F220" s="36"/>
      <c r="G220" s="36"/>
      <c r="H220" s="36"/>
      <c r="I220" s="36"/>
      <c r="J220" s="37" t="str">
        <f aca="false">IF($E220="","",IFERROR(G220/F220,""))</f>
        <v/>
      </c>
      <c r="K220" s="30" t="str">
        <f aca="false">IF($E220="","",IFERROR(E220/G220,""))</f>
        <v/>
      </c>
      <c r="L220" s="30" t="str">
        <f aca="false">IF($E220="","",IFERROR(E220/F220*1000,""))</f>
        <v/>
      </c>
      <c r="M220" s="37" t="str">
        <f aca="false">IF($E220="","",IFERROR(H220/G220,""))</f>
        <v/>
      </c>
      <c r="N220" s="30" t="str">
        <f aca="false">IF($E220="","",IFERROR(E220/H220,"—"))</f>
        <v/>
      </c>
      <c r="O220" s="30" t="str">
        <f aca="false">IF($E220="","",IFERROR(INDEX('Гео-калькулятор'!$K$7:$K$13,MATCH($C220,'Гео-калькулятор'!$B$7:$B$13,0)),""))</f>
        <v/>
      </c>
      <c r="P220" s="38" t="str">
        <f aca="false">IF($E220="","",IFERROR(N220/O220,""))</f>
        <v/>
      </c>
      <c r="Q220" s="39" t="str">
        <f aca="false">IF($E220="","",IF($I220&lt;&gt;"",$I220,N($H220)*IFERROR(INDEX('Гео-калькулятор'!$E$7:$E$13,MATCH($C220,'Гео-калькулятор'!$B$7:$B$13,0)),0)))</f>
        <v/>
      </c>
      <c r="R220" s="38" t="str">
        <f aca="false">IF($E220="","",IFERROR(Q220/H220,""))</f>
        <v/>
      </c>
      <c r="S220" s="30" t="str">
        <f aca="false">IF($E220="","",IFERROR(E220/Q220,"—"))</f>
        <v/>
      </c>
      <c r="T220" s="30" t="str">
        <f aca="false">IF($E220="","",Q220*IFERROR(INDEX('Гео-калькулятор'!$D$7:$D$13,MATCH($C220,'Гео-калькулятор'!$B$7:$B$13,0)),0))</f>
        <v/>
      </c>
      <c r="U220" s="40" t="str">
        <f aca="false">IF($E220="","",T220-E220)</f>
        <v/>
      </c>
      <c r="V220" s="41" t="str">
        <f aca="false">IF($E220="","",IFERROR(U220/E220,""))</f>
        <v/>
      </c>
      <c r="W220" s="10" t="str">
        <f aca="false">IF($E220="","",IF($I220&lt;&gt;"","факт","прогноз"))</f>
        <v/>
      </c>
      <c r="X220" s="1"/>
      <c r="Y220" s="1"/>
      <c r="Z220" s="1"/>
      <c r="AA220" s="1"/>
      <c r="AB220" s="1"/>
      <c r="AC220" s="1"/>
      <c r="AD220" s="1"/>
    </row>
    <row r="221" customFormat="false" ht="18" hidden="false" customHeight="true" outlineLevel="0" collapsed="false">
      <c r="A221" s="1"/>
      <c r="B221" s="35"/>
      <c r="C221" s="8"/>
      <c r="D221" s="26"/>
      <c r="E221" s="27"/>
      <c r="F221" s="36"/>
      <c r="G221" s="36"/>
      <c r="H221" s="36"/>
      <c r="I221" s="36"/>
      <c r="J221" s="37" t="str">
        <f aca="false">IF($E221="","",IFERROR(G221/F221,""))</f>
        <v/>
      </c>
      <c r="K221" s="30" t="str">
        <f aca="false">IF($E221="","",IFERROR(E221/G221,""))</f>
        <v/>
      </c>
      <c r="L221" s="30" t="str">
        <f aca="false">IF($E221="","",IFERROR(E221/F221*1000,""))</f>
        <v/>
      </c>
      <c r="M221" s="37" t="str">
        <f aca="false">IF($E221="","",IFERROR(H221/G221,""))</f>
        <v/>
      </c>
      <c r="N221" s="30" t="str">
        <f aca="false">IF($E221="","",IFERROR(E221/H221,"—"))</f>
        <v/>
      </c>
      <c r="O221" s="30" t="str">
        <f aca="false">IF($E221="","",IFERROR(INDEX('Гео-калькулятор'!$K$7:$K$13,MATCH($C221,'Гео-калькулятор'!$B$7:$B$13,0)),""))</f>
        <v/>
      </c>
      <c r="P221" s="38" t="str">
        <f aca="false">IF($E221="","",IFERROR(N221/O221,""))</f>
        <v/>
      </c>
      <c r="Q221" s="39" t="str">
        <f aca="false">IF($E221="","",IF($I221&lt;&gt;"",$I221,N($H221)*IFERROR(INDEX('Гео-калькулятор'!$E$7:$E$13,MATCH($C221,'Гео-калькулятор'!$B$7:$B$13,0)),0)))</f>
        <v/>
      </c>
      <c r="R221" s="38" t="str">
        <f aca="false">IF($E221="","",IFERROR(Q221/H221,""))</f>
        <v/>
      </c>
      <c r="S221" s="30" t="str">
        <f aca="false">IF($E221="","",IFERROR(E221/Q221,"—"))</f>
        <v/>
      </c>
      <c r="T221" s="30" t="str">
        <f aca="false">IF($E221="","",Q221*IFERROR(INDEX('Гео-калькулятор'!$D$7:$D$13,MATCH($C221,'Гео-калькулятор'!$B$7:$B$13,0)),0))</f>
        <v/>
      </c>
      <c r="U221" s="40" t="str">
        <f aca="false">IF($E221="","",T221-E221)</f>
        <v/>
      </c>
      <c r="V221" s="41" t="str">
        <f aca="false">IF($E221="","",IFERROR(U221/E221,""))</f>
        <v/>
      </c>
      <c r="W221" s="10" t="str">
        <f aca="false">IF($E221="","",IF($I221&lt;&gt;"","факт","прогноз"))</f>
        <v/>
      </c>
      <c r="X221" s="1"/>
      <c r="Y221" s="1"/>
      <c r="Z221" s="1"/>
      <c r="AA221" s="1"/>
      <c r="AB221" s="1"/>
      <c r="AC221" s="1"/>
      <c r="AD221" s="1"/>
    </row>
    <row r="222" customFormat="false" ht="18" hidden="false" customHeight="true" outlineLevel="0" collapsed="false">
      <c r="A222" s="1"/>
      <c r="B222" s="35"/>
      <c r="C222" s="8"/>
      <c r="D222" s="26"/>
      <c r="E222" s="27"/>
      <c r="F222" s="36"/>
      <c r="G222" s="36"/>
      <c r="H222" s="36"/>
      <c r="I222" s="36"/>
      <c r="J222" s="37" t="str">
        <f aca="false">IF($E222="","",IFERROR(G222/F222,""))</f>
        <v/>
      </c>
      <c r="K222" s="30" t="str">
        <f aca="false">IF($E222="","",IFERROR(E222/G222,""))</f>
        <v/>
      </c>
      <c r="L222" s="30" t="str">
        <f aca="false">IF($E222="","",IFERROR(E222/F222*1000,""))</f>
        <v/>
      </c>
      <c r="M222" s="37" t="str">
        <f aca="false">IF($E222="","",IFERROR(H222/G222,""))</f>
        <v/>
      </c>
      <c r="N222" s="30" t="str">
        <f aca="false">IF($E222="","",IFERROR(E222/H222,"—"))</f>
        <v/>
      </c>
      <c r="O222" s="30" t="str">
        <f aca="false">IF($E222="","",IFERROR(INDEX('Гео-калькулятор'!$K$7:$K$13,MATCH($C222,'Гео-калькулятор'!$B$7:$B$13,0)),""))</f>
        <v/>
      </c>
      <c r="P222" s="38" t="str">
        <f aca="false">IF($E222="","",IFERROR(N222/O222,""))</f>
        <v/>
      </c>
      <c r="Q222" s="39" t="str">
        <f aca="false">IF($E222="","",IF($I222&lt;&gt;"",$I222,N($H222)*IFERROR(INDEX('Гео-калькулятор'!$E$7:$E$13,MATCH($C222,'Гео-калькулятор'!$B$7:$B$13,0)),0)))</f>
        <v/>
      </c>
      <c r="R222" s="38" t="str">
        <f aca="false">IF($E222="","",IFERROR(Q222/H222,""))</f>
        <v/>
      </c>
      <c r="S222" s="30" t="str">
        <f aca="false">IF($E222="","",IFERROR(E222/Q222,"—"))</f>
        <v/>
      </c>
      <c r="T222" s="30" t="str">
        <f aca="false">IF($E222="","",Q222*IFERROR(INDEX('Гео-калькулятор'!$D$7:$D$13,MATCH($C222,'Гео-калькулятор'!$B$7:$B$13,0)),0))</f>
        <v/>
      </c>
      <c r="U222" s="40" t="str">
        <f aca="false">IF($E222="","",T222-E222)</f>
        <v/>
      </c>
      <c r="V222" s="41" t="str">
        <f aca="false">IF($E222="","",IFERROR(U222/E222,""))</f>
        <v/>
      </c>
      <c r="W222" s="10" t="str">
        <f aca="false">IF($E222="","",IF($I222&lt;&gt;"","факт","прогноз"))</f>
        <v/>
      </c>
      <c r="X222" s="1"/>
      <c r="Y222" s="1"/>
      <c r="Z222" s="1"/>
      <c r="AA222" s="1"/>
      <c r="AB222" s="1"/>
      <c r="AC222" s="1"/>
      <c r="AD222" s="1"/>
    </row>
    <row r="223" customFormat="false" ht="18" hidden="false" customHeight="true" outlineLevel="0" collapsed="false">
      <c r="A223" s="1"/>
      <c r="B223" s="35"/>
      <c r="C223" s="8"/>
      <c r="D223" s="26"/>
      <c r="E223" s="27"/>
      <c r="F223" s="36"/>
      <c r="G223" s="36"/>
      <c r="H223" s="36"/>
      <c r="I223" s="36"/>
      <c r="J223" s="37" t="str">
        <f aca="false">IF($E223="","",IFERROR(G223/F223,""))</f>
        <v/>
      </c>
      <c r="K223" s="30" t="str">
        <f aca="false">IF($E223="","",IFERROR(E223/G223,""))</f>
        <v/>
      </c>
      <c r="L223" s="30" t="str">
        <f aca="false">IF($E223="","",IFERROR(E223/F223*1000,""))</f>
        <v/>
      </c>
      <c r="M223" s="37" t="str">
        <f aca="false">IF($E223="","",IFERROR(H223/G223,""))</f>
        <v/>
      </c>
      <c r="N223" s="30" t="str">
        <f aca="false">IF($E223="","",IFERROR(E223/H223,"—"))</f>
        <v/>
      </c>
      <c r="O223" s="30" t="str">
        <f aca="false">IF($E223="","",IFERROR(INDEX('Гео-калькулятор'!$K$7:$K$13,MATCH($C223,'Гео-калькулятор'!$B$7:$B$13,0)),""))</f>
        <v/>
      </c>
      <c r="P223" s="38" t="str">
        <f aca="false">IF($E223="","",IFERROR(N223/O223,""))</f>
        <v/>
      </c>
      <c r="Q223" s="39" t="str">
        <f aca="false">IF($E223="","",IF($I223&lt;&gt;"",$I223,N($H223)*IFERROR(INDEX('Гео-калькулятор'!$E$7:$E$13,MATCH($C223,'Гео-калькулятор'!$B$7:$B$13,0)),0)))</f>
        <v/>
      </c>
      <c r="R223" s="38" t="str">
        <f aca="false">IF($E223="","",IFERROR(Q223/H223,""))</f>
        <v/>
      </c>
      <c r="S223" s="30" t="str">
        <f aca="false">IF($E223="","",IFERROR(E223/Q223,"—"))</f>
        <v/>
      </c>
      <c r="T223" s="30" t="str">
        <f aca="false">IF($E223="","",Q223*IFERROR(INDEX('Гео-калькулятор'!$D$7:$D$13,MATCH($C223,'Гео-калькулятор'!$B$7:$B$13,0)),0))</f>
        <v/>
      </c>
      <c r="U223" s="40" t="str">
        <f aca="false">IF($E223="","",T223-E223)</f>
        <v/>
      </c>
      <c r="V223" s="41" t="str">
        <f aca="false">IF($E223="","",IFERROR(U223/E223,""))</f>
        <v/>
      </c>
      <c r="W223" s="10" t="str">
        <f aca="false">IF($E223="","",IF($I223&lt;&gt;"","факт","прогноз"))</f>
        <v/>
      </c>
      <c r="X223" s="1"/>
      <c r="Y223" s="1"/>
      <c r="Z223" s="1"/>
      <c r="AA223" s="1"/>
      <c r="AB223" s="1"/>
      <c r="AC223" s="1"/>
      <c r="AD223" s="1"/>
    </row>
    <row r="224" customFormat="false" ht="18" hidden="false" customHeight="true" outlineLevel="0" collapsed="false">
      <c r="A224" s="1"/>
      <c r="B224" s="35"/>
      <c r="C224" s="8"/>
      <c r="D224" s="26"/>
      <c r="E224" s="27"/>
      <c r="F224" s="36"/>
      <c r="G224" s="36"/>
      <c r="H224" s="36"/>
      <c r="I224" s="36"/>
      <c r="J224" s="37" t="str">
        <f aca="false">IF($E224="","",IFERROR(G224/F224,""))</f>
        <v/>
      </c>
      <c r="K224" s="30" t="str">
        <f aca="false">IF($E224="","",IFERROR(E224/G224,""))</f>
        <v/>
      </c>
      <c r="L224" s="30" t="str">
        <f aca="false">IF($E224="","",IFERROR(E224/F224*1000,""))</f>
        <v/>
      </c>
      <c r="M224" s="37" t="str">
        <f aca="false">IF($E224="","",IFERROR(H224/G224,""))</f>
        <v/>
      </c>
      <c r="N224" s="30" t="str">
        <f aca="false">IF($E224="","",IFERROR(E224/H224,"—"))</f>
        <v/>
      </c>
      <c r="O224" s="30" t="str">
        <f aca="false">IF($E224="","",IFERROR(INDEX('Гео-калькулятор'!$K$7:$K$13,MATCH($C224,'Гео-калькулятор'!$B$7:$B$13,0)),""))</f>
        <v/>
      </c>
      <c r="P224" s="38" t="str">
        <f aca="false">IF($E224="","",IFERROR(N224/O224,""))</f>
        <v/>
      </c>
      <c r="Q224" s="39" t="str">
        <f aca="false">IF($E224="","",IF($I224&lt;&gt;"",$I224,N($H224)*IFERROR(INDEX('Гео-калькулятор'!$E$7:$E$13,MATCH($C224,'Гео-калькулятор'!$B$7:$B$13,0)),0)))</f>
        <v/>
      </c>
      <c r="R224" s="38" t="str">
        <f aca="false">IF($E224="","",IFERROR(Q224/H224,""))</f>
        <v/>
      </c>
      <c r="S224" s="30" t="str">
        <f aca="false">IF($E224="","",IFERROR(E224/Q224,"—"))</f>
        <v/>
      </c>
      <c r="T224" s="30" t="str">
        <f aca="false">IF($E224="","",Q224*IFERROR(INDEX('Гео-калькулятор'!$D$7:$D$13,MATCH($C224,'Гео-калькулятор'!$B$7:$B$13,0)),0))</f>
        <v/>
      </c>
      <c r="U224" s="40" t="str">
        <f aca="false">IF($E224="","",T224-E224)</f>
        <v/>
      </c>
      <c r="V224" s="41" t="str">
        <f aca="false">IF($E224="","",IFERROR(U224/E224,""))</f>
        <v/>
      </c>
      <c r="W224" s="10" t="str">
        <f aca="false">IF($E224="","",IF($I224&lt;&gt;"","факт","прогноз"))</f>
        <v/>
      </c>
      <c r="X224" s="1"/>
      <c r="Y224" s="1"/>
      <c r="Z224" s="1"/>
      <c r="AA224" s="1"/>
      <c r="AB224" s="1"/>
      <c r="AC224" s="1"/>
      <c r="AD224" s="1"/>
    </row>
    <row r="225" customFormat="false" ht="18" hidden="false" customHeight="true" outlineLevel="0" collapsed="false">
      <c r="A225" s="1"/>
      <c r="B225" s="35"/>
      <c r="C225" s="8"/>
      <c r="D225" s="26"/>
      <c r="E225" s="27"/>
      <c r="F225" s="36"/>
      <c r="G225" s="36"/>
      <c r="H225" s="36"/>
      <c r="I225" s="36"/>
      <c r="J225" s="37" t="str">
        <f aca="false">IF($E225="","",IFERROR(G225/F225,""))</f>
        <v/>
      </c>
      <c r="K225" s="30" t="str">
        <f aca="false">IF($E225="","",IFERROR(E225/G225,""))</f>
        <v/>
      </c>
      <c r="L225" s="30" t="str">
        <f aca="false">IF($E225="","",IFERROR(E225/F225*1000,""))</f>
        <v/>
      </c>
      <c r="M225" s="37" t="str">
        <f aca="false">IF($E225="","",IFERROR(H225/G225,""))</f>
        <v/>
      </c>
      <c r="N225" s="30" t="str">
        <f aca="false">IF($E225="","",IFERROR(E225/H225,"—"))</f>
        <v/>
      </c>
      <c r="O225" s="30" t="str">
        <f aca="false">IF($E225="","",IFERROR(INDEX('Гео-калькулятор'!$K$7:$K$13,MATCH($C225,'Гео-калькулятор'!$B$7:$B$13,0)),""))</f>
        <v/>
      </c>
      <c r="P225" s="38" t="str">
        <f aca="false">IF($E225="","",IFERROR(N225/O225,""))</f>
        <v/>
      </c>
      <c r="Q225" s="39" t="str">
        <f aca="false">IF($E225="","",IF($I225&lt;&gt;"",$I225,N($H225)*IFERROR(INDEX('Гео-калькулятор'!$E$7:$E$13,MATCH($C225,'Гео-калькулятор'!$B$7:$B$13,0)),0)))</f>
        <v/>
      </c>
      <c r="R225" s="38" t="str">
        <f aca="false">IF($E225="","",IFERROR(Q225/H225,""))</f>
        <v/>
      </c>
      <c r="S225" s="30" t="str">
        <f aca="false">IF($E225="","",IFERROR(E225/Q225,"—"))</f>
        <v/>
      </c>
      <c r="T225" s="30" t="str">
        <f aca="false">IF($E225="","",Q225*IFERROR(INDEX('Гео-калькулятор'!$D$7:$D$13,MATCH($C225,'Гео-калькулятор'!$B$7:$B$13,0)),0))</f>
        <v/>
      </c>
      <c r="U225" s="40" t="str">
        <f aca="false">IF($E225="","",T225-E225)</f>
        <v/>
      </c>
      <c r="V225" s="41" t="str">
        <f aca="false">IF($E225="","",IFERROR(U225/E225,""))</f>
        <v/>
      </c>
      <c r="W225" s="10" t="str">
        <f aca="false">IF($E225="","",IF($I225&lt;&gt;"","факт","прогноз"))</f>
        <v/>
      </c>
      <c r="X225" s="1"/>
      <c r="Y225" s="1"/>
      <c r="Z225" s="1"/>
      <c r="AA225" s="1"/>
      <c r="AB225" s="1"/>
      <c r="AC225" s="1"/>
      <c r="AD225" s="1"/>
    </row>
    <row r="226" customFormat="false" ht="18" hidden="false" customHeight="true" outlineLevel="0" collapsed="false">
      <c r="A226" s="1"/>
      <c r="B226" s="35"/>
      <c r="C226" s="8"/>
      <c r="D226" s="26"/>
      <c r="E226" s="27"/>
      <c r="F226" s="36"/>
      <c r="G226" s="36"/>
      <c r="H226" s="36"/>
      <c r="I226" s="36"/>
      <c r="J226" s="37" t="str">
        <f aca="false">IF($E226="","",IFERROR(G226/F226,""))</f>
        <v/>
      </c>
      <c r="K226" s="30" t="str">
        <f aca="false">IF($E226="","",IFERROR(E226/G226,""))</f>
        <v/>
      </c>
      <c r="L226" s="30" t="str">
        <f aca="false">IF($E226="","",IFERROR(E226/F226*1000,""))</f>
        <v/>
      </c>
      <c r="M226" s="37" t="str">
        <f aca="false">IF($E226="","",IFERROR(H226/G226,""))</f>
        <v/>
      </c>
      <c r="N226" s="30" t="str">
        <f aca="false">IF($E226="","",IFERROR(E226/H226,"—"))</f>
        <v/>
      </c>
      <c r="O226" s="30" t="str">
        <f aca="false">IF($E226="","",IFERROR(INDEX('Гео-калькулятор'!$K$7:$K$13,MATCH($C226,'Гео-калькулятор'!$B$7:$B$13,0)),""))</f>
        <v/>
      </c>
      <c r="P226" s="38" t="str">
        <f aca="false">IF($E226="","",IFERROR(N226/O226,""))</f>
        <v/>
      </c>
      <c r="Q226" s="39" t="str">
        <f aca="false">IF($E226="","",IF($I226&lt;&gt;"",$I226,N($H226)*IFERROR(INDEX('Гео-калькулятор'!$E$7:$E$13,MATCH($C226,'Гео-калькулятор'!$B$7:$B$13,0)),0)))</f>
        <v/>
      </c>
      <c r="R226" s="38" t="str">
        <f aca="false">IF($E226="","",IFERROR(Q226/H226,""))</f>
        <v/>
      </c>
      <c r="S226" s="30" t="str">
        <f aca="false">IF($E226="","",IFERROR(E226/Q226,"—"))</f>
        <v/>
      </c>
      <c r="T226" s="30" t="str">
        <f aca="false">IF($E226="","",Q226*IFERROR(INDEX('Гео-калькулятор'!$D$7:$D$13,MATCH($C226,'Гео-калькулятор'!$B$7:$B$13,0)),0))</f>
        <v/>
      </c>
      <c r="U226" s="40" t="str">
        <f aca="false">IF($E226="","",T226-E226)</f>
        <v/>
      </c>
      <c r="V226" s="41" t="str">
        <f aca="false">IF($E226="","",IFERROR(U226/E226,""))</f>
        <v/>
      </c>
      <c r="W226" s="10" t="str">
        <f aca="false">IF($E226="","",IF($I226&lt;&gt;"","факт","прогноз"))</f>
        <v/>
      </c>
      <c r="X226" s="1"/>
      <c r="Y226" s="1"/>
      <c r="Z226" s="1"/>
      <c r="AA226" s="1"/>
      <c r="AB226" s="1"/>
      <c r="AC226" s="1"/>
      <c r="AD226" s="1"/>
    </row>
    <row r="227" customFormat="false" ht="18" hidden="false" customHeight="true" outlineLevel="0" collapsed="false">
      <c r="A227" s="1"/>
      <c r="B227" s="35"/>
      <c r="C227" s="8"/>
      <c r="D227" s="26"/>
      <c r="E227" s="27"/>
      <c r="F227" s="36"/>
      <c r="G227" s="36"/>
      <c r="H227" s="36"/>
      <c r="I227" s="36"/>
      <c r="J227" s="37" t="str">
        <f aca="false">IF($E227="","",IFERROR(G227/F227,""))</f>
        <v/>
      </c>
      <c r="K227" s="30" t="str">
        <f aca="false">IF($E227="","",IFERROR(E227/G227,""))</f>
        <v/>
      </c>
      <c r="L227" s="30" t="str">
        <f aca="false">IF($E227="","",IFERROR(E227/F227*1000,""))</f>
        <v/>
      </c>
      <c r="M227" s="37" t="str">
        <f aca="false">IF($E227="","",IFERROR(H227/G227,""))</f>
        <v/>
      </c>
      <c r="N227" s="30" t="str">
        <f aca="false">IF($E227="","",IFERROR(E227/H227,"—"))</f>
        <v/>
      </c>
      <c r="O227" s="30" t="str">
        <f aca="false">IF($E227="","",IFERROR(INDEX('Гео-калькулятор'!$K$7:$K$13,MATCH($C227,'Гео-калькулятор'!$B$7:$B$13,0)),""))</f>
        <v/>
      </c>
      <c r="P227" s="38" t="str">
        <f aca="false">IF($E227="","",IFERROR(N227/O227,""))</f>
        <v/>
      </c>
      <c r="Q227" s="39" t="str">
        <f aca="false">IF($E227="","",IF($I227&lt;&gt;"",$I227,N($H227)*IFERROR(INDEX('Гео-калькулятор'!$E$7:$E$13,MATCH($C227,'Гео-калькулятор'!$B$7:$B$13,0)),0)))</f>
        <v/>
      </c>
      <c r="R227" s="38" t="str">
        <f aca="false">IF($E227="","",IFERROR(Q227/H227,""))</f>
        <v/>
      </c>
      <c r="S227" s="30" t="str">
        <f aca="false">IF($E227="","",IFERROR(E227/Q227,"—"))</f>
        <v/>
      </c>
      <c r="T227" s="30" t="str">
        <f aca="false">IF($E227="","",Q227*IFERROR(INDEX('Гео-калькулятор'!$D$7:$D$13,MATCH($C227,'Гео-калькулятор'!$B$7:$B$13,0)),0))</f>
        <v/>
      </c>
      <c r="U227" s="40" t="str">
        <f aca="false">IF($E227="","",T227-E227)</f>
        <v/>
      </c>
      <c r="V227" s="41" t="str">
        <f aca="false">IF($E227="","",IFERROR(U227/E227,""))</f>
        <v/>
      </c>
      <c r="W227" s="10" t="str">
        <f aca="false">IF($E227="","",IF($I227&lt;&gt;"","факт","прогноз"))</f>
        <v/>
      </c>
      <c r="X227" s="1"/>
      <c r="Y227" s="1"/>
      <c r="Z227" s="1"/>
      <c r="AA227" s="1"/>
      <c r="AB227" s="1"/>
      <c r="AC227" s="1"/>
      <c r="AD227" s="1"/>
    </row>
    <row r="228" customFormat="false" ht="18" hidden="false" customHeight="true" outlineLevel="0" collapsed="false">
      <c r="A228" s="1"/>
      <c r="B228" s="35"/>
      <c r="C228" s="8"/>
      <c r="D228" s="26"/>
      <c r="E228" s="27"/>
      <c r="F228" s="36"/>
      <c r="G228" s="36"/>
      <c r="H228" s="36"/>
      <c r="I228" s="36"/>
      <c r="J228" s="37" t="str">
        <f aca="false">IF($E228="","",IFERROR(G228/F228,""))</f>
        <v/>
      </c>
      <c r="K228" s="30" t="str">
        <f aca="false">IF($E228="","",IFERROR(E228/G228,""))</f>
        <v/>
      </c>
      <c r="L228" s="30" t="str">
        <f aca="false">IF($E228="","",IFERROR(E228/F228*1000,""))</f>
        <v/>
      </c>
      <c r="M228" s="37" t="str">
        <f aca="false">IF($E228="","",IFERROR(H228/G228,""))</f>
        <v/>
      </c>
      <c r="N228" s="30" t="str">
        <f aca="false">IF($E228="","",IFERROR(E228/H228,"—"))</f>
        <v/>
      </c>
      <c r="O228" s="30" t="str">
        <f aca="false">IF($E228="","",IFERROR(INDEX('Гео-калькулятор'!$K$7:$K$13,MATCH($C228,'Гео-калькулятор'!$B$7:$B$13,0)),""))</f>
        <v/>
      </c>
      <c r="P228" s="38" t="str">
        <f aca="false">IF($E228="","",IFERROR(N228/O228,""))</f>
        <v/>
      </c>
      <c r="Q228" s="39" t="str">
        <f aca="false">IF($E228="","",IF($I228&lt;&gt;"",$I228,N($H228)*IFERROR(INDEX('Гео-калькулятор'!$E$7:$E$13,MATCH($C228,'Гео-калькулятор'!$B$7:$B$13,0)),0)))</f>
        <v/>
      </c>
      <c r="R228" s="38" t="str">
        <f aca="false">IF($E228="","",IFERROR(Q228/H228,""))</f>
        <v/>
      </c>
      <c r="S228" s="30" t="str">
        <f aca="false">IF($E228="","",IFERROR(E228/Q228,"—"))</f>
        <v/>
      </c>
      <c r="T228" s="30" t="str">
        <f aca="false">IF($E228="","",Q228*IFERROR(INDEX('Гео-калькулятор'!$D$7:$D$13,MATCH($C228,'Гео-калькулятор'!$B$7:$B$13,0)),0))</f>
        <v/>
      </c>
      <c r="U228" s="40" t="str">
        <f aca="false">IF($E228="","",T228-E228)</f>
        <v/>
      </c>
      <c r="V228" s="41" t="str">
        <f aca="false">IF($E228="","",IFERROR(U228/E228,""))</f>
        <v/>
      </c>
      <c r="W228" s="10" t="str">
        <f aca="false">IF($E228="","",IF($I228&lt;&gt;"","факт","прогноз"))</f>
        <v/>
      </c>
      <c r="X228" s="1"/>
      <c r="Y228" s="1"/>
      <c r="Z228" s="1"/>
      <c r="AA228" s="1"/>
      <c r="AB228" s="1"/>
      <c r="AC228" s="1"/>
      <c r="AD228" s="1"/>
    </row>
    <row r="229" customFormat="false" ht="18" hidden="false" customHeight="true" outlineLevel="0" collapsed="false">
      <c r="A229" s="1"/>
      <c r="B229" s="35"/>
      <c r="C229" s="8"/>
      <c r="D229" s="26"/>
      <c r="E229" s="27"/>
      <c r="F229" s="36"/>
      <c r="G229" s="36"/>
      <c r="H229" s="36"/>
      <c r="I229" s="36"/>
      <c r="J229" s="37" t="str">
        <f aca="false">IF($E229="","",IFERROR(G229/F229,""))</f>
        <v/>
      </c>
      <c r="K229" s="30" t="str">
        <f aca="false">IF($E229="","",IFERROR(E229/G229,""))</f>
        <v/>
      </c>
      <c r="L229" s="30" t="str">
        <f aca="false">IF($E229="","",IFERROR(E229/F229*1000,""))</f>
        <v/>
      </c>
      <c r="M229" s="37" t="str">
        <f aca="false">IF($E229="","",IFERROR(H229/G229,""))</f>
        <v/>
      </c>
      <c r="N229" s="30" t="str">
        <f aca="false">IF($E229="","",IFERROR(E229/H229,"—"))</f>
        <v/>
      </c>
      <c r="O229" s="30" t="str">
        <f aca="false">IF($E229="","",IFERROR(INDEX('Гео-калькулятор'!$K$7:$K$13,MATCH($C229,'Гео-калькулятор'!$B$7:$B$13,0)),""))</f>
        <v/>
      </c>
      <c r="P229" s="38" t="str">
        <f aca="false">IF($E229="","",IFERROR(N229/O229,""))</f>
        <v/>
      </c>
      <c r="Q229" s="39" t="str">
        <f aca="false">IF($E229="","",IF($I229&lt;&gt;"",$I229,N($H229)*IFERROR(INDEX('Гео-калькулятор'!$E$7:$E$13,MATCH($C229,'Гео-калькулятор'!$B$7:$B$13,0)),0)))</f>
        <v/>
      </c>
      <c r="R229" s="38" t="str">
        <f aca="false">IF($E229="","",IFERROR(Q229/H229,""))</f>
        <v/>
      </c>
      <c r="S229" s="30" t="str">
        <f aca="false">IF($E229="","",IFERROR(E229/Q229,"—"))</f>
        <v/>
      </c>
      <c r="T229" s="30" t="str">
        <f aca="false">IF($E229="","",Q229*IFERROR(INDEX('Гео-калькулятор'!$D$7:$D$13,MATCH($C229,'Гео-калькулятор'!$B$7:$B$13,0)),0))</f>
        <v/>
      </c>
      <c r="U229" s="40" t="str">
        <f aca="false">IF($E229="","",T229-E229)</f>
        <v/>
      </c>
      <c r="V229" s="41" t="str">
        <f aca="false">IF($E229="","",IFERROR(U229/E229,""))</f>
        <v/>
      </c>
      <c r="W229" s="10" t="str">
        <f aca="false">IF($E229="","",IF($I229&lt;&gt;"","факт","прогноз"))</f>
        <v/>
      </c>
      <c r="X229" s="1"/>
      <c r="Y229" s="1"/>
      <c r="Z229" s="1"/>
      <c r="AA229" s="1"/>
      <c r="AB229" s="1"/>
      <c r="AC229" s="1"/>
      <c r="AD229" s="1"/>
    </row>
    <row r="230" customFormat="false" ht="18" hidden="false" customHeight="true" outlineLevel="0" collapsed="false">
      <c r="A230" s="1"/>
      <c r="B230" s="35"/>
      <c r="C230" s="8"/>
      <c r="D230" s="26"/>
      <c r="E230" s="27"/>
      <c r="F230" s="36"/>
      <c r="G230" s="36"/>
      <c r="H230" s="36"/>
      <c r="I230" s="36"/>
      <c r="J230" s="37" t="str">
        <f aca="false">IF($E230="","",IFERROR(G230/F230,""))</f>
        <v/>
      </c>
      <c r="K230" s="30" t="str">
        <f aca="false">IF($E230="","",IFERROR(E230/G230,""))</f>
        <v/>
      </c>
      <c r="L230" s="30" t="str">
        <f aca="false">IF($E230="","",IFERROR(E230/F230*1000,""))</f>
        <v/>
      </c>
      <c r="M230" s="37" t="str">
        <f aca="false">IF($E230="","",IFERROR(H230/G230,""))</f>
        <v/>
      </c>
      <c r="N230" s="30" t="str">
        <f aca="false">IF($E230="","",IFERROR(E230/H230,"—"))</f>
        <v/>
      </c>
      <c r="O230" s="30" t="str">
        <f aca="false">IF($E230="","",IFERROR(INDEX('Гео-калькулятор'!$K$7:$K$13,MATCH($C230,'Гео-калькулятор'!$B$7:$B$13,0)),""))</f>
        <v/>
      </c>
      <c r="P230" s="38" t="str">
        <f aca="false">IF($E230="","",IFERROR(N230/O230,""))</f>
        <v/>
      </c>
      <c r="Q230" s="39" t="str">
        <f aca="false">IF($E230="","",IF($I230&lt;&gt;"",$I230,N($H230)*IFERROR(INDEX('Гео-калькулятор'!$E$7:$E$13,MATCH($C230,'Гео-калькулятор'!$B$7:$B$13,0)),0)))</f>
        <v/>
      </c>
      <c r="R230" s="38" t="str">
        <f aca="false">IF($E230="","",IFERROR(Q230/H230,""))</f>
        <v/>
      </c>
      <c r="S230" s="30" t="str">
        <f aca="false">IF($E230="","",IFERROR(E230/Q230,"—"))</f>
        <v/>
      </c>
      <c r="T230" s="30" t="str">
        <f aca="false">IF($E230="","",Q230*IFERROR(INDEX('Гео-калькулятор'!$D$7:$D$13,MATCH($C230,'Гео-калькулятор'!$B$7:$B$13,0)),0))</f>
        <v/>
      </c>
      <c r="U230" s="40" t="str">
        <f aca="false">IF($E230="","",T230-E230)</f>
        <v/>
      </c>
      <c r="V230" s="41" t="str">
        <f aca="false">IF($E230="","",IFERROR(U230/E230,""))</f>
        <v/>
      </c>
      <c r="W230" s="10" t="str">
        <f aca="false">IF($E230="","",IF($I230&lt;&gt;"","факт","прогноз"))</f>
        <v/>
      </c>
      <c r="X230" s="1"/>
      <c r="Y230" s="1"/>
      <c r="Z230" s="1"/>
      <c r="AA230" s="1"/>
      <c r="AB230" s="1"/>
      <c r="AC230" s="1"/>
      <c r="AD230" s="1"/>
    </row>
    <row r="231" customFormat="false" ht="18" hidden="false" customHeight="true" outlineLevel="0" collapsed="false">
      <c r="A231" s="1"/>
      <c r="B231" s="35"/>
      <c r="C231" s="8"/>
      <c r="D231" s="26"/>
      <c r="E231" s="27"/>
      <c r="F231" s="36"/>
      <c r="G231" s="36"/>
      <c r="H231" s="36"/>
      <c r="I231" s="36"/>
      <c r="J231" s="37" t="str">
        <f aca="false">IF($E231="","",IFERROR(G231/F231,""))</f>
        <v/>
      </c>
      <c r="K231" s="30" t="str">
        <f aca="false">IF($E231="","",IFERROR(E231/G231,""))</f>
        <v/>
      </c>
      <c r="L231" s="30" t="str">
        <f aca="false">IF($E231="","",IFERROR(E231/F231*1000,""))</f>
        <v/>
      </c>
      <c r="M231" s="37" t="str">
        <f aca="false">IF($E231="","",IFERROR(H231/G231,""))</f>
        <v/>
      </c>
      <c r="N231" s="30" t="str">
        <f aca="false">IF($E231="","",IFERROR(E231/H231,"—"))</f>
        <v/>
      </c>
      <c r="O231" s="30" t="str">
        <f aca="false">IF($E231="","",IFERROR(INDEX('Гео-калькулятор'!$K$7:$K$13,MATCH($C231,'Гео-калькулятор'!$B$7:$B$13,0)),""))</f>
        <v/>
      </c>
      <c r="P231" s="38" t="str">
        <f aca="false">IF($E231="","",IFERROR(N231/O231,""))</f>
        <v/>
      </c>
      <c r="Q231" s="39" t="str">
        <f aca="false">IF($E231="","",IF($I231&lt;&gt;"",$I231,N($H231)*IFERROR(INDEX('Гео-калькулятор'!$E$7:$E$13,MATCH($C231,'Гео-калькулятор'!$B$7:$B$13,0)),0)))</f>
        <v/>
      </c>
      <c r="R231" s="38" t="str">
        <f aca="false">IF($E231="","",IFERROR(Q231/H231,""))</f>
        <v/>
      </c>
      <c r="S231" s="30" t="str">
        <f aca="false">IF($E231="","",IFERROR(E231/Q231,"—"))</f>
        <v/>
      </c>
      <c r="T231" s="30" t="str">
        <f aca="false">IF($E231="","",Q231*IFERROR(INDEX('Гео-калькулятор'!$D$7:$D$13,MATCH($C231,'Гео-калькулятор'!$B$7:$B$13,0)),0))</f>
        <v/>
      </c>
      <c r="U231" s="40" t="str">
        <f aca="false">IF($E231="","",T231-E231)</f>
        <v/>
      </c>
      <c r="V231" s="41" t="str">
        <f aca="false">IF($E231="","",IFERROR(U231/E231,""))</f>
        <v/>
      </c>
      <c r="W231" s="10" t="str">
        <f aca="false">IF($E231="","",IF($I231&lt;&gt;"","факт","прогноз"))</f>
        <v/>
      </c>
      <c r="X231" s="1"/>
      <c r="Y231" s="1"/>
      <c r="Z231" s="1"/>
      <c r="AA231" s="1"/>
      <c r="AB231" s="1"/>
      <c r="AC231" s="1"/>
      <c r="AD231" s="1"/>
    </row>
    <row r="232" customFormat="false" ht="18" hidden="false" customHeight="true" outlineLevel="0" collapsed="false">
      <c r="A232" s="1"/>
      <c r="B232" s="35"/>
      <c r="C232" s="8"/>
      <c r="D232" s="26"/>
      <c r="E232" s="27"/>
      <c r="F232" s="36"/>
      <c r="G232" s="36"/>
      <c r="H232" s="36"/>
      <c r="I232" s="36"/>
      <c r="J232" s="37" t="str">
        <f aca="false">IF($E232="","",IFERROR(G232/F232,""))</f>
        <v/>
      </c>
      <c r="K232" s="30" t="str">
        <f aca="false">IF($E232="","",IFERROR(E232/G232,""))</f>
        <v/>
      </c>
      <c r="L232" s="30" t="str">
        <f aca="false">IF($E232="","",IFERROR(E232/F232*1000,""))</f>
        <v/>
      </c>
      <c r="M232" s="37" t="str">
        <f aca="false">IF($E232="","",IFERROR(H232/G232,""))</f>
        <v/>
      </c>
      <c r="N232" s="30" t="str">
        <f aca="false">IF($E232="","",IFERROR(E232/H232,"—"))</f>
        <v/>
      </c>
      <c r="O232" s="30" t="str">
        <f aca="false">IF($E232="","",IFERROR(INDEX('Гео-калькулятор'!$K$7:$K$13,MATCH($C232,'Гео-калькулятор'!$B$7:$B$13,0)),""))</f>
        <v/>
      </c>
      <c r="P232" s="38" t="str">
        <f aca="false">IF($E232="","",IFERROR(N232/O232,""))</f>
        <v/>
      </c>
      <c r="Q232" s="39" t="str">
        <f aca="false">IF($E232="","",IF($I232&lt;&gt;"",$I232,N($H232)*IFERROR(INDEX('Гео-калькулятор'!$E$7:$E$13,MATCH($C232,'Гео-калькулятор'!$B$7:$B$13,0)),0)))</f>
        <v/>
      </c>
      <c r="R232" s="38" t="str">
        <f aca="false">IF($E232="","",IFERROR(Q232/H232,""))</f>
        <v/>
      </c>
      <c r="S232" s="30" t="str">
        <f aca="false">IF($E232="","",IFERROR(E232/Q232,"—"))</f>
        <v/>
      </c>
      <c r="T232" s="30" t="str">
        <f aca="false">IF($E232="","",Q232*IFERROR(INDEX('Гео-калькулятор'!$D$7:$D$13,MATCH($C232,'Гео-калькулятор'!$B$7:$B$13,0)),0))</f>
        <v/>
      </c>
      <c r="U232" s="40" t="str">
        <f aca="false">IF($E232="","",T232-E232)</f>
        <v/>
      </c>
      <c r="V232" s="41" t="str">
        <f aca="false">IF($E232="","",IFERROR(U232/E232,""))</f>
        <v/>
      </c>
      <c r="W232" s="10" t="str">
        <f aca="false">IF($E232="","",IF($I232&lt;&gt;"","факт","прогноз"))</f>
        <v/>
      </c>
      <c r="X232" s="1"/>
      <c r="Y232" s="1"/>
      <c r="Z232" s="1"/>
      <c r="AA232" s="1"/>
      <c r="AB232" s="1"/>
      <c r="AC232" s="1"/>
      <c r="AD232" s="1"/>
    </row>
    <row r="233" customFormat="false" ht="18" hidden="false" customHeight="true" outlineLevel="0" collapsed="false">
      <c r="A233" s="1"/>
      <c r="B233" s="35"/>
      <c r="C233" s="8"/>
      <c r="D233" s="26"/>
      <c r="E233" s="27"/>
      <c r="F233" s="36"/>
      <c r="G233" s="36"/>
      <c r="H233" s="36"/>
      <c r="I233" s="36"/>
      <c r="J233" s="37" t="str">
        <f aca="false">IF($E233="","",IFERROR(G233/F233,""))</f>
        <v/>
      </c>
      <c r="K233" s="30" t="str">
        <f aca="false">IF($E233="","",IFERROR(E233/G233,""))</f>
        <v/>
      </c>
      <c r="L233" s="30" t="str">
        <f aca="false">IF($E233="","",IFERROR(E233/F233*1000,""))</f>
        <v/>
      </c>
      <c r="M233" s="37" t="str">
        <f aca="false">IF($E233="","",IFERROR(H233/G233,""))</f>
        <v/>
      </c>
      <c r="N233" s="30" t="str">
        <f aca="false">IF($E233="","",IFERROR(E233/H233,"—"))</f>
        <v/>
      </c>
      <c r="O233" s="30" t="str">
        <f aca="false">IF($E233="","",IFERROR(INDEX('Гео-калькулятор'!$K$7:$K$13,MATCH($C233,'Гео-калькулятор'!$B$7:$B$13,0)),""))</f>
        <v/>
      </c>
      <c r="P233" s="38" t="str">
        <f aca="false">IF($E233="","",IFERROR(N233/O233,""))</f>
        <v/>
      </c>
      <c r="Q233" s="39" t="str">
        <f aca="false">IF($E233="","",IF($I233&lt;&gt;"",$I233,N($H233)*IFERROR(INDEX('Гео-калькулятор'!$E$7:$E$13,MATCH($C233,'Гео-калькулятор'!$B$7:$B$13,0)),0)))</f>
        <v/>
      </c>
      <c r="R233" s="38" t="str">
        <f aca="false">IF($E233="","",IFERROR(Q233/H233,""))</f>
        <v/>
      </c>
      <c r="S233" s="30" t="str">
        <f aca="false">IF($E233="","",IFERROR(E233/Q233,"—"))</f>
        <v/>
      </c>
      <c r="T233" s="30" t="str">
        <f aca="false">IF($E233="","",Q233*IFERROR(INDEX('Гео-калькулятор'!$D$7:$D$13,MATCH($C233,'Гео-калькулятор'!$B$7:$B$13,0)),0))</f>
        <v/>
      </c>
      <c r="U233" s="40" t="str">
        <f aca="false">IF($E233="","",T233-E233)</f>
        <v/>
      </c>
      <c r="V233" s="41" t="str">
        <f aca="false">IF($E233="","",IFERROR(U233/E233,""))</f>
        <v/>
      </c>
      <c r="W233" s="10" t="str">
        <f aca="false">IF($E233="","",IF($I233&lt;&gt;"","факт","прогноз"))</f>
        <v/>
      </c>
      <c r="X233" s="1"/>
      <c r="Y233" s="1"/>
      <c r="Z233" s="1"/>
      <c r="AA233" s="1"/>
      <c r="AB233" s="1"/>
      <c r="AC233" s="1"/>
      <c r="AD233" s="1"/>
    </row>
    <row r="234" customFormat="false" ht="18" hidden="false" customHeight="true" outlineLevel="0" collapsed="false">
      <c r="A234" s="1"/>
      <c r="B234" s="35"/>
      <c r="C234" s="8"/>
      <c r="D234" s="26"/>
      <c r="E234" s="27"/>
      <c r="F234" s="36"/>
      <c r="G234" s="36"/>
      <c r="H234" s="36"/>
      <c r="I234" s="36"/>
      <c r="J234" s="37" t="str">
        <f aca="false">IF($E234="","",IFERROR(G234/F234,""))</f>
        <v/>
      </c>
      <c r="K234" s="30" t="str">
        <f aca="false">IF($E234="","",IFERROR(E234/G234,""))</f>
        <v/>
      </c>
      <c r="L234" s="30" t="str">
        <f aca="false">IF($E234="","",IFERROR(E234/F234*1000,""))</f>
        <v/>
      </c>
      <c r="M234" s="37" t="str">
        <f aca="false">IF($E234="","",IFERROR(H234/G234,""))</f>
        <v/>
      </c>
      <c r="N234" s="30" t="str">
        <f aca="false">IF($E234="","",IFERROR(E234/H234,"—"))</f>
        <v/>
      </c>
      <c r="O234" s="30" t="str">
        <f aca="false">IF($E234="","",IFERROR(INDEX('Гео-калькулятор'!$K$7:$K$13,MATCH($C234,'Гео-калькулятор'!$B$7:$B$13,0)),""))</f>
        <v/>
      </c>
      <c r="P234" s="38" t="str">
        <f aca="false">IF($E234="","",IFERROR(N234/O234,""))</f>
        <v/>
      </c>
      <c r="Q234" s="39" t="str">
        <f aca="false">IF($E234="","",IF($I234&lt;&gt;"",$I234,N($H234)*IFERROR(INDEX('Гео-калькулятор'!$E$7:$E$13,MATCH($C234,'Гео-калькулятор'!$B$7:$B$13,0)),0)))</f>
        <v/>
      </c>
      <c r="R234" s="38" t="str">
        <f aca="false">IF($E234="","",IFERROR(Q234/H234,""))</f>
        <v/>
      </c>
      <c r="S234" s="30" t="str">
        <f aca="false">IF($E234="","",IFERROR(E234/Q234,"—"))</f>
        <v/>
      </c>
      <c r="T234" s="30" t="str">
        <f aca="false">IF($E234="","",Q234*IFERROR(INDEX('Гео-калькулятор'!$D$7:$D$13,MATCH($C234,'Гео-калькулятор'!$B$7:$B$13,0)),0))</f>
        <v/>
      </c>
      <c r="U234" s="40" t="str">
        <f aca="false">IF($E234="","",T234-E234)</f>
        <v/>
      </c>
      <c r="V234" s="41" t="str">
        <f aca="false">IF($E234="","",IFERROR(U234/E234,""))</f>
        <v/>
      </c>
      <c r="W234" s="10" t="str">
        <f aca="false">IF($E234="","",IF($I234&lt;&gt;"","факт","прогноз"))</f>
        <v/>
      </c>
      <c r="X234" s="1"/>
      <c r="Y234" s="1"/>
      <c r="Z234" s="1"/>
      <c r="AA234" s="1"/>
      <c r="AB234" s="1"/>
      <c r="AC234" s="1"/>
      <c r="AD234" s="1"/>
    </row>
    <row r="235" customFormat="false" ht="18" hidden="false" customHeight="true" outlineLevel="0" collapsed="false">
      <c r="A235" s="1"/>
      <c r="B235" s="35"/>
      <c r="C235" s="8"/>
      <c r="D235" s="26"/>
      <c r="E235" s="27"/>
      <c r="F235" s="36"/>
      <c r="G235" s="36"/>
      <c r="H235" s="36"/>
      <c r="I235" s="36"/>
      <c r="J235" s="37" t="str">
        <f aca="false">IF($E235="","",IFERROR(G235/F235,""))</f>
        <v/>
      </c>
      <c r="K235" s="30" t="str">
        <f aca="false">IF($E235="","",IFERROR(E235/G235,""))</f>
        <v/>
      </c>
      <c r="L235" s="30" t="str">
        <f aca="false">IF($E235="","",IFERROR(E235/F235*1000,""))</f>
        <v/>
      </c>
      <c r="M235" s="37" t="str">
        <f aca="false">IF($E235="","",IFERROR(H235/G235,""))</f>
        <v/>
      </c>
      <c r="N235" s="30" t="str">
        <f aca="false">IF($E235="","",IFERROR(E235/H235,"—"))</f>
        <v/>
      </c>
      <c r="O235" s="30" t="str">
        <f aca="false">IF($E235="","",IFERROR(INDEX('Гео-калькулятор'!$K$7:$K$13,MATCH($C235,'Гео-калькулятор'!$B$7:$B$13,0)),""))</f>
        <v/>
      </c>
      <c r="P235" s="38" t="str">
        <f aca="false">IF($E235="","",IFERROR(N235/O235,""))</f>
        <v/>
      </c>
      <c r="Q235" s="39" t="str">
        <f aca="false">IF($E235="","",IF($I235&lt;&gt;"",$I235,N($H235)*IFERROR(INDEX('Гео-калькулятор'!$E$7:$E$13,MATCH($C235,'Гео-калькулятор'!$B$7:$B$13,0)),0)))</f>
        <v/>
      </c>
      <c r="R235" s="38" t="str">
        <f aca="false">IF($E235="","",IFERROR(Q235/H235,""))</f>
        <v/>
      </c>
      <c r="S235" s="30" t="str">
        <f aca="false">IF($E235="","",IFERROR(E235/Q235,"—"))</f>
        <v/>
      </c>
      <c r="T235" s="30" t="str">
        <f aca="false">IF($E235="","",Q235*IFERROR(INDEX('Гео-калькулятор'!$D$7:$D$13,MATCH($C235,'Гео-калькулятор'!$B$7:$B$13,0)),0))</f>
        <v/>
      </c>
      <c r="U235" s="40" t="str">
        <f aca="false">IF($E235="","",T235-E235)</f>
        <v/>
      </c>
      <c r="V235" s="41" t="str">
        <f aca="false">IF($E235="","",IFERROR(U235/E235,""))</f>
        <v/>
      </c>
      <c r="W235" s="10" t="str">
        <f aca="false">IF($E235="","",IF($I235&lt;&gt;"","факт","прогноз"))</f>
        <v/>
      </c>
      <c r="X235" s="1"/>
      <c r="Y235" s="1"/>
      <c r="Z235" s="1"/>
      <c r="AA235" s="1"/>
      <c r="AB235" s="1"/>
      <c r="AC235" s="1"/>
      <c r="AD235" s="1"/>
    </row>
    <row r="236" customFormat="false" ht="18" hidden="false" customHeight="true" outlineLevel="0" collapsed="false">
      <c r="A236" s="1"/>
      <c r="B236" s="35"/>
      <c r="C236" s="8"/>
      <c r="D236" s="26"/>
      <c r="E236" s="27"/>
      <c r="F236" s="36"/>
      <c r="G236" s="36"/>
      <c r="H236" s="36"/>
      <c r="I236" s="36"/>
      <c r="J236" s="37" t="str">
        <f aca="false">IF($E236="","",IFERROR(G236/F236,""))</f>
        <v/>
      </c>
      <c r="K236" s="30" t="str">
        <f aca="false">IF($E236="","",IFERROR(E236/G236,""))</f>
        <v/>
      </c>
      <c r="L236" s="30" t="str">
        <f aca="false">IF($E236="","",IFERROR(E236/F236*1000,""))</f>
        <v/>
      </c>
      <c r="M236" s="37" t="str">
        <f aca="false">IF($E236="","",IFERROR(H236/G236,""))</f>
        <v/>
      </c>
      <c r="N236" s="30" t="str">
        <f aca="false">IF($E236="","",IFERROR(E236/H236,"—"))</f>
        <v/>
      </c>
      <c r="O236" s="30" t="str">
        <f aca="false">IF($E236="","",IFERROR(INDEX('Гео-калькулятор'!$K$7:$K$13,MATCH($C236,'Гео-калькулятор'!$B$7:$B$13,0)),""))</f>
        <v/>
      </c>
      <c r="P236" s="38" t="str">
        <f aca="false">IF($E236="","",IFERROR(N236/O236,""))</f>
        <v/>
      </c>
      <c r="Q236" s="39" t="str">
        <f aca="false">IF($E236="","",IF($I236&lt;&gt;"",$I236,N($H236)*IFERROR(INDEX('Гео-калькулятор'!$E$7:$E$13,MATCH($C236,'Гео-калькулятор'!$B$7:$B$13,0)),0)))</f>
        <v/>
      </c>
      <c r="R236" s="38" t="str">
        <f aca="false">IF($E236="","",IFERROR(Q236/H236,""))</f>
        <v/>
      </c>
      <c r="S236" s="30" t="str">
        <f aca="false">IF($E236="","",IFERROR(E236/Q236,"—"))</f>
        <v/>
      </c>
      <c r="T236" s="30" t="str">
        <f aca="false">IF($E236="","",Q236*IFERROR(INDEX('Гео-калькулятор'!$D$7:$D$13,MATCH($C236,'Гео-калькулятор'!$B$7:$B$13,0)),0))</f>
        <v/>
      </c>
      <c r="U236" s="40" t="str">
        <f aca="false">IF($E236="","",T236-E236)</f>
        <v/>
      </c>
      <c r="V236" s="41" t="str">
        <f aca="false">IF($E236="","",IFERROR(U236/E236,""))</f>
        <v/>
      </c>
      <c r="W236" s="10" t="str">
        <f aca="false">IF($E236="","",IF($I236&lt;&gt;"","факт","прогноз"))</f>
        <v/>
      </c>
      <c r="X236" s="1"/>
      <c r="Y236" s="1"/>
      <c r="Z236" s="1"/>
      <c r="AA236" s="1"/>
      <c r="AB236" s="1"/>
      <c r="AC236" s="1"/>
      <c r="AD236" s="1"/>
    </row>
    <row r="237" customFormat="false" ht="18" hidden="false" customHeight="true" outlineLevel="0" collapsed="false">
      <c r="A237" s="1"/>
      <c r="B237" s="35"/>
      <c r="C237" s="8"/>
      <c r="D237" s="26"/>
      <c r="E237" s="27"/>
      <c r="F237" s="36"/>
      <c r="G237" s="36"/>
      <c r="H237" s="36"/>
      <c r="I237" s="36"/>
      <c r="J237" s="37" t="str">
        <f aca="false">IF($E237="","",IFERROR(G237/F237,""))</f>
        <v/>
      </c>
      <c r="K237" s="30" t="str">
        <f aca="false">IF($E237="","",IFERROR(E237/G237,""))</f>
        <v/>
      </c>
      <c r="L237" s="30" t="str">
        <f aca="false">IF($E237="","",IFERROR(E237/F237*1000,""))</f>
        <v/>
      </c>
      <c r="M237" s="37" t="str">
        <f aca="false">IF($E237="","",IFERROR(H237/G237,""))</f>
        <v/>
      </c>
      <c r="N237" s="30" t="str">
        <f aca="false">IF($E237="","",IFERROR(E237/H237,"—"))</f>
        <v/>
      </c>
      <c r="O237" s="30" t="str">
        <f aca="false">IF($E237="","",IFERROR(INDEX('Гео-калькулятор'!$K$7:$K$13,MATCH($C237,'Гео-калькулятор'!$B$7:$B$13,0)),""))</f>
        <v/>
      </c>
      <c r="P237" s="38" t="str">
        <f aca="false">IF($E237="","",IFERROR(N237/O237,""))</f>
        <v/>
      </c>
      <c r="Q237" s="39" t="str">
        <f aca="false">IF($E237="","",IF($I237&lt;&gt;"",$I237,N($H237)*IFERROR(INDEX('Гео-калькулятор'!$E$7:$E$13,MATCH($C237,'Гео-калькулятор'!$B$7:$B$13,0)),0)))</f>
        <v/>
      </c>
      <c r="R237" s="38" t="str">
        <f aca="false">IF($E237="","",IFERROR(Q237/H237,""))</f>
        <v/>
      </c>
      <c r="S237" s="30" t="str">
        <f aca="false">IF($E237="","",IFERROR(E237/Q237,"—"))</f>
        <v/>
      </c>
      <c r="T237" s="30" t="str">
        <f aca="false">IF($E237="","",Q237*IFERROR(INDEX('Гео-калькулятор'!$D$7:$D$13,MATCH($C237,'Гео-калькулятор'!$B$7:$B$13,0)),0))</f>
        <v/>
      </c>
      <c r="U237" s="40" t="str">
        <f aca="false">IF($E237="","",T237-E237)</f>
        <v/>
      </c>
      <c r="V237" s="41" t="str">
        <f aca="false">IF($E237="","",IFERROR(U237/E237,""))</f>
        <v/>
      </c>
      <c r="W237" s="10" t="str">
        <f aca="false">IF($E237="","",IF($I237&lt;&gt;"","факт","прогноз"))</f>
        <v/>
      </c>
      <c r="X237" s="1"/>
      <c r="Y237" s="1"/>
      <c r="Z237" s="1"/>
      <c r="AA237" s="1"/>
      <c r="AB237" s="1"/>
      <c r="AC237" s="1"/>
      <c r="AD237" s="1"/>
    </row>
    <row r="238" customFormat="false" ht="18" hidden="false" customHeight="true" outlineLevel="0" collapsed="false">
      <c r="A238" s="1"/>
      <c r="B238" s="35"/>
      <c r="C238" s="8"/>
      <c r="D238" s="26"/>
      <c r="E238" s="27"/>
      <c r="F238" s="36"/>
      <c r="G238" s="36"/>
      <c r="H238" s="36"/>
      <c r="I238" s="36"/>
      <c r="J238" s="37" t="str">
        <f aca="false">IF($E238="","",IFERROR(G238/F238,""))</f>
        <v/>
      </c>
      <c r="K238" s="30" t="str">
        <f aca="false">IF($E238="","",IFERROR(E238/G238,""))</f>
        <v/>
      </c>
      <c r="L238" s="30" t="str">
        <f aca="false">IF($E238="","",IFERROR(E238/F238*1000,""))</f>
        <v/>
      </c>
      <c r="M238" s="37" t="str">
        <f aca="false">IF($E238="","",IFERROR(H238/G238,""))</f>
        <v/>
      </c>
      <c r="N238" s="30" t="str">
        <f aca="false">IF($E238="","",IFERROR(E238/H238,"—"))</f>
        <v/>
      </c>
      <c r="O238" s="30" t="str">
        <f aca="false">IF($E238="","",IFERROR(INDEX('Гео-калькулятор'!$K$7:$K$13,MATCH($C238,'Гео-калькулятор'!$B$7:$B$13,0)),""))</f>
        <v/>
      </c>
      <c r="P238" s="38" t="str">
        <f aca="false">IF($E238="","",IFERROR(N238/O238,""))</f>
        <v/>
      </c>
      <c r="Q238" s="39" t="str">
        <f aca="false">IF($E238="","",IF($I238&lt;&gt;"",$I238,N($H238)*IFERROR(INDEX('Гео-калькулятор'!$E$7:$E$13,MATCH($C238,'Гео-калькулятор'!$B$7:$B$13,0)),0)))</f>
        <v/>
      </c>
      <c r="R238" s="38" t="str">
        <f aca="false">IF($E238="","",IFERROR(Q238/H238,""))</f>
        <v/>
      </c>
      <c r="S238" s="30" t="str">
        <f aca="false">IF($E238="","",IFERROR(E238/Q238,"—"))</f>
        <v/>
      </c>
      <c r="T238" s="30" t="str">
        <f aca="false">IF($E238="","",Q238*IFERROR(INDEX('Гео-калькулятор'!$D$7:$D$13,MATCH($C238,'Гео-калькулятор'!$B$7:$B$13,0)),0))</f>
        <v/>
      </c>
      <c r="U238" s="40" t="str">
        <f aca="false">IF($E238="","",T238-E238)</f>
        <v/>
      </c>
      <c r="V238" s="41" t="str">
        <f aca="false">IF($E238="","",IFERROR(U238/E238,""))</f>
        <v/>
      </c>
      <c r="W238" s="10" t="str">
        <f aca="false">IF($E238="","",IF($I238&lt;&gt;"","факт","прогноз"))</f>
        <v/>
      </c>
      <c r="X238" s="1"/>
      <c r="Y238" s="1"/>
      <c r="Z238" s="1"/>
      <c r="AA238" s="1"/>
      <c r="AB238" s="1"/>
      <c r="AC238" s="1"/>
      <c r="AD238" s="1"/>
    </row>
    <row r="239" customFormat="false" ht="18" hidden="false" customHeight="true" outlineLevel="0" collapsed="false">
      <c r="A239" s="1"/>
      <c r="B239" s="35"/>
      <c r="C239" s="8"/>
      <c r="D239" s="26"/>
      <c r="E239" s="27"/>
      <c r="F239" s="36"/>
      <c r="G239" s="36"/>
      <c r="H239" s="36"/>
      <c r="I239" s="36"/>
      <c r="J239" s="37" t="str">
        <f aca="false">IF($E239="","",IFERROR(G239/F239,""))</f>
        <v/>
      </c>
      <c r="K239" s="30" t="str">
        <f aca="false">IF($E239="","",IFERROR(E239/G239,""))</f>
        <v/>
      </c>
      <c r="L239" s="30" t="str">
        <f aca="false">IF($E239="","",IFERROR(E239/F239*1000,""))</f>
        <v/>
      </c>
      <c r="M239" s="37" t="str">
        <f aca="false">IF($E239="","",IFERROR(H239/G239,""))</f>
        <v/>
      </c>
      <c r="N239" s="30" t="str">
        <f aca="false">IF($E239="","",IFERROR(E239/H239,"—"))</f>
        <v/>
      </c>
      <c r="O239" s="30" t="str">
        <f aca="false">IF($E239="","",IFERROR(INDEX('Гео-калькулятор'!$K$7:$K$13,MATCH($C239,'Гео-калькулятор'!$B$7:$B$13,0)),""))</f>
        <v/>
      </c>
      <c r="P239" s="38" t="str">
        <f aca="false">IF($E239="","",IFERROR(N239/O239,""))</f>
        <v/>
      </c>
      <c r="Q239" s="39" t="str">
        <f aca="false">IF($E239="","",IF($I239&lt;&gt;"",$I239,N($H239)*IFERROR(INDEX('Гео-калькулятор'!$E$7:$E$13,MATCH($C239,'Гео-калькулятор'!$B$7:$B$13,0)),0)))</f>
        <v/>
      </c>
      <c r="R239" s="38" t="str">
        <f aca="false">IF($E239="","",IFERROR(Q239/H239,""))</f>
        <v/>
      </c>
      <c r="S239" s="30" t="str">
        <f aca="false">IF($E239="","",IFERROR(E239/Q239,"—"))</f>
        <v/>
      </c>
      <c r="T239" s="30" t="str">
        <f aca="false">IF($E239="","",Q239*IFERROR(INDEX('Гео-калькулятор'!$D$7:$D$13,MATCH($C239,'Гео-калькулятор'!$B$7:$B$13,0)),0))</f>
        <v/>
      </c>
      <c r="U239" s="40" t="str">
        <f aca="false">IF($E239="","",T239-E239)</f>
        <v/>
      </c>
      <c r="V239" s="41" t="str">
        <f aca="false">IF($E239="","",IFERROR(U239/E239,""))</f>
        <v/>
      </c>
      <c r="W239" s="10" t="str">
        <f aca="false">IF($E239="","",IF($I239&lt;&gt;"","факт","прогноз"))</f>
        <v/>
      </c>
      <c r="X239" s="1"/>
      <c r="Y239" s="1"/>
      <c r="Z239" s="1"/>
      <c r="AA239" s="1"/>
      <c r="AB239" s="1"/>
      <c r="AC239" s="1"/>
      <c r="AD239" s="1"/>
    </row>
    <row r="240" customFormat="false" ht="18" hidden="false" customHeight="true" outlineLevel="0" collapsed="false">
      <c r="A240" s="1"/>
      <c r="B240" s="35"/>
      <c r="C240" s="8"/>
      <c r="D240" s="26"/>
      <c r="E240" s="27"/>
      <c r="F240" s="36"/>
      <c r="G240" s="36"/>
      <c r="H240" s="36"/>
      <c r="I240" s="36"/>
      <c r="J240" s="37" t="str">
        <f aca="false">IF($E240="","",IFERROR(G240/F240,""))</f>
        <v/>
      </c>
      <c r="K240" s="30" t="str">
        <f aca="false">IF($E240="","",IFERROR(E240/G240,""))</f>
        <v/>
      </c>
      <c r="L240" s="30" t="str">
        <f aca="false">IF($E240="","",IFERROR(E240/F240*1000,""))</f>
        <v/>
      </c>
      <c r="M240" s="37" t="str">
        <f aca="false">IF($E240="","",IFERROR(H240/G240,""))</f>
        <v/>
      </c>
      <c r="N240" s="30" t="str">
        <f aca="false">IF($E240="","",IFERROR(E240/H240,"—"))</f>
        <v/>
      </c>
      <c r="O240" s="30" t="str">
        <f aca="false">IF($E240="","",IFERROR(INDEX('Гео-калькулятор'!$K$7:$K$13,MATCH($C240,'Гео-калькулятор'!$B$7:$B$13,0)),""))</f>
        <v/>
      </c>
      <c r="P240" s="38" t="str">
        <f aca="false">IF($E240="","",IFERROR(N240/O240,""))</f>
        <v/>
      </c>
      <c r="Q240" s="39" t="str">
        <f aca="false">IF($E240="","",IF($I240&lt;&gt;"",$I240,N($H240)*IFERROR(INDEX('Гео-калькулятор'!$E$7:$E$13,MATCH($C240,'Гео-калькулятор'!$B$7:$B$13,0)),0)))</f>
        <v/>
      </c>
      <c r="R240" s="38" t="str">
        <f aca="false">IF($E240="","",IFERROR(Q240/H240,""))</f>
        <v/>
      </c>
      <c r="S240" s="30" t="str">
        <f aca="false">IF($E240="","",IFERROR(E240/Q240,"—"))</f>
        <v/>
      </c>
      <c r="T240" s="30" t="str">
        <f aca="false">IF($E240="","",Q240*IFERROR(INDEX('Гео-калькулятор'!$D$7:$D$13,MATCH($C240,'Гео-калькулятор'!$B$7:$B$13,0)),0))</f>
        <v/>
      </c>
      <c r="U240" s="40" t="str">
        <f aca="false">IF($E240="","",T240-E240)</f>
        <v/>
      </c>
      <c r="V240" s="41" t="str">
        <f aca="false">IF($E240="","",IFERROR(U240/E240,""))</f>
        <v/>
      </c>
      <c r="W240" s="10" t="str">
        <f aca="false">IF($E240="","",IF($I240&lt;&gt;"","факт","прогноз"))</f>
        <v/>
      </c>
      <c r="X240" s="1"/>
      <c r="Y240" s="1"/>
      <c r="Z240" s="1"/>
      <c r="AA240" s="1"/>
      <c r="AB240" s="1"/>
      <c r="AC240" s="1"/>
      <c r="AD240" s="1"/>
    </row>
    <row r="241" customFormat="false" ht="18" hidden="false" customHeight="true" outlineLevel="0" collapsed="false">
      <c r="A241" s="1"/>
      <c r="B241" s="35"/>
      <c r="C241" s="8"/>
      <c r="D241" s="26"/>
      <c r="E241" s="27"/>
      <c r="F241" s="36"/>
      <c r="G241" s="36"/>
      <c r="H241" s="36"/>
      <c r="I241" s="36"/>
      <c r="J241" s="37" t="str">
        <f aca="false">IF($E241="","",IFERROR(G241/F241,""))</f>
        <v/>
      </c>
      <c r="K241" s="30" t="str">
        <f aca="false">IF($E241="","",IFERROR(E241/G241,""))</f>
        <v/>
      </c>
      <c r="L241" s="30" t="str">
        <f aca="false">IF($E241="","",IFERROR(E241/F241*1000,""))</f>
        <v/>
      </c>
      <c r="M241" s="37" t="str">
        <f aca="false">IF($E241="","",IFERROR(H241/G241,""))</f>
        <v/>
      </c>
      <c r="N241" s="30" t="str">
        <f aca="false">IF($E241="","",IFERROR(E241/H241,"—"))</f>
        <v/>
      </c>
      <c r="O241" s="30" t="str">
        <f aca="false">IF($E241="","",IFERROR(INDEX('Гео-калькулятор'!$K$7:$K$13,MATCH($C241,'Гео-калькулятор'!$B$7:$B$13,0)),""))</f>
        <v/>
      </c>
      <c r="P241" s="38" t="str">
        <f aca="false">IF($E241="","",IFERROR(N241/O241,""))</f>
        <v/>
      </c>
      <c r="Q241" s="39" t="str">
        <f aca="false">IF($E241="","",IF($I241&lt;&gt;"",$I241,N($H241)*IFERROR(INDEX('Гео-калькулятор'!$E$7:$E$13,MATCH($C241,'Гео-калькулятор'!$B$7:$B$13,0)),0)))</f>
        <v/>
      </c>
      <c r="R241" s="38" t="str">
        <f aca="false">IF($E241="","",IFERROR(Q241/H241,""))</f>
        <v/>
      </c>
      <c r="S241" s="30" t="str">
        <f aca="false">IF($E241="","",IFERROR(E241/Q241,"—"))</f>
        <v/>
      </c>
      <c r="T241" s="30" t="str">
        <f aca="false">IF($E241="","",Q241*IFERROR(INDEX('Гео-калькулятор'!$D$7:$D$13,MATCH($C241,'Гео-калькулятор'!$B$7:$B$13,0)),0))</f>
        <v/>
      </c>
      <c r="U241" s="40" t="str">
        <f aca="false">IF($E241="","",T241-E241)</f>
        <v/>
      </c>
      <c r="V241" s="41" t="str">
        <f aca="false">IF($E241="","",IFERROR(U241/E241,""))</f>
        <v/>
      </c>
      <c r="W241" s="10" t="str">
        <f aca="false">IF($E241="","",IF($I241&lt;&gt;"","факт","прогноз"))</f>
        <v/>
      </c>
      <c r="X241" s="1"/>
      <c r="Y241" s="1"/>
      <c r="Z241" s="1"/>
      <c r="AA241" s="1"/>
      <c r="AB241" s="1"/>
      <c r="AC241" s="1"/>
      <c r="AD241" s="1"/>
    </row>
    <row r="242" customFormat="false" ht="18" hidden="false" customHeight="true" outlineLevel="0" collapsed="false">
      <c r="A242" s="1"/>
      <c r="B242" s="35"/>
      <c r="C242" s="8"/>
      <c r="D242" s="26"/>
      <c r="E242" s="27"/>
      <c r="F242" s="36"/>
      <c r="G242" s="36"/>
      <c r="H242" s="36"/>
      <c r="I242" s="36"/>
      <c r="J242" s="37" t="str">
        <f aca="false">IF($E242="","",IFERROR(G242/F242,""))</f>
        <v/>
      </c>
      <c r="K242" s="30" t="str">
        <f aca="false">IF($E242="","",IFERROR(E242/G242,""))</f>
        <v/>
      </c>
      <c r="L242" s="30" t="str">
        <f aca="false">IF($E242="","",IFERROR(E242/F242*1000,""))</f>
        <v/>
      </c>
      <c r="M242" s="37" t="str">
        <f aca="false">IF($E242="","",IFERROR(H242/G242,""))</f>
        <v/>
      </c>
      <c r="N242" s="30" t="str">
        <f aca="false">IF($E242="","",IFERROR(E242/H242,"—"))</f>
        <v/>
      </c>
      <c r="O242" s="30" t="str">
        <f aca="false">IF($E242="","",IFERROR(INDEX('Гео-калькулятор'!$K$7:$K$13,MATCH($C242,'Гео-калькулятор'!$B$7:$B$13,0)),""))</f>
        <v/>
      </c>
      <c r="P242" s="38" t="str">
        <f aca="false">IF($E242="","",IFERROR(N242/O242,""))</f>
        <v/>
      </c>
      <c r="Q242" s="39" t="str">
        <f aca="false">IF($E242="","",IF($I242&lt;&gt;"",$I242,N($H242)*IFERROR(INDEX('Гео-калькулятор'!$E$7:$E$13,MATCH($C242,'Гео-калькулятор'!$B$7:$B$13,0)),0)))</f>
        <v/>
      </c>
      <c r="R242" s="38" t="str">
        <f aca="false">IF($E242="","",IFERROR(Q242/H242,""))</f>
        <v/>
      </c>
      <c r="S242" s="30" t="str">
        <f aca="false">IF($E242="","",IFERROR(E242/Q242,"—"))</f>
        <v/>
      </c>
      <c r="T242" s="30" t="str">
        <f aca="false">IF($E242="","",Q242*IFERROR(INDEX('Гео-калькулятор'!$D$7:$D$13,MATCH($C242,'Гео-калькулятор'!$B$7:$B$13,0)),0))</f>
        <v/>
      </c>
      <c r="U242" s="40" t="str">
        <f aca="false">IF($E242="","",T242-E242)</f>
        <v/>
      </c>
      <c r="V242" s="41" t="str">
        <f aca="false">IF($E242="","",IFERROR(U242/E242,""))</f>
        <v/>
      </c>
      <c r="W242" s="10" t="str">
        <f aca="false">IF($E242="","",IF($I242&lt;&gt;"","факт","прогноз"))</f>
        <v/>
      </c>
      <c r="X242" s="1"/>
      <c r="Y242" s="1"/>
      <c r="Z242" s="1"/>
      <c r="AA242" s="1"/>
      <c r="AB242" s="1"/>
      <c r="AC242" s="1"/>
      <c r="AD242" s="1"/>
    </row>
    <row r="243" customFormat="false" ht="18" hidden="false" customHeight="true" outlineLevel="0" collapsed="false">
      <c r="A243" s="1"/>
      <c r="B243" s="35"/>
      <c r="C243" s="8"/>
      <c r="D243" s="26"/>
      <c r="E243" s="27"/>
      <c r="F243" s="36"/>
      <c r="G243" s="36"/>
      <c r="H243" s="36"/>
      <c r="I243" s="36"/>
      <c r="J243" s="37" t="str">
        <f aca="false">IF($E243="","",IFERROR(G243/F243,""))</f>
        <v/>
      </c>
      <c r="K243" s="30" t="str">
        <f aca="false">IF($E243="","",IFERROR(E243/G243,""))</f>
        <v/>
      </c>
      <c r="L243" s="30" t="str">
        <f aca="false">IF($E243="","",IFERROR(E243/F243*1000,""))</f>
        <v/>
      </c>
      <c r="M243" s="37" t="str">
        <f aca="false">IF($E243="","",IFERROR(H243/G243,""))</f>
        <v/>
      </c>
      <c r="N243" s="30" t="str">
        <f aca="false">IF($E243="","",IFERROR(E243/H243,"—"))</f>
        <v/>
      </c>
      <c r="O243" s="30" t="str">
        <f aca="false">IF($E243="","",IFERROR(INDEX('Гео-калькулятор'!$K$7:$K$13,MATCH($C243,'Гео-калькулятор'!$B$7:$B$13,0)),""))</f>
        <v/>
      </c>
      <c r="P243" s="38" t="str">
        <f aca="false">IF($E243="","",IFERROR(N243/O243,""))</f>
        <v/>
      </c>
      <c r="Q243" s="39" t="str">
        <f aca="false">IF($E243="","",IF($I243&lt;&gt;"",$I243,N($H243)*IFERROR(INDEX('Гео-калькулятор'!$E$7:$E$13,MATCH($C243,'Гео-калькулятор'!$B$7:$B$13,0)),0)))</f>
        <v/>
      </c>
      <c r="R243" s="38" t="str">
        <f aca="false">IF($E243="","",IFERROR(Q243/H243,""))</f>
        <v/>
      </c>
      <c r="S243" s="30" t="str">
        <f aca="false">IF($E243="","",IFERROR(E243/Q243,"—"))</f>
        <v/>
      </c>
      <c r="T243" s="30" t="str">
        <f aca="false">IF($E243="","",Q243*IFERROR(INDEX('Гео-калькулятор'!$D$7:$D$13,MATCH($C243,'Гео-калькулятор'!$B$7:$B$13,0)),0))</f>
        <v/>
      </c>
      <c r="U243" s="40" t="str">
        <f aca="false">IF($E243="","",T243-E243)</f>
        <v/>
      </c>
      <c r="V243" s="41" t="str">
        <f aca="false">IF($E243="","",IFERROR(U243/E243,""))</f>
        <v/>
      </c>
      <c r="W243" s="10" t="str">
        <f aca="false">IF($E243="","",IF($I243&lt;&gt;"","факт","прогноз"))</f>
        <v/>
      </c>
      <c r="X243" s="1"/>
      <c r="Y243" s="1"/>
      <c r="Z243" s="1"/>
      <c r="AA243" s="1"/>
      <c r="AB243" s="1"/>
      <c r="AC243" s="1"/>
      <c r="AD243" s="1"/>
    </row>
    <row r="244" customFormat="false" ht="18" hidden="false" customHeight="true" outlineLevel="0" collapsed="false">
      <c r="A244" s="1"/>
      <c r="B244" s="35"/>
      <c r="C244" s="8"/>
      <c r="D244" s="26"/>
      <c r="E244" s="27"/>
      <c r="F244" s="36"/>
      <c r="G244" s="36"/>
      <c r="H244" s="36"/>
      <c r="I244" s="36"/>
      <c r="J244" s="37" t="str">
        <f aca="false">IF($E244="","",IFERROR(G244/F244,""))</f>
        <v/>
      </c>
      <c r="K244" s="30" t="str">
        <f aca="false">IF($E244="","",IFERROR(E244/G244,""))</f>
        <v/>
      </c>
      <c r="L244" s="30" t="str">
        <f aca="false">IF($E244="","",IFERROR(E244/F244*1000,""))</f>
        <v/>
      </c>
      <c r="M244" s="37" t="str">
        <f aca="false">IF($E244="","",IFERROR(H244/G244,""))</f>
        <v/>
      </c>
      <c r="N244" s="30" t="str">
        <f aca="false">IF($E244="","",IFERROR(E244/H244,"—"))</f>
        <v/>
      </c>
      <c r="O244" s="30" t="str">
        <f aca="false">IF($E244="","",IFERROR(INDEX('Гео-калькулятор'!$K$7:$K$13,MATCH($C244,'Гео-калькулятор'!$B$7:$B$13,0)),""))</f>
        <v/>
      </c>
      <c r="P244" s="38" t="str">
        <f aca="false">IF($E244="","",IFERROR(N244/O244,""))</f>
        <v/>
      </c>
      <c r="Q244" s="39" t="str">
        <f aca="false">IF($E244="","",IF($I244&lt;&gt;"",$I244,N($H244)*IFERROR(INDEX('Гео-калькулятор'!$E$7:$E$13,MATCH($C244,'Гео-калькулятор'!$B$7:$B$13,0)),0)))</f>
        <v/>
      </c>
      <c r="R244" s="38" t="str">
        <f aca="false">IF($E244="","",IFERROR(Q244/H244,""))</f>
        <v/>
      </c>
      <c r="S244" s="30" t="str">
        <f aca="false">IF($E244="","",IFERROR(E244/Q244,"—"))</f>
        <v/>
      </c>
      <c r="T244" s="30" t="str">
        <f aca="false">IF($E244="","",Q244*IFERROR(INDEX('Гео-калькулятор'!$D$7:$D$13,MATCH($C244,'Гео-калькулятор'!$B$7:$B$13,0)),0))</f>
        <v/>
      </c>
      <c r="U244" s="40" t="str">
        <f aca="false">IF($E244="","",T244-E244)</f>
        <v/>
      </c>
      <c r="V244" s="41" t="str">
        <f aca="false">IF($E244="","",IFERROR(U244/E244,""))</f>
        <v/>
      </c>
      <c r="W244" s="10" t="str">
        <f aca="false">IF($E244="","",IF($I244&lt;&gt;"","факт","прогноз"))</f>
        <v/>
      </c>
      <c r="X244" s="1"/>
      <c r="Y244" s="1"/>
      <c r="Z244" s="1"/>
      <c r="AA244" s="1"/>
      <c r="AB244" s="1"/>
      <c r="AC244" s="1"/>
      <c r="AD244" s="1"/>
    </row>
    <row r="245" customFormat="false" ht="18" hidden="false" customHeight="true" outlineLevel="0" collapsed="false">
      <c r="A245" s="1"/>
      <c r="B245" s="35"/>
      <c r="C245" s="8"/>
      <c r="D245" s="26"/>
      <c r="E245" s="27"/>
      <c r="F245" s="36"/>
      <c r="G245" s="36"/>
      <c r="H245" s="36"/>
      <c r="I245" s="36"/>
      <c r="J245" s="37" t="str">
        <f aca="false">IF($E245="","",IFERROR(G245/F245,""))</f>
        <v/>
      </c>
      <c r="K245" s="30" t="str">
        <f aca="false">IF($E245="","",IFERROR(E245/G245,""))</f>
        <v/>
      </c>
      <c r="L245" s="30" t="str">
        <f aca="false">IF($E245="","",IFERROR(E245/F245*1000,""))</f>
        <v/>
      </c>
      <c r="M245" s="37" t="str">
        <f aca="false">IF($E245="","",IFERROR(H245/G245,""))</f>
        <v/>
      </c>
      <c r="N245" s="30" t="str">
        <f aca="false">IF($E245="","",IFERROR(E245/H245,"—"))</f>
        <v/>
      </c>
      <c r="O245" s="30" t="str">
        <f aca="false">IF($E245="","",IFERROR(INDEX('Гео-калькулятор'!$K$7:$K$13,MATCH($C245,'Гео-калькулятор'!$B$7:$B$13,0)),""))</f>
        <v/>
      </c>
      <c r="P245" s="38" t="str">
        <f aca="false">IF($E245="","",IFERROR(N245/O245,""))</f>
        <v/>
      </c>
      <c r="Q245" s="39" t="str">
        <f aca="false">IF($E245="","",IF($I245&lt;&gt;"",$I245,N($H245)*IFERROR(INDEX('Гео-калькулятор'!$E$7:$E$13,MATCH($C245,'Гео-калькулятор'!$B$7:$B$13,0)),0)))</f>
        <v/>
      </c>
      <c r="R245" s="38" t="str">
        <f aca="false">IF($E245="","",IFERROR(Q245/H245,""))</f>
        <v/>
      </c>
      <c r="S245" s="30" t="str">
        <f aca="false">IF($E245="","",IFERROR(E245/Q245,"—"))</f>
        <v/>
      </c>
      <c r="T245" s="30" t="str">
        <f aca="false">IF($E245="","",Q245*IFERROR(INDEX('Гео-калькулятор'!$D$7:$D$13,MATCH($C245,'Гео-калькулятор'!$B$7:$B$13,0)),0))</f>
        <v/>
      </c>
      <c r="U245" s="40" t="str">
        <f aca="false">IF($E245="","",T245-E245)</f>
        <v/>
      </c>
      <c r="V245" s="41" t="str">
        <f aca="false">IF($E245="","",IFERROR(U245/E245,""))</f>
        <v/>
      </c>
      <c r="W245" s="10" t="str">
        <f aca="false">IF($E245="","",IF($I245&lt;&gt;"","факт","прогноз"))</f>
        <v/>
      </c>
      <c r="X245" s="1"/>
      <c r="Y245" s="1"/>
      <c r="Z245" s="1"/>
      <c r="AA245" s="1"/>
      <c r="AB245" s="1"/>
      <c r="AC245" s="1"/>
      <c r="AD245" s="1"/>
    </row>
    <row r="246" customFormat="false" ht="18" hidden="false" customHeight="true" outlineLevel="0" collapsed="false">
      <c r="A246" s="1"/>
      <c r="B246" s="35"/>
      <c r="C246" s="8"/>
      <c r="D246" s="26"/>
      <c r="E246" s="27"/>
      <c r="F246" s="36"/>
      <c r="G246" s="36"/>
      <c r="H246" s="36"/>
      <c r="I246" s="36"/>
      <c r="J246" s="37" t="str">
        <f aca="false">IF($E246="","",IFERROR(G246/F246,""))</f>
        <v/>
      </c>
      <c r="K246" s="30" t="str">
        <f aca="false">IF($E246="","",IFERROR(E246/G246,""))</f>
        <v/>
      </c>
      <c r="L246" s="30" t="str">
        <f aca="false">IF($E246="","",IFERROR(E246/F246*1000,""))</f>
        <v/>
      </c>
      <c r="M246" s="37" t="str">
        <f aca="false">IF($E246="","",IFERROR(H246/G246,""))</f>
        <v/>
      </c>
      <c r="N246" s="30" t="str">
        <f aca="false">IF($E246="","",IFERROR(E246/H246,"—"))</f>
        <v/>
      </c>
      <c r="O246" s="30" t="str">
        <f aca="false">IF($E246="","",IFERROR(INDEX('Гео-калькулятор'!$K$7:$K$13,MATCH($C246,'Гео-калькулятор'!$B$7:$B$13,0)),""))</f>
        <v/>
      </c>
      <c r="P246" s="38" t="str">
        <f aca="false">IF($E246="","",IFERROR(N246/O246,""))</f>
        <v/>
      </c>
      <c r="Q246" s="39" t="str">
        <f aca="false">IF($E246="","",IF($I246&lt;&gt;"",$I246,N($H246)*IFERROR(INDEX('Гео-калькулятор'!$E$7:$E$13,MATCH($C246,'Гео-калькулятор'!$B$7:$B$13,0)),0)))</f>
        <v/>
      </c>
      <c r="R246" s="38" t="str">
        <f aca="false">IF($E246="","",IFERROR(Q246/H246,""))</f>
        <v/>
      </c>
      <c r="S246" s="30" t="str">
        <f aca="false">IF($E246="","",IFERROR(E246/Q246,"—"))</f>
        <v/>
      </c>
      <c r="T246" s="30" t="str">
        <f aca="false">IF($E246="","",Q246*IFERROR(INDEX('Гео-калькулятор'!$D$7:$D$13,MATCH($C246,'Гео-калькулятор'!$B$7:$B$13,0)),0))</f>
        <v/>
      </c>
      <c r="U246" s="40" t="str">
        <f aca="false">IF($E246="","",T246-E246)</f>
        <v/>
      </c>
      <c r="V246" s="41" t="str">
        <f aca="false">IF($E246="","",IFERROR(U246/E246,""))</f>
        <v/>
      </c>
      <c r="W246" s="10" t="str">
        <f aca="false">IF($E246="","",IF($I246&lt;&gt;"","факт","прогноз"))</f>
        <v/>
      </c>
      <c r="X246" s="1"/>
      <c r="Y246" s="1"/>
      <c r="Z246" s="1"/>
      <c r="AA246" s="1"/>
      <c r="AB246" s="1"/>
      <c r="AC246" s="1"/>
      <c r="AD246" s="1"/>
    </row>
    <row r="247" customFormat="false" ht="18" hidden="false" customHeight="true" outlineLevel="0" collapsed="false">
      <c r="A247" s="1"/>
      <c r="B247" s="35"/>
      <c r="C247" s="8"/>
      <c r="D247" s="26"/>
      <c r="E247" s="27"/>
      <c r="F247" s="36"/>
      <c r="G247" s="36"/>
      <c r="H247" s="36"/>
      <c r="I247" s="36"/>
      <c r="J247" s="37" t="str">
        <f aca="false">IF($E247="","",IFERROR(G247/F247,""))</f>
        <v/>
      </c>
      <c r="K247" s="30" t="str">
        <f aca="false">IF($E247="","",IFERROR(E247/G247,""))</f>
        <v/>
      </c>
      <c r="L247" s="30" t="str">
        <f aca="false">IF($E247="","",IFERROR(E247/F247*1000,""))</f>
        <v/>
      </c>
      <c r="M247" s="37" t="str">
        <f aca="false">IF($E247="","",IFERROR(H247/G247,""))</f>
        <v/>
      </c>
      <c r="N247" s="30" t="str">
        <f aca="false">IF($E247="","",IFERROR(E247/H247,"—"))</f>
        <v/>
      </c>
      <c r="O247" s="30" t="str">
        <f aca="false">IF($E247="","",IFERROR(INDEX('Гео-калькулятор'!$K$7:$K$13,MATCH($C247,'Гео-калькулятор'!$B$7:$B$13,0)),""))</f>
        <v/>
      </c>
      <c r="P247" s="38" t="str">
        <f aca="false">IF($E247="","",IFERROR(N247/O247,""))</f>
        <v/>
      </c>
      <c r="Q247" s="39" t="str">
        <f aca="false">IF($E247="","",IF($I247&lt;&gt;"",$I247,N($H247)*IFERROR(INDEX('Гео-калькулятор'!$E$7:$E$13,MATCH($C247,'Гео-калькулятор'!$B$7:$B$13,0)),0)))</f>
        <v/>
      </c>
      <c r="R247" s="38" t="str">
        <f aca="false">IF($E247="","",IFERROR(Q247/H247,""))</f>
        <v/>
      </c>
      <c r="S247" s="30" t="str">
        <f aca="false">IF($E247="","",IFERROR(E247/Q247,"—"))</f>
        <v/>
      </c>
      <c r="T247" s="30" t="str">
        <f aca="false">IF($E247="","",Q247*IFERROR(INDEX('Гео-калькулятор'!$D$7:$D$13,MATCH($C247,'Гео-калькулятор'!$B$7:$B$13,0)),0))</f>
        <v/>
      </c>
      <c r="U247" s="40" t="str">
        <f aca="false">IF($E247="","",T247-E247)</f>
        <v/>
      </c>
      <c r="V247" s="41" t="str">
        <f aca="false">IF($E247="","",IFERROR(U247/E247,""))</f>
        <v/>
      </c>
      <c r="W247" s="10" t="str">
        <f aca="false">IF($E247="","",IF($I247&lt;&gt;"","факт","прогноз"))</f>
        <v/>
      </c>
      <c r="X247" s="1"/>
      <c r="Y247" s="1"/>
      <c r="Z247" s="1"/>
      <c r="AA247" s="1"/>
      <c r="AB247" s="1"/>
      <c r="AC247" s="1"/>
      <c r="AD247" s="1"/>
    </row>
    <row r="248" customFormat="false" ht="18" hidden="false" customHeight="true" outlineLevel="0" collapsed="false">
      <c r="A248" s="1"/>
      <c r="B248" s="35"/>
      <c r="C248" s="8"/>
      <c r="D248" s="26"/>
      <c r="E248" s="27"/>
      <c r="F248" s="36"/>
      <c r="G248" s="36"/>
      <c r="H248" s="36"/>
      <c r="I248" s="36"/>
      <c r="J248" s="37" t="str">
        <f aca="false">IF($E248="","",IFERROR(G248/F248,""))</f>
        <v/>
      </c>
      <c r="K248" s="30" t="str">
        <f aca="false">IF($E248="","",IFERROR(E248/G248,""))</f>
        <v/>
      </c>
      <c r="L248" s="30" t="str">
        <f aca="false">IF($E248="","",IFERROR(E248/F248*1000,""))</f>
        <v/>
      </c>
      <c r="M248" s="37" t="str">
        <f aca="false">IF($E248="","",IFERROR(H248/G248,""))</f>
        <v/>
      </c>
      <c r="N248" s="30" t="str">
        <f aca="false">IF($E248="","",IFERROR(E248/H248,"—"))</f>
        <v/>
      </c>
      <c r="O248" s="30" t="str">
        <f aca="false">IF($E248="","",IFERROR(INDEX('Гео-калькулятор'!$K$7:$K$13,MATCH($C248,'Гео-калькулятор'!$B$7:$B$13,0)),""))</f>
        <v/>
      </c>
      <c r="P248" s="38" t="str">
        <f aca="false">IF($E248="","",IFERROR(N248/O248,""))</f>
        <v/>
      </c>
      <c r="Q248" s="39" t="str">
        <f aca="false">IF($E248="","",IF($I248&lt;&gt;"",$I248,N($H248)*IFERROR(INDEX('Гео-калькулятор'!$E$7:$E$13,MATCH($C248,'Гео-калькулятор'!$B$7:$B$13,0)),0)))</f>
        <v/>
      </c>
      <c r="R248" s="38" t="str">
        <f aca="false">IF($E248="","",IFERROR(Q248/H248,""))</f>
        <v/>
      </c>
      <c r="S248" s="30" t="str">
        <f aca="false">IF($E248="","",IFERROR(E248/Q248,"—"))</f>
        <v/>
      </c>
      <c r="T248" s="30" t="str">
        <f aca="false">IF($E248="","",Q248*IFERROR(INDEX('Гео-калькулятор'!$D$7:$D$13,MATCH($C248,'Гео-калькулятор'!$B$7:$B$13,0)),0))</f>
        <v/>
      </c>
      <c r="U248" s="40" t="str">
        <f aca="false">IF($E248="","",T248-E248)</f>
        <v/>
      </c>
      <c r="V248" s="41" t="str">
        <f aca="false">IF($E248="","",IFERROR(U248/E248,""))</f>
        <v/>
      </c>
      <c r="W248" s="10" t="str">
        <f aca="false">IF($E248="","",IF($I248&lt;&gt;"","факт","прогноз"))</f>
        <v/>
      </c>
      <c r="X248" s="1"/>
      <c r="Y248" s="1"/>
      <c r="Z248" s="1"/>
      <c r="AA248" s="1"/>
      <c r="AB248" s="1"/>
      <c r="AC248" s="1"/>
      <c r="AD248" s="1"/>
    </row>
    <row r="249" customFormat="false" ht="18" hidden="false" customHeight="true" outlineLevel="0" collapsed="false">
      <c r="A249" s="1"/>
      <c r="B249" s="35"/>
      <c r="C249" s="8"/>
      <c r="D249" s="26"/>
      <c r="E249" s="27"/>
      <c r="F249" s="36"/>
      <c r="G249" s="36"/>
      <c r="H249" s="36"/>
      <c r="I249" s="36"/>
      <c r="J249" s="37" t="str">
        <f aca="false">IF($E249="","",IFERROR(G249/F249,""))</f>
        <v/>
      </c>
      <c r="K249" s="30" t="str">
        <f aca="false">IF($E249="","",IFERROR(E249/G249,""))</f>
        <v/>
      </c>
      <c r="L249" s="30" t="str">
        <f aca="false">IF($E249="","",IFERROR(E249/F249*1000,""))</f>
        <v/>
      </c>
      <c r="M249" s="37" t="str">
        <f aca="false">IF($E249="","",IFERROR(H249/G249,""))</f>
        <v/>
      </c>
      <c r="N249" s="30" t="str">
        <f aca="false">IF($E249="","",IFERROR(E249/H249,"—"))</f>
        <v/>
      </c>
      <c r="O249" s="30" t="str">
        <f aca="false">IF($E249="","",IFERROR(INDEX('Гео-калькулятор'!$K$7:$K$13,MATCH($C249,'Гео-калькулятор'!$B$7:$B$13,0)),""))</f>
        <v/>
      </c>
      <c r="P249" s="38" t="str">
        <f aca="false">IF($E249="","",IFERROR(N249/O249,""))</f>
        <v/>
      </c>
      <c r="Q249" s="39" t="str">
        <f aca="false">IF($E249="","",IF($I249&lt;&gt;"",$I249,N($H249)*IFERROR(INDEX('Гео-калькулятор'!$E$7:$E$13,MATCH($C249,'Гео-калькулятор'!$B$7:$B$13,0)),0)))</f>
        <v/>
      </c>
      <c r="R249" s="38" t="str">
        <f aca="false">IF($E249="","",IFERROR(Q249/H249,""))</f>
        <v/>
      </c>
      <c r="S249" s="30" t="str">
        <f aca="false">IF($E249="","",IFERROR(E249/Q249,"—"))</f>
        <v/>
      </c>
      <c r="T249" s="30" t="str">
        <f aca="false">IF($E249="","",Q249*IFERROR(INDEX('Гео-калькулятор'!$D$7:$D$13,MATCH($C249,'Гео-калькулятор'!$B$7:$B$13,0)),0))</f>
        <v/>
      </c>
      <c r="U249" s="40" t="str">
        <f aca="false">IF($E249="","",T249-E249)</f>
        <v/>
      </c>
      <c r="V249" s="41" t="str">
        <f aca="false">IF($E249="","",IFERROR(U249/E249,""))</f>
        <v/>
      </c>
      <c r="W249" s="10" t="str">
        <f aca="false">IF($E249="","",IF($I249&lt;&gt;"","факт","прогноз"))</f>
        <v/>
      </c>
      <c r="X249" s="1"/>
      <c r="Y249" s="1"/>
      <c r="Z249" s="1"/>
      <c r="AA249" s="1"/>
      <c r="AB249" s="1"/>
      <c r="AC249" s="1"/>
      <c r="AD249" s="1"/>
    </row>
    <row r="250" customFormat="false" ht="18" hidden="false" customHeight="true" outlineLevel="0" collapsed="false">
      <c r="A250" s="1"/>
      <c r="B250" s="35"/>
      <c r="C250" s="8"/>
      <c r="D250" s="26"/>
      <c r="E250" s="27"/>
      <c r="F250" s="36"/>
      <c r="G250" s="36"/>
      <c r="H250" s="36"/>
      <c r="I250" s="36"/>
      <c r="J250" s="37" t="str">
        <f aca="false">IF($E250="","",IFERROR(G250/F250,""))</f>
        <v/>
      </c>
      <c r="K250" s="30" t="str">
        <f aca="false">IF($E250="","",IFERROR(E250/G250,""))</f>
        <v/>
      </c>
      <c r="L250" s="30" t="str">
        <f aca="false">IF($E250="","",IFERROR(E250/F250*1000,""))</f>
        <v/>
      </c>
      <c r="M250" s="37" t="str">
        <f aca="false">IF($E250="","",IFERROR(H250/G250,""))</f>
        <v/>
      </c>
      <c r="N250" s="30" t="str">
        <f aca="false">IF($E250="","",IFERROR(E250/H250,"—"))</f>
        <v/>
      </c>
      <c r="O250" s="30" t="str">
        <f aca="false">IF($E250="","",IFERROR(INDEX('Гео-калькулятор'!$K$7:$K$13,MATCH($C250,'Гео-калькулятор'!$B$7:$B$13,0)),""))</f>
        <v/>
      </c>
      <c r="P250" s="38" t="str">
        <f aca="false">IF($E250="","",IFERROR(N250/O250,""))</f>
        <v/>
      </c>
      <c r="Q250" s="39" t="str">
        <f aca="false">IF($E250="","",IF($I250&lt;&gt;"",$I250,N($H250)*IFERROR(INDEX('Гео-калькулятор'!$E$7:$E$13,MATCH($C250,'Гео-калькулятор'!$B$7:$B$13,0)),0)))</f>
        <v/>
      </c>
      <c r="R250" s="38" t="str">
        <f aca="false">IF($E250="","",IFERROR(Q250/H250,""))</f>
        <v/>
      </c>
      <c r="S250" s="30" t="str">
        <f aca="false">IF($E250="","",IFERROR(E250/Q250,"—"))</f>
        <v/>
      </c>
      <c r="T250" s="30" t="str">
        <f aca="false">IF($E250="","",Q250*IFERROR(INDEX('Гео-калькулятор'!$D$7:$D$13,MATCH($C250,'Гео-калькулятор'!$B$7:$B$13,0)),0))</f>
        <v/>
      </c>
      <c r="U250" s="40" t="str">
        <f aca="false">IF($E250="","",T250-E250)</f>
        <v/>
      </c>
      <c r="V250" s="41" t="str">
        <f aca="false">IF($E250="","",IFERROR(U250/E250,""))</f>
        <v/>
      </c>
      <c r="W250" s="10" t="str">
        <f aca="false">IF($E250="","",IF($I250&lt;&gt;"","факт","прогноз"))</f>
        <v/>
      </c>
      <c r="X250" s="1"/>
      <c r="Y250" s="1"/>
      <c r="Z250" s="1"/>
      <c r="AA250" s="1"/>
      <c r="AB250" s="1"/>
      <c r="AC250" s="1"/>
      <c r="AD250" s="1"/>
    </row>
    <row r="251" customFormat="false" ht="18" hidden="false" customHeight="true" outlineLevel="0" collapsed="false">
      <c r="A251" s="1"/>
      <c r="B251" s="35"/>
      <c r="C251" s="8"/>
      <c r="D251" s="26"/>
      <c r="E251" s="27"/>
      <c r="F251" s="36"/>
      <c r="G251" s="36"/>
      <c r="H251" s="36"/>
      <c r="I251" s="36"/>
      <c r="J251" s="37" t="str">
        <f aca="false">IF($E251="","",IFERROR(G251/F251,""))</f>
        <v/>
      </c>
      <c r="K251" s="30" t="str">
        <f aca="false">IF($E251="","",IFERROR(E251/G251,""))</f>
        <v/>
      </c>
      <c r="L251" s="30" t="str">
        <f aca="false">IF($E251="","",IFERROR(E251/F251*1000,""))</f>
        <v/>
      </c>
      <c r="M251" s="37" t="str">
        <f aca="false">IF($E251="","",IFERROR(H251/G251,""))</f>
        <v/>
      </c>
      <c r="N251" s="30" t="str">
        <f aca="false">IF($E251="","",IFERROR(E251/H251,"—"))</f>
        <v/>
      </c>
      <c r="O251" s="30" t="str">
        <f aca="false">IF($E251="","",IFERROR(INDEX('Гео-калькулятор'!$K$7:$K$13,MATCH($C251,'Гео-калькулятор'!$B$7:$B$13,0)),""))</f>
        <v/>
      </c>
      <c r="P251" s="38" t="str">
        <f aca="false">IF($E251="","",IFERROR(N251/O251,""))</f>
        <v/>
      </c>
      <c r="Q251" s="39" t="str">
        <f aca="false">IF($E251="","",IF($I251&lt;&gt;"",$I251,N($H251)*IFERROR(INDEX('Гео-калькулятор'!$E$7:$E$13,MATCH($C251,'Гео-калькулятор'!$B$7:$B$13,0)),0)))</f>
        <v/>
      </c>
      <c r="R251" s="38" t="str">
        <f aca="false">IF($E251="","",IFERROR(Q251/H251,""))</f>
        <v/>
      </c>
      <c r="S251" s="30" t="str">
        <f aca="false">IF($E251="","",IFERROR(E251/Q251,"—"))</f>
        <v/>
      </c>
      <c r="T251" s="30" t="str">
        <f aca="false">IF($E251="","",Q251*IFERROR(INDEX('Гео-калькулятор'!$D$7:$D$13,MATCH($C251,'Гео-калькулятор'!$B$7:$B$13,0)),0))</f>
        <v/>
      </c>
      <c r="U251" s="40" t="str">
        <f aca="false">IF($E251="","",T251-E251)</f>
        <v/>
      </c>
      <c r="V251" s="41" t="str">
        <f aca="false">IF($E251="","",IFERROR(U251/E251,""))</f>
        <v/>
      </c>
      <c r="W251" s="10" t="str">
        <f aca="false">IF($E251="","",IF($I251&lt;&gt;"","факт","прогноз"))</f>
        <v/>
      </c>
      <c r="X251" s="1"/>
      <c r="Y251" s="1"/>
      <c r="Z251" s="1"/>
      <c r="AA251" s="1"/>
      <c r="AB251" s="1"/>
      <c r="AC251" s="1"/>
      <c r="AD251" s="1"/>
    </row>
    <row r="252" customFormat="false" ht="18" hidden="false" customHeight="true" outlineLevel="0" collapsed="false">
      <c r="A252" s="1"/>
      <c r="B252" s="35"/>
      <c r="C252" s="8"/>
      <c r="D252" s="26"/>
      <c r="E252" s="27"/>
      <c r="F252" s="36"/>
      <c r="G252" s="36"/>
      <c r="H252" s="36"/>
      <c r="I252" s="36"/>
      <c r="J252" s="37" t="str">
        <f aca="false">IF($E252="","",IFERROR(G252/F252,""))</f>
        <v/>
      </c>
      <c r="K252" s="30" t="str">
        <f aca="false">IF($E252="","",IFERROR(E252/G252,""))</f>
        <v/>
      </c>
      <c r="L252" s="30" t="str">
        <f aca="false">IF($E252="","",IFERROR(E252/F252*1000,""))</f>
        <v/>
      </c>
      <c r="M252" s="37" t="str">
        <f aca="false">IF($E252="","",IFERROR(H252/G252,""))</f>
        <v/>
      </c>
      <c r="N252" s="30" t="str">
        <f aca="false">IF($E252="","",IFERROR(E252/H252,"—"))</f>
        <v/>
      </c>
      <c r="O252" s="30" t="str">
        <f aca="false">IF($E252="","",IFERROR(INDEX('Гео-калькулятор'!$K$7:$K$13,MATCH($C252,'Гео-калькулятор'!$B$7:$B$13,0)),""))</f>
        <v/>
      </c>
      <c r="P252" s="38" t="str">
        <f aca="false">IF($E252="","",IFERROR(N252/O252,""))</f>
        <v/>
      </c>
      <c r="Q252" s="39" t="str">
        <f aca="false">IF($E252="","",IF($I252&lt;&gt;"",$I252,N($H252)*IFERROR(INDEX('Гео-калькулятор'!$E$7:$E$13,MATCH($C252,'Гео-калькулятор'!$B$7:$B$13,0)),0)))</f>
        <v/>
      </c>
      <c r="R252" s="38" t="str">
        <f aca="false">IF($E252="","",IFERROR(Q252/H252,""))</f>
        <v/>
      </c>
      <c r="S252" s="30" t="str">
        <f aca="false">IF($E252="","",IFERROR(E252/Q252,"—"))</f>
        <v/>
      </c>
      <c r="T252" s="30" t="str">
        <f aca="false">IF($E252="","",Q252*IFERROR(INDEX('Гео-калькулятор'!$D$7:$D$13,MATCH($C252,'Гео-калькулятор'!$B$7:$B$13,0)),0))</f>
        <v/>
      </c>
      <c r="U252" s="40" t="str">
        <f aca="false">IF($E252="","",T252-E252)</f>
        <v/>
      </c>
      <c r="V252" s="41" t="str">
        <f aca="false">IF($E252="","",IFERROR(U252/E252,""))</f>
        <v/>
      </c>
      <c r="W252" s="10" t="str">
        <f aca="false">IF($E252="","",IF($I252&lt;&gt;"","факт","прогноз"))</f>
        <v/>
      </c>
      <c r="X252" s="1"/>
      <c r="Y252" s="1"/>
      <c r="Z252" s="1"/>
      <c r="AA252" s="1"/>
      <c r="AB252" s="1"/>
      <c r="AC252" s="1"/>
      <c r="AD252" s="1"/>
    </row>
    <row r="253" customFormat="false" ht="18" hidden="false" customHeight="true" outlineLevel="0" collapsed="false">
      <c r="A253" s="1"/>
      <c r="B253" s="35"/>
      <c r="C253" s="8"/>
      <c r="D253" s="26"/>
      <c r="E253" s="27"/>
      <c r="F253" s="36"/>
      <c r="G253" s="36"/>
      <c r="H253" s="36"/>
      <c r="I253" s="36"/>
      <c r="J253" s="37" t="str">
        <f aca="false">IF($E253="","",IFERROR(G253/F253,""))</f>
        <v/>
      </c>
      <c r="K253" s="30" t="str">
        <f aca="false">IF($E253="","",IFERROR(E253/G253,""))</f>
        <v/>
      </c>
      <c r="L253" s="30" t="str">
        <f aca="false">IF($E253="","",IFERROR(E253/F253*1000,""))</f>
        <v/>
      </c>
      <c r="M253" s="37" t="str">
        <f aca="false">IF($E253="","",IFERROR(H253/G253,""))</f>
        <v/>
      </c>
      <c r="N253" s="30" t="str">
        <f aca="false">IF($E253="","",IFERROR(E253/H253,"—"))</f>
        <v/>
      </c>
      <c r="O253" s="30" t="str">
        <f aca="false">IF($E253="","",IFERROR(INDEX('Гео-калькулятор'!$K$7:$K$13,MATCH($C253,'Гео-калькулятор'!$B$7:$B$13,0)),""))</f>
        <v/>
      </c>
      <c r="P253" s="38" t="str">
        <f aca="false">IF($E253="","",IFERROR(N253/O253,""))</f>
        <v/>
      </c>
      <c r="Q253" s="39" t="str">
        <f aca="false">IF($E253="","",IF($I253&lt;&gt;"",$I253,N($H253)*IFERROR(INDEX('Гео-калькулятор'!$E$7:$E$13,MATCH($C253,'Гео-калькулятор'!$B$7:$B$13,0)),0)))</f>
        <v/>
      </c>
      <c r="R253" s="38" t="str">
        <f aca="false">IF($E253="","",IFERROR(Q253/H253,""))</f>
        <v/>
      </c>
      <c r="S253" s="30" t="str">
        <f aca="false">IF($E253="","",IFERROR(E253/Q253,"—"))</f>
        <v/>
      </c>
      <c r="T253" s="30" t="str">
        <f aca="false">IF($E253="","",Q253*IFERROR(INDEX('Гео-калькулятор'!$D$7:$D$13,MATCH($C253,'Гео-калькулятор'!$B$7:$B$13,0)),0))</f>
        <v/>
      </c>
      <c r="U253" s="40" t="str">
        <f aca="false">IF($E253="","",T253-E253)</f>
        <v/>
      </c>
      <c r="V253" s="41" t="str">
        <f aca="false">IF($E253="","",IFERROR(U253/E253,""))</f>
        <v/>
      </c>
      <c r="W253" s="10" t="str">
        <f aca="false">IF($E253="","",IF($I253&lt;&gt;"","факт","прогноз"))</f>
        <v/>
      </c>
      <c r="X253" s="1"/>
      <c r="Y253" s="1"/>
      <c r="Z253" s="1"/>
      <c r="AA253" s="1"/>
      <c r="AB253" s="1"/>
      <c r="AC253" s="1"/>
      <c r="AD253" s="1"/>
    </row>
    <row r="254" customFormat="false" ht="18" hidden="false" customHeight="true" outlineLevel="0" collapsed="false">
      <c r="A254" s="1"/>
      <c r="B254" s="35"/>
      <c r="C254" s="8"/>
      <c r="D254" s="26"/>
      <c r="E254" s="27"/>
      <c r="F254" s="36"/>
      <c r="G254" s="36"/>
      <c r="H254" s="36"/>
      <c r="I254" s="36"/>
      <c r="J254" s="37" t="str">
        <f aca="false">IF($E254="","",IFERROR(G254/F254,""))</f>
        <v/>
      </c>
      <c r="K254" s="30" t="str">
        <f aca="false">IF($E254="","",IFERROR(E254/G254,""))</f>
        <v/>
      </c>
      <c r="L254" s="30" t="str">
        <f aca="false">IF($E254="","",IFERROR(E254/F254*1000,""))</f>
        <v/>
      </c>
      <c r="M254" s="37" t="str">
        <f aca="false">IF($E254="","",IFERROR(H254/G254,""))</f>
        <v/>
      </c>
      <c r="N254" s="30" t="str">
        <f aca="false">IF($E254="","",IFERROR(E254/H254,"—"))</f>
        <v/>
      </c>
      <c r="O254" s="30" t="str">
        <f aca="false">IF($E254="","",IFERROR(INDEX('Гео-калькулятор'!$K$7:$K$13,MATCH($C254,'Гео-калькулятор'!$B$7:$B$13,0)),""))</f>
        <v/>
      </c>
      <c r="P254" s="38" t="str">
        <f aca="false">IF($E254="","",IFERROR(N254/O254,""))</f>
        <v/>
      </c>
      <c r="Q254" s="39" t="str">
        <f aca="false">IF($E254="","",IF($I254&lt;&gt;"",$I254,N($H254)*IFERROR(INDEX('Гео-калькулятор'!$E$7:$E$13,MATCH($C254,'Гео-калькулятор'!$B$7:$B$13,0)),0)))</f>
        <v/>
      </c>
      <c r="R254" s="38" t="str">
        <f aca="false">IF($E254="","",IFERROR(Q254/H254,""))</f>
        <v/>
      </c>
      <c r="S254" s="30" t="str">
        <f aca="false">IF($E254="","",IFERROR(E254/Q254,"—"))</f>
        <v/>
      </c>
      <c r="T254" s="30" t="str">
        <f aca="false">IF($E254="","",Q254*IFERROR(INDEX('Гео-калькулятор'!$D$7:$D$13,MATCH($C254,'Гео-калькулятор'!$B$7:$B$13,0)),0))</f>
        <v/>
      </c>
      <c r="U254" s="40" t="str">
        <f aca="false">IF($E254="","",T254-E254)</f>
        <v/>
      </c>
      <c r="V254" s="41" t="str">
        <f aca="false">IF($E254="","",IFERROR(U254/E254,""))</f>
        <v/>
      </c>
      <c r="W254" s="10" t="str">
        <f aca="false">IF($E254="","",IF($I254&lt;&gt;"","факт","прогноз"))</f>
        <v/>
      </c>
      <c r="X254" s="1"/>
      <c r="Y254" s="1"/>
      <c r="Z254" s="1"/>
      <c r="AA254" s="1"/>
      <c r="AB254" s="1"/>
      <c r="AC254" s="1"/>
      <c r="AD254" s="1"/>
    </row>
    <row r="255" customFormat="false" ht="18" hidden="false" customHeight="true" outlineLevel="0" collapsed="false">
      <c r="A255" s="1"/>
      <c r="B255" s="35"/>
      <c r="C255" s="8"/>
      <c r="D255" s="26"/>
      <c r="E255" s="27"/>
      <c r="F255" s="36"/>
      <c r="G255" s="36"/>
      <c r="H255" s="36"/>
      <c r="I255" s="36"/>
      <c r="J255" s="37" t="str">
        <f aca="false">IF($E255="","",IFERROR(G255/F255,""))</f>
        <v/>
      </c>
      <c r="K255" s="30" t="str">
        <f aca="false">IF($E255="","",IFERROR(E255/G255,""))</f>
        <v/>
      </c>
      <c r="L255" s="30" t="str">
        <f aca="false">IF($E255="","",IFERROR(E255/F255*1000,""))</f>
        <v/>
      </c>
      <c r="M255" s="37" t="str">
        <f aca="false">IF($E255="","",IFERROR(H255/G255,""))</f>
        <v/>
      </c>
      <c r="N255" s="30" t="str">
        <f aca="false">IF($E255="","",IFERROR(E255/H255,"—"))</f>
        <v/>
      </c>
      <c r="O255" s="30" t="str">
        <f aca="false">IF($E255="","",IFERROR(INDEX('Гео-калькулятор'!$K$7:$K$13,MATCH($C255,'Гео-калькулятор'!$B$7:$B$13,0)),""))</f>
        <v/>
      </c>
      <c r="P255" s="38" t="str">
        <f aca="false">IF($E255="","",IFERROR(N255/O255,""))</f>
        <v/>
      </c>
      <c r="Q255" s="39" t="str">
        <f aca="false">IF($E255="","",IF($I255&lt;&gt;"",$I255,N($H255)*IFERROR(INDEX('Гео-калькулятор'!$E$7:$E$13,MATCH($C255,'Гео-калькулятор'!$B$7:$B$13,0)),0)))</f>
        <v/>
      </c>
      <c r="R255" s="38" t="str">
        <f aca="false">IF($E255="","",IFERROR(Q255/H255,""))</f>
        <v/>
      </c>
      <c r="S255" s="30" t="str">
        <f aca="false">IF($E255="","",IFERROR(E255/Q255,"—"))</f>
        <v/>
      </c>
      <c r="T255" s="30" t="str">
        <f aca="false">IF($E255="","",Q255*IFERROR(INDEX('Гео-калькулятор'!$D$7:$D$13,MATCH($C255,'Гео-калькулятор'!$B$7:$B$13,0)),0))</f>
        <v/>
      </c>
      <c r="U255" s="40" t="str">
        <f aca="false">IF($E255="","",T255-E255)</f>
        <v/>
      </c>
      <c r="V255" s="41" t="str">
        <f aca="false">IF($E255="","",IFERROR(U255/E255,""))</f>
        <v/>
      </c>
      <c r="W255" s="10" t="str">
        <f aca="false">IF($E255="","",IF($I255&lt;&gt;"","факт","прогноз"))</f>
        <v/>
      </c>
      <c r="X255" s="1"/>
      <c r="Y255" s="1"/>
      <c r="Z255" s="1"/>
      <c r="AA255" s="1"/>
      <c r="AB255" s="1"/>
      <c r="AC255" s="1"/>
      <c r="AD255" s="1"/>
    </row>
    <row r="256" customFormat="false" ht="18" hidden="false" customHeight="true" outlineLevel="0" collapsed="false">
      <c r="A256" s="1"/>
      <c r="B256" s="35"/>
      <c r="C256" s="8"/>
      <c r="D256" s="26"/>
      <c r="E256" s="27"/>
      <c r="F256" s="36"/>
      <c r="G256" s="36"/>
      <c r="H256" s="36"/>
      <c r="I256" s="36"/>
      <c r="J256" s="37" t="str">
        <f aca="false">IF($E256="","",IFERROR(G256/F256,""))</f>
        <v/>
      </c>
      <c r="K256" s="30" t="str">
        <f aca="false">IF($E256="","",IFERROR(E256/G256,""))</f>
        <v/>
      </c>
      <c r="L256" s="30" t="str">
        <f aca="false">IF($E256="","",IFERROR(E256/F256*1000,""))</f>
        <v/>
      </c>
      <c r="M256" s="37" t="str">
        <f aca="false">IF($E256="","",IFERROR(H256/G256,""))</f>
        <v/>
      </c>
      <c r="N256" s="30" t="str">
        <f aca="false">IF($E256="","",IFERROR(E256/H256,"—"))</f>
        <v/>
      </c>
      <c r="O256" s="30" t="str">
        <f aca="false">IF($E256="","",IFERROR(INDEX('Гео-калькулятор'!$K$7:$K$13,MATCH($C256,'Гео-калькулятор'!$B$7:$B$13,0)),""))</f>
        <v/>
      </c>
      <c r="P256" s="38" t="str">
        <f aca="false">IF($E256="","",IFERROR(N256/O256,""))</f>
        <v/>
      </c>
      <c r="Q256" s="39" t="str">
        <f aca="false">IF($E256="","",IF($I256&lt;&gt;"",$I256,N($H256)*IFERROR(INDEX('Гео-калькулятор'!$E$7:$E$13,MATCH($C256,'Гео-калькулятор'!$B$7:$B$13,0)),0)))</f>
        <v/>
      </c>
      <c r="R256" s="38" t="str">
        <f aca="false">IF($E256="","",IFERROR(Q256/H256,""))</f>
        <v/>
      </c>
      <c r="S256" s="30" t="str">
        <f aca="false">IF($E256="","",IFERROR(E256/Q256,"—"))</f>
        <v/>
      </c>
      <c r="T256" s="30" t="str">
        <f aca="false">IF($E256="","",Q256*IFERROR(INDEX('Гео-калькулятор'!$D$7:$D$13,MATCH($C256,'Гео-калькулятор'!$B$7:$B$13,0)),0))</f>
        <v/>
      </c>
      <c r="U256" s="40" t="str">
        <f aca="false">IF($E256="","",T256-E256)</f>
        <v/>
      </c>
      <c r="V256" s="41" t="str">
        <f aca="false">IF($E256="","",IFERROR(U256/E256,""))</f>
        <v/>
      </c>
      <c r="W256" s="10" t="str">
        <f aca="false">IF($E256="","",IF($I256&lt;&gt;"","факт","прогноз"))</f>
        <v/>
      </c>
      <c r="X256" s="1"/>
      <c r="Y256" s="1"/>
      <c r="Z256" s="1"/>
      <c r="AA256" s="1"/>
      <c r="AB256" s="1"/>
      <c r="AC256" s="1"/>
      <c r="AD256" s="1"/>
    </row>
    <row r="257" customFormat="false" ht="18" hidden="false" customHeight="true" outlineLevel="0" collapsed="false">
      <c r="A257" s="1"/>
      <c r="B257" s="35"/>
      <c r="C257" s="8"/>
      <c r="D257" s="26"/>
      <c r="E257" s="27"/>
      <c r="F257" s="36"/>
      <c r="G257" s="36"/>
      <c r="H257" s="36"/>
      <c r="I257" s="36"/>
      <c r="J257" s="37" t="str">
        <f aca="false">IF($E257="","",IFERROR(G257/F257,""))</f>
        <v/>
      </c>
      <c r="K257" s="30" t="str">
        <f aca="false">IF($E257="","",IFERROR(E257/G257,""))</f>
        <v/>
      </c>
      <c r="L257" s="30" t="str">
        <f aca="false">IF($E257="","",IFERROR(E257/F257*1000,""))</f>
        <v/>
      </c>
      <c r="M257" s="37" t="str">
        <f aca="false">IF($E257="","",IFERROR(H257/G257,""))</f>
        <v/>
      </c>
      <c r="N257" s="30" t="str">
        <f aca="false">IF($E257="","",IFERROR(E257/H257,"—"))</f>
        <v/>
      </c>
      <c r="O257" s="30" t="str">
        <f aca="false">IF($E257="","",IFERROR(INDEX('Гео-калькулятор'!$K$7:$K$13,MATCH($C257,'Гео-калькулятор'!$B$7:$B$13,0)),""))</f>
        <v/>
      </c>
      <c r="P257" s="38" t="str">
        <f aca="false">IF($E257="","",IFERROR(N257/O257,""))</f>
        <v/>
      </c>
      <c r="Q257" s="39" t="str">
        <f aca="false">IF($E257="","",IF($I257&lt;&gt;"",$I257,N($H257)*IFERROR(INDEX('Гео-калькулятор'!$E$7:$E$13,MATCH($C257,'Гео-калькулятор'!$B$7:$B$13,0)),0)))</f>
        <v/>
      </c>
      <c r="R257" s="38" t="str">
        <f aca="false">IF($E257="","",IFERROR(Q257/H257,""))</f>
        <v/>
      </c>
      <c r="S257" s="30" t="str">
        <f aca="false">IF($E257="","",IFERROR(E257/Q257,"—"))</f>
        <v/>
      </c>
      <c r="T257" s="30" t="str">
        <f aca="false">IF($E257="","",Q257*IFERROR(INDEX('Гео-калькулятор'!$D$7:$D$13,MATCH($C257,'Гео-калькулятор'!$B$7:$B$13,0)),0))</f>
        <v/>
      </c>
      <c r="U257" s="40" t="str">
        <f aca="false">IF($E257="","",T257-E257)</f>
        <v/>
      </c>
      <c r="V257" s="41" t="str">
        <f aca="false">IF($E257="","",IFERROR(U257/E257,""))</f>
        <v/>
      </c>
      <c r="W257" s="10" t="str">
        <f aca="false">IF($E257="","",IF($I257&lt;&gt;"","факт","прогноз"))</f>
        <v/>
      </c>
      <c r="X257" s="1"/>
      <c r="Y257" s="1"/>
      <c r="Z257" s="1"/>
      <c r="AA257" s="1"/>
      <c r="AB257" s="1"/>
      <c r="AC257" s="1"/>
      <c r="AD257" s="1"/>
    </row>
    <row r="258" customFormat="false" ht="18" hidden="false" customHeight="true" outlineLevel="0" collapsed="false">
      <c r="A258" s="1"/>
      <c r="B258" s="35"/>
      <c r="C258" s="8"/>
      <c r="D258" s="26"/>
      <c r="E258" s="27"/>
      <c r="F258" s="36"/>
      <c r="G258" s="36"/>
      <c r="H258" s="36"/>
      <c r="I258" s="36"/>
      <c r="J258" s="37" t="str">
        <f aca="false">IF($E258="","",IFERROR(G258/F258,""))</f>
        <v/>
      </c>
      <c r="K258" s="30" t="str">
        <f aca="false">IF($E258="","",IFERROR(E258/G258,""))</f>
        <v/>
      </c>
      <c r="L258" s="30" t="str">
        <f aca="false">IF($E258="","",IFERROR(E258/F258*1000,""))</f>
        <v/>
      </c>
      <c r="M258" s="37" t="str">
        <f aca="false">IF($E258="","",IFERROR(H258/G258,""))</f>
        <v/>
      </c>
      <c r="N258" s="30" t="str">
        <f aca="false">IF($E258="","",IFERROR(E258/H258,"—"))</f>
        <v/>
      </c>
      <c r="O258" s="30" t="str">
        <f aca="false">IF($E258="","",IFERROR(INDEX('Гео-калькулятор'!$K$7:$K$13,MATCH($C258,'Гео-калькулятор'!$B$7:$B$13,0)),""))</f>
        <v/>
      </c>
      <c r="P258" s="38" t="str">
        <f aca="false">IF($E258="","",IFERROR(N258/O258,""))</f>
        <v/>
      </c>
      <c r="Q258" s="39" t="str">
        <f aca="false">IF($E258="","",IF($I258&lt;&gt;"",$I258,N($H258)*IFERROR(INDEX('Гео-калькулятор'!$E$7:$E$13,MATCH($C258,'Гео-калькулятор'!$B$7:$B$13,0)),0)))</f>
        <v/>
      </c>
      <c r="R258" s="38" t="str">
        <f aca="false">IF($E258="","",IFERROR(Q258/H258,""))</f>
        <v/>
      </c>
      <c r="S258" s="30" t="str">
        <f aca="false">IF($E258="","",IFERROR(E258/Q258,"—"))</f>
        <v/>
      </c>
      <c r="T258" s="30" t="str">
        <f aca="false">IF($E258="","",Q258*IFERROR(INDEX('Гео-калькулятор'!$D$7:$D$13,MATCH($C258,'Гео-калькулятор'!$B$7:$B$13,0)),0))</f>
        <v/>
      </c>
      <c r="U258" s="40" t="str">
        <f aca="false">IF($E258="","",T258-E258)</f>
        <v/>
      </c>
      <c r="V258" s="41" t="str">
        <f aca="false">IF($E258="","",IFERROR(U258/E258,""))</f>
        <v/>
      </c>
      <c r="W258" s="10" t="str">
        <f aca="false">IF($E258="","",IF($I258&lt;&gt;"","факт","прогноз"))</f>
        <v/>
      </c>
      <c r="X258" s="1"/>
      <c r="Y258" s="1"/>
      <c r="Z258" s="1"/>
      <c r="AA258" s="1"/>
      <c r="AB258" s="1"/>
      <c r="AC258" s="1"/>
      <c r="AD258" s="1"/>
    </row>
    <row r="259" customFormat="false" ht="18" hidden="false" customHeight="true" outlineLevel="0" collapsed="false">
      <c r="A259" s="1"/>
      <c r="B259" s="35"/>
      <c r="C259" s="8"/>
      <c r="D259" s="26"/>
      <c r="E259" s="27"/>
      <c r="F259" s="36"/>
      <c r="G259" s="36"/>
      <c r="H259" s="36"/>
      <c r="I259" s="36"/>
      <c r="J259" s="37" t="str">
        <f aca="false">IF($E259="","",IFERROR(G259/F259,""))</f>
        <v/>
      </c>
      <c r="K259" s="30" t="str">
        <f aca="false">IF($E259="","",IFERROR(E259/G259,""))</f>
        <v/>
      </c>
      <c r="L259" s="30" t="str">
        <f aca="false">IF($E259="","",IFERROR(E259/F259*1000,""))</f>
        <v/>
      </c>
      <c r="M259" s="37" t="str">
        <f aca="false">IF($E259="","",IFERROR(H259/G259,""))</f>
        <v/>
      </c>
      <c r="N259" s="30" t="str">
        <f aca="false">IF($E259="","",IFERROR(E259/H259,"—"))</f>
        <v/>
      </c>
      <c r="O259" s="30" t="str">
        <f aca="false">IF($E259="","",IFERROR(INDEX('Гео-калькулятор'!$K$7:$K$13,MATCH($C259,'Гео-калькулятор'!$B$7:$B$13,0)),""))</f>
        <v/>
      </c>
      <c r="P259" s="38" t="str">
        <f aca="false">IF($E259="","",IFERROR(N259/O259,""))</f>
        <v/>
      </c>
      <c r="Q259" s="39" t="str">
        <f aca="false">IF($E259="","",IF($I259&lt;&gt;"",$I259,N($H259)*IFERROR(INDEX('Гео-калькулятор'!$E$7:$E$13,MATCH($C259,'Гео-калькулятор'!$B$7:$B$13,0)),0)))</f>
        <v/>
      </c>
      <c r="R259" s="38" t="str">
        <f aca="false">IF($E259="","",IFERROR(Q259/H259,""))</f>
        <v/>
      </c>
      <c r="S259" s="30" t="str">
        <f aca="false">IF($E259="","",IFERROR(E259/Q259,"—"))</f>
        <v/>
      </c>
      <c r="T259" s="30" t="str">
        <f aca="false">IF($E259="","",Q259*IFERROR(INDEX('Гео-калькулятор'!$D$7:$D$13,MATCH($C259,'Гео-калькулятор'!$B$7:$B$13,0)),0))</f>
        <v/>
      </c>
      <c r="U259" s="40" t="str">
        <f aca="false">IF($E259="","",T259-E259)</f>
        <v/>
      </c>
      <c r="V259" s="41" t="str">
        <f aca="false">IF($E259="","",IFERROR(U259/E259,""))</f>
        <v/>
      </c>
      <c r="W259" s="10" t="str">
        <f aca="false">IF($E259="","",IF($I259&lt;&gt;"","факт","прогноз"))</f>
        <v/>
      </c>
      <c r="X259" s="1"/>
      <c r="Y259" s="1"/>
      <c r="Z259" s="1"/>
      <c r="AA259" s="1"/>
      <c r="AB259" s="1"/>
      <c r="AC259" s="1"/>
      <c r="AD259" s="1"/>
    </row>
    <row r="260" customFormat="false" ht="18" hidden="false" customHeight="true" outlineLevel="0" collapsed="false">
      <c r="A260" s="1"/>
      <c r="B260" s="35"/>
      <c r="C260" s="8"/>
      <c r="D260" s="26"/>
      <c r="E260" s="27"/>
      <c r="F260" s="36"/>
      <c r="G260" s="36"/>
      <c r="H260" s="36"/>
      <c r="I260" s="36"/>
      <c r="J260" s="37" t="str">
        <f aca="false">IF($E260="","",IFERROR(G260/F260,""))</f>
        <v/>
      </c>
      <c r="K260" s="30" t="str">
        <f aca="false">IF($E260="","",IFERROR(E260/G260,""))</f>
        <v/>
      </c>
      <c r="L260" s="30" t="str">
        <f aca="false">IF($E260="","",IFERROR(E260/F260*1000,""))</f>
        <v/>
      </c>
      <c r="M260" s="37" t="str">
        <f aca="false">IF($E260="","",IFERROR(H260/G260,""))</f>
        <v/>
      </c>
      <c r="N260" s="30" t="str">
        <f aca="false">IF($E260="","",IFERROR(E260/H260,"—"))</f>
        <v/>
      </c>
      <c r="O260" s="30" t="str">
        <f aca="false">IF($E260="","",IFERROR(INDEX('Гео-калькулятор'!$K$7:$K$13,MATCH($C260,'Гео-калькулятор'!$B$7:$B$13,0)),""))</f>
        <v/>
      </c>
      <c r="P260" s="38" t="str">
        <f aca="false">IF($E260="","",IFERROR(N260/O260,""))</f>
        <v/>
      </c>
      <c r="Q260" s="39" t="str">
        <f aca="false">IF($E260="","",IF($I260&lt;&gt;"",$I260,N($H260)*IFERROR(INDEX('Гео-калькулятор'!$E$7:$E$13,MATCH($C260,'Гео-калькулятор'!$B$7:$B$13,0)),0)))</f>
        <v/>
      </c>
      <c r="R260" s="38" t="str">
        <f aca="false">IF($E260="","",IFERROR(Q260/H260,""))</f>
        <v/>
      </c>
      <c r="S260" s="30" t="str">
        <f aca="false">IF($E260="","",IFERROR(E260/Q260,"—"))</f>
        <v/>
      </c>
      <c r="T260" s="30" t="str">
        <f aca="false">IF($E260="","",Q260*IFERROR(INDEX('Гео-калькулятор'!$D$7:$D$13,MATCH($C260,'Гео-калькулятор'!$B$7:$B$13,0)),0))</f>
        <v/>
      </c>
      <c r="U260" s="40" t="str">
        <f aca="false">IF($E260="","",T260-E260)</f>
        <v/>
      </c>
      <c r="V260" s="41" t="str">
        <f aca="false">IF($E260="","",IFERROR(U260/E260,""))</f>
        <v/>
      </c>
      <c r="W260" s="10" t="str">
        <f aca="false">IF($E260="","",IF($I260&lt;&gt;"","факт","прогноз"))</f>
        <v/>
      </c>
      <c r="X260" s="1"/>
      <c r="Y260" s="1"/>
      <c r="Z260" s="1"/>
      <c r="AA260" s="1"/>
      <c r="AB260" s="1"/>
      <c r="AC260" s="1"/>
      <c r="AD260" s="1"/>
    </row>
    <row r="261" customFormat="false" ht="18" hidden="false" customHeight="true" outlineLevel="0" collapsed="false">
      <c r="A261" s="1"/>
      <c r="B261" s="35"/>
      <c r="C261" s="8"/>
      <c r="D261" s="26"/>
      <c r="E261" s="27"/>
      <c r="F261" s="36"/>
      <c r="G261" s="36"/>
      <c r="H261" s="36"/>
      <c r="I261" s="36"/>
      <c r="J261" s="37" t="str">
        <f aca="false">IF($E261="","",IFERROR(G261/F261,""))</f>
        <v/>
      </c>
      <c r="K261" s="30" t="str">
        <f aca="false">IF($E261="","",IFERROR(E261/G261,""))</f>
        <v/>
      </c>
      <c r="L261" s="30" t="str">
        <f aca="false">IF($E261="","",IFERROR(E261/F261*1000,""))</f>
        <v/>
      </c>
      <c r="M261" s="37" t="str">
        <f aca="false">IF($E261="","",IFERROR(H261/G261,""))</f>
        <v/>
      </c>
      <c r="N261" s="30" t="str">
        <f aca="false">IF($E261="","",IFERROR(E261/H261,"—"))</f>
        <v/>
      </c>
      <c r="O261" s="30" t="str">
        <f aca="false">IF($E261="","",IFERROR(INDEX('Гео-калькулятор'!$K$7:$K$13,MATCH($C261,'Гео-калькулятор'!$B$7:$B$13,0)),""))</f>
        <v/>
      </c>
      <c r="P261" s="38" t="str">
        <f aca="false">IF($E261="","",IFERROR(N261/O261,""))</f>
        <v/>
      </c>
      <c r="Q261" s="39" t="str">
        <f aca="false">IF($E261="","",IF($I261&lt;&gt;"",$I261,N($H261)*IFERROR(INDEX('Гео-калькулятор'!$E$7:$E$13,MATCH($C261,'Гео-калькулятор'!$B$7:$B$13,0)),0)))</f>
        <v/>
      </c>
      <c r="R261" s="38" t="str">
        <f aca="false">IF($E261="","",IFERROR(Q261/H261,""))</f>
        <v/>
      </c>
      <c r="S261" s="30" t="str">
        <f aca="false">IF($E261="","",IFERROR(E261/Q261,"—"))</f>
        <v/>
      </c>
      <c r="T261" s="30" t="str">
        <f aca="false">IF($E261="","",Q261*IFERROR(INDEX('Гео-калькулятор'!$D$7:$D$13,MATCH($C261,'Гео-калькулятор'!$B$7:$B$13,0)),0))</f>
        <v/>
      </c>
      <c r="U261" s="40" t="str">
        <f aca="false">IF($E261="","",T261-E261)</f>
        <v/>
      </c>
      <c r="V261" s="41" t="str">
        <f aca="false">IF($E261="","",IFERROR(U261/E261,""))</f>
        <v/>
      </c>
      <c r="W261" s="10" t="str">
        <f aca="false">IF($E261="","",IF($I261&lt;&gt;"","факт","прогноз"))</f>
        <v/>
      </c>
      <c r="X261" s="1"/>
      <c r="Y261" s="1"/>
      <c r="Z261" s="1"/>
      <c r="AA261" s="1"/>
      <c r="AB261" s="1"/>
      <c r="AC261" s="1"/>
      <c r="AD261" s="1"/>
    </row>
    <row r="262" customFormat="false" ht="18" hidden="false" customHeight="true" outlineLevel="0" collapsed="false">
      <c r="A262" s="1"/>
      <c r="B262" s="35"/>
      <c r="C262" s="8"/>
      <c r="D262" s="26"/>
      <c r="E262" s="27"/>
      <c r="F262" s="36"/>
      <c r="G262" s="36"/>
      <c r="H262" s="36"/>
      <c r="I262" s="36"/>
      <c r="J262" s="37" t="str">
        <f aca="false">IF($E262="","",IFERROR(G262/F262,""))</f>
        <v/>
      </c>
      <c r="K262" s="30" t="str">
        <f aca="false">IF($E262="","",IFERROR(E262/G262,""))</f>
        <v/>
      </c>
      <c r="L262" s="30" t="str">
        <f aca="false">IF($E262="","",IFERROR(E262/F262*1000,""))</f>
        <v/>
      </c>
      <c r="M262" s="37" t="str">
        <f aca="false">IF($E262="","",IFERROR(H262/G262,""))</f>
        <v/>
      </c>
      <c r="N262" s="30" t="str">
        <f aca="false">IF($E262="","",IFERROR(E262/H262,"—"))</f>
        <v/>
      </c>
      <c r="O262" s="30" t="str">
        <f aca="false">IF($E262="","",IFERROR(INDEX('Гео-калькулятор'!$K$7:$K$13,MATCH($C262,'Гео-калькулятор'!$B$7:$B$13,0)),""))</f>
        <v/>
      </c>
      <c r="P262" s="38" t="str">
        <f aca="false">IF($E262="","",IFERROR(N262/O262,""))</f>
        <v/>
      </c>
      <c r="Q262" s="39" t="str">
        <f aca="false">IF($E262="","",IF($I262&lt;&gt;"",$I262,N($H262)*IFERROR(INDEX('Гео-калькулятор'!$E$7:$E$13,MATCH($C262,'Гео-калькулятор'!$B$7:$B$13,0)),0)))</f>
        <v/>
      </c>
      <c r="R262" s="38" t="str">
        <f aca="false">IF($E262="","",IFERROR(Q262/H262,""))</f>
        <v/>
      </c>
      <c r="S262" s="30" t="str">
        <f aca="false">IF($E262="","",IFERROR(E262/Q262,"—"))</f>
        <v/>
      </c>
      <c r="T262" s="30" t="str">
        <f aca="false">IF($E262="","",Q262*IFERROR(INDEX('Гео-калькулятор'!$D$7:$D$13,MATCH($C262,'Гео-калькулятор'!$B$7:$B$13,0)),0))</f>
        <v/>
      </c>
      <c r="U262" s="40" t="str">
        <f aca="false">IF($E262="","",T262-E262)</f>
        <v/>
      </c>
      <c r="V262" s="41" t="str">
        <f aca="false">IF($E262="","",IFERROR(U262/E262,""))</f>
        <v/>
      </c>
      <c r="W262" s="10" t="str">
        <f aca="false">IF($E262="","",IF($I262&lt;&gt;"","факт","прогноз"))</f>
        <v/>
      </c>
      <c r="X262" s="1"/>
      <c r="Y262" s="1"/>
      <c r="Z262" s="1"/>
      <c r="AA262" s="1"/>
      <c r="AB262" s="1"/>
      <c r="AC262" s="1"/>
      <c r="AD262" s="1"/>
    </row>
    <row r="263" customFormat="false" ht="18" hidden="false" customHeight="true" outlineLevel="0" collapsed="false">
      <c r="A263" s="1"/>
      <c r="B263" s="35"/>
      <c r="C263" s="8"/>
      <c r="D263" s="26"/>
      <c r="E263" s="27"/>
      <c r="F263" s="36"/>
      <c r="G263" s="36"/>
      <c r="H263" s="36"/>
      <c r="I263" s="36"/>
      <c r="J263" s="37" t="str">
        <f aca="false">IF($E263="","",IFERROR(G263/F263,""))</f>
        <v/>
      </c>
      <c r="K263" s="30" t="str">
        <f aca="false">IF($E263="","",IFERROR(E263/G263,""))</f>
        <v/>
      </c>
      <c r="L263" s="30" t="str">
        <f aca="false">IF($E263="","",IFERROR(E263/F263*1000,""))</f>
        <v/>
      </c>
      <c r="M263" s="37" t="str">
        <f aca="false">IF($E263="","",IFERROR(H263/G263,""))</f>
        <v/>
      </c>
      <c r="N263" s="30" t="str">
        <f aca="false">IF($E263="","",IFERROR(E263/H263,"—"))</f>
        <v/>
      </c>
      <c r="O263" s="30" t="str">
        <f aca="false">IF($E263="","",IFERROR(INDEX('Гео-калькулятор'!$K$7:$K$13,MATCH($C263,'Гео-калькулятор'!$B$7:$B$13,0)),""))</f>
        <v/>
      </c>
      <c r="P263" s="38" t="str">
        <f aca="false">IF($E263="","",IFERROR(N263/O263,""))</f>
        <v/>
      </c>
      <c r="Q263" s="39" t="str">
        <f aca="false">IF($E263="","",IF($I263&lt;&gt;"",$I263,N($H263)*IFERROR(INDEX('Гео-калькулятор'!$E$7:$E$13,MATCH($C263,'Гео-калькулятор'!$B$7:$B$13,0)),0)))</f>
        <v/>
      </c>
      <c r="R263" s="38" t="str">
        <f aca="false">IF($E263="","",IFERROR(Q263/H263,""))</f>
        <v/>
      </c>
      <c r="S263" s="30" t="str">
        <f aca="false">IF($E263="","",IFERROR(E263/Q263,"—"))</f>
        <v/>
      </c>
      <c r="T263" s="30" t="str">
        <f aca="false">IF($E263="","",Q263*IFERROR(INDEX('Гео-калькулятор'!$D$7:$D$13,MATCH($C263,'Гео-калькулятор'!$B$7:$B$13,0)),0))</f>
        <v/>
      </c>
      <c r="U263" s="40" t="str">
        <f aca="false">IF($E263="","",T263-E263)</f>
        <v/>
      </c>
      <c r="V263" s="41" t="str">
        <f aca="false">IF($E263="","",IFERROR(U263/E263,""))</f>
        <v/>
      </c>
      <c r="W263" s="10" t="str">
        <f aca="false">IF($E263="","",IF($I263&lt;&gt;"","факт","прогноз"))</f>
        <v/>
      </c>
      <c r="X263" s="1"/>
      <c r="Y263" s="1"/>
      <c r="Z263" s="1"/>
      <c r="AA263" s="1"/>
      <c r="AB263" s="1"/>
      <c r="AC263" s="1"/>
      <c r="AD263" s="1"/>
    </row>
    <row r="264" customFormat="false" ht="18" hidden="false" customHeight="true" outlineLevel="0" collapsed="false">
      <c r="A264" s="1"/>
      <c r="B264" s="35"/>
      <c r="C264" s="8"/>
      <c r="D264" s="26"/>
      <c r="E264" s="27"/>
      <c r="F264" s="36"/>
      <c r="G264" s="36"/>
      <c r="H264" s="36"/>
      <c r="I264" s="36"/>
      <c r="J264" s="37" t="str">
        <f aca="false">IF($E264="","",IFERROR(G264/F264,""))</f>
        <v/>
      </c>
      <c r="K264" s="30" t="str">
        <f aca="false">IF($E264="","",IFERROR(E264/G264,""))</f>
        <v/>
      </c>
      <c r="L264" s="30" t="str">
        <f aca="false">IF($E264="","",IFERROR(E264/F264*1000,""))</f>
        <v/>
      </c>
      <c r="M264" s="37" t="str">
        <f aca="false">IF($E264="","",IFERROR(H264/G264,""))</f>
        <v/>
      </c>
      <c r="N264" s="30" t="str">
        <f aca="false">IF($E264="","",IFERROR(E264/H264,"—"))</f>
        <v/>
      </c>
      <c r="O264" s="30" t="str">
        <f aca="false">IF($E264="","",IFERROR(INDEX('Гео-калькулятор'!$K$7:$K$13,MATCH($C264,'Гео-калькулятор'!$B$7:$B$13,0)),""))</f>
        <v/>
      </c>
      <c r="P264" s="38" t="str">
        <f aca="false">IF($E264="","",IFERROR(N264/O264,""))</f>
        <v/>
      </c>
      <c r="Q264" s="39" t="str">
        <f aca="false">IF($E264="","",IF($I264&lt;&gt;"",$I264,N($H264)*IFERROR(INDEX('Гео-калькулятор'!$E$7:$E$13,MATCH($C264,'Гео-калькулятор'!$B$7:$B$13,0)),0)))</f>
        <v/>
      </c>
      <c r="R264" s="38" t="str">
        <f aca="false">IF($E264="","",IFERROR(Q264/H264,""))</f>
        <v/>
      </c>
      <c r="S264" s="30" t="str">
        <f aca="false">IF($E264="","",IFERROR(E264/Q264,"—"))</f>
        <v/>
      </c>
      <c r="T264" s="30" t="str">
        <f aca="false">IF($E264="","",Q264*IFERROR(INDEX('Гео-калькулятор'!$D$7:$D$13,MATCH($C264,'Гео-калькулятор'!$B$7:$B$13,0)),0))</f>
        <v/>
      </c>
      <c r="U264" s="40" t="str">
        <f aca="false">IF($E264="","",T264-E264)</f>
        <v/>
      </c>
      <c r="V264" s="41" t="str">
        <f aca="false">IF($E264="","",IFERROR(U264/E264,""))</f>
        <v/>
      </c>
      <c r="W264" s="10" t="str">
        <f aca="false">IF($E264="","",IF($I264&lt;&gt;"","факт","прогноз"))</f>
        <v/>
      </c>
      <c r="X264" s="1"/>
      <c r="Y264" s="1"/>
      <c r="Z264" s="1"/>
      <c r="AA264" s="1"/>
      <c r="AB264" s="1"/>
      <c r="AC264" s="1"/>
      <c r="AD264" s="1"/>
    </row>
    <row r="265" customFormat="false" ht="18" hidden="false" customHeight="true" outlineLevel="0" collapsed="false">
      <c r="A265" s="1"/>
      <c r="B265" s="35"/>
      <c r="C265" s="8"/>
      <c r="D265" s="26"/>
      <c r="E265" s="27"/>
      <c r="F265" s="36"/>
      <c r="G265" s="36"/>
      <c r="H265" s="36"/>
      <c r="I265" s="36"/>
      <c r="J265" s="37" t="str">
        <f aca="false">IF($E265="","",IFERROR(G265/F265,""))</f>
        <v/>
      </c>
      <c r="K265" s="30" t="str">
        <f aca="false">IF($E265="","",IFERROR(E265/G265,""))</f>
        <v/>
      </c>
      <c r="L265" s="30" t="str">
        <f aca="false">IF($E265="","",IFERROR(E265/F265*1000,""))</f>
        <v/>
      </c>
      <c r="M265" s="37" t="str">
        <f aca="false">IF($E265="","",IFERROR(H265/G265,""))</f>
        <v/>
      </c>
      <c r="N265" s="30" t="str">
        <f aca="false">IF($E265="","",IFERROR(E265/H265,"—"))</f>
        <v/>
      </c>
      <c r="O265" s="30" t="str">
        <f aca="false">IF($E265="","",IFERROR(INDEX('Гео-калькулятор'!$K$7:$K$13,MATCH($C265,'Гео-калькулятор'!$B$7:$B$13,0)),""))</f>
        <v/>
      </c>
      <c r="P265" s="38" t="str">
        <f aca="false">IF($E265="","",IFERROR(N265/O265,""))</f>
        <v/>
      </c>
      <c r="Q265" s="39" t="str">
        <f aca="false">IF($E265="","",IF($I265&lt;&gt;"",$I265,N($H265)*IFERROR(INDEX('Гео-калькулятор'!$E$7:$E$13,MATCH($C265,'Гео-калькулятор'!$B$7:$B$13,0)),0)))</f>
        <v/>
      </c>
      <c r="R265" s="38" t="str">
        <f aca="false">IF($E265="","",IFERROR(Q265/H265,""))</f>
        <v/>
      </c>
      <c r="S265" s="30" t="str">
        <f aca="false">IF($E265="","",IFERROR(E265/Q265,"—"))</f>
        <v/>
      </c>
      <c r="T265" s="30" t="str">
        <f aca="false">IF($E265="","",Q265*IFERROR(INDEX('Гео-калькулятор'!$D$7:$D$13,MATCH($C265,'Гео-калькулятор'!$B$7:$B$13,0)),0))</f>
        <v/>
      </c>
      <c r="U265" s="40" t="str">
        <f aca="false">IF($E265="","",T265-E265)</f>
        <v/>
      </c>
      <c r="V265" s="41" t="str">
        <f aca="false">IF($E265="","",IFERROR(U265/E265,""))</f>
        <v/>
      </c>
      <c r="W265" s="10" t="str">
        <f aca="false">IF($E265="","",IF($I265&lt;&gt;"","факт","прогноз"))</f>
        <v/>
      </c>
      <c r="X265" s="1"/>
      <c r="Y265" s="1"/>
      <c r="Z265" s="1"/>
      <c r="AA265" s="1"/>
      <c r="AB265" s="1"/>
      <c r="AC265" s="1"/>
      <c r="AD265" s="1"/>
    </row>
    <row r="266" customFormat="false" ht="18" hidden="false" customHeight="true" outlineLevel="0" collapsed="false">
      <c r="A266" s="1"/>
      <c r="B266" s="35"/>
      <c r="C266" s="8"/>
      <c r="D266" s="26"/>
      <c r="E266" s="27"/>
      <c r="F266" s="36"/>
      <c r="G266" s="36"/>
      <c r="H266" s="36"/>
      <c r="I266" s="36"/>
      <c r="J266" s="37" t="str">
        <f aca="false">IF($E266="","",IFERROR(G266/F266,""))</f>
        <v/>
      </c>
      <c r="K266" s="30" t="str">
        <f aca="false">IF($E266="","",IFERROR(E266/G266,""))</f>
        <v/>
      </c>
      <c r="L266" s="30" t="str">
        <f aca="false">IF($E266="","",IFERROR(E266/F266*1000,""))</f>
        <v/>
      </c>
      <c r="M266" s="37" t="str">
        <f aca="false">IF($E266="","",IFERROR(H266/G266,""))</f>
        <v/>
      </c>
      <c r="N266" s="30" t="str">
        <f aca="false">IF($E266="","",IFERROR(E266/H266,"—"))</f>
        <v/>
      </c>
      <c r="O266" s="30" t="str">
        <f aca="false">IF($E266="","",IFERROR(INDEX('Гео-калькулятор'!$K$7:$K$13,MATCH($C266,'Гео-калькулятор'!$B$7:$B$13,0)),""))</f>
        <v/>
      </c>
      <c r="P266" s="38" t="str">
        <f aca="false">IF($E266="","",IFERROR(N266/O266,""))</f>
        <v/>
      </c>
      <c r="Q266" s="39" t="str">
        <f aca="false">IF($E266="","",IF($I266&lt;&gt;"",$I266,N($H266)*IFERROR(INDEX('Гео-калькулятор'!$E$7:$E$13,MATCH($C266,'Гео-калькулятор'!$B$7:$B$13,0)),0)))</f>
        <v/>
      </c>
      <c r="R266" s="38" t="str">
        <f aca="false">IF($E266="","",IFERROR(Q266/H266,""))</f>
        <v/>
      </c>
      <c r="S266" s="30" t="str">
        <f aca="false">IF($E266="","",IFERROR(E266/Q266,"—"))</f>
        <v/>
      </c>
      <c r="T266" s="30" t="str">
        <f aca="false">IF($E266="","",Q266*IFERROR(INDEX('Гео-калькулятор'!$D$7:$D$13,MATCH($C266,'Гео-калькулятор'!$B$7:$B$13,0)),0))</f>
        <v/>
      </c>
      <c r="U266" s="40" t="str">
        <f aca="false">IF($E266="","",T266-E266)</f>
        <v/>
      </c>
      <c r="V266" s="41" t="str">
        <f aca="false">IF($E266="","",IFERROR(U266/E266,""))</f>
        <v/>
      </c>
      <c r="W266" s="10" t="str">
        <f aca="false">IF($E266="","",IF($I266&lt;&gt;"","факт","прогноз"))</f>
        <v/>
      </c>
      <c r="X266" s="1"/>
      <c r="Y266" s="1"/>
      <c r="Z266" s="1"/>
      <c r="AA266" s="1"/>
      <c r="AB266" s="1"/>
      <c r="AC266" s="1"/>
      <c r="AD266" s="1"/>
    </row>
    <row r="267" customFormat="false" ht="18" hidden="false" customHeight="true" outlineLevel="0" collapsed="false">
      <c r="A267" s="1"/>
      <c r="B267" s="35"/>
      <c r="C267" s="8"/>
      <c r="D267" s="26"/>
      <c r="E267" s="27"/>
      <c r="F267" s="36"/>
      <c r="G267" s="36"/>
      <c r="H267" s="36"/>
      <c r="I267" s="36"/>
      <c r="J267" s="37" t="str">
        <f aca="false">IF($E267="","",IFERROR(G267/F267,""))</f>
        <v/>
      </c>
      <c r="K267" s="30" t="str">
        <f aca="false">IF($E267="","",IFERROR(E267/G267,""))</f>
        <v/>
      </c>
      <c r="L267" s="30" t="str">
        <f aca="false">IF($E267="","",IFERROR(E267/F267*1000,""))</f>
        <v/>
      </c>
      <c r="M267" s="37" t="str">
        <f aca="false">IF($E267="","",IFERROR(H267/G267,""))</f>
        <v/>
      </c>
      <c r="N267" s="30" t="str">
        <f aca="false">IF($E267="","",IFERROR(E267/H267,"—"))</f>
        <v/>
      </c>
      <c r="O267" s="30" t="str">
        <f aca="false">IF($E267="","",IFERROR(INDEX('Гео-калькулятор'!$K$7:$K$13,MATCH($C267,'Гео-калькулятор'!$B$7:$B$13,0)),""))</f>
        <v/>
      </c>
      <c r="P267" s="38" t="str">
        <f aca="false">IF($E267="","",IFERROR(N267/O267,""))</f>
        <v/>
      </c>
      <c r="Q267" s="39" t="str">
        <f aca="false">IF($E267="","",IF($I267&lt;&gt;"",$I267,N($H267)*IFERROR(INDEX('Гео-калькулятор'!$E$7:$E$13,MATCH($C267,'Гео-калькулятор'!$B$7:$B$13,0)),0)))</f>
        <v/>
      </c>
      <c r="R267" s="38" t="str">
        <f aca="false">IF($E267="","",IFERROR(Q267/H267,""))</f>
        <v/>
      </c>
      <c r="S267" s="30" t="str">
        <f aca="false">IF($E267="","",IFERROR(E267/Q267,"—"))</f>
        <v/>
      </c>
      <c r="T267" s="30" t="str">
        <f aca="false">IF($E267="","",Q267*IFERROR(INDEX('Гео-калькулятор'!$D$7:$D$13,MATCH($C267,'Гео-калькулятор'!$B$7:$B$13,0)),0))</f>
        <v/>
      </c>
      <c r="U267" s="40" t="str">
        <f aca="false">IF($E267="","",T267-E267)</f>
        <v/>
      </c>
      <c r="V267" s="41" t="str">
        <f aca="false">IF($E267="","",IFERROR(U267/E267,""))</f>
        <v/>
      </c>
      <c r="W267" s="10" t="str">
        <f aca="false">IF($E267="","",IF($I267&lt;&gt;"","факт","прогноз"))</f>
        <v/>
      </c>
      <c r="X267" s="1"/>
      <c r="Y267" s="1"/>
      <c r="Z267" s="1"/>
      <c r="AA267" s="1"/>
      <c r="AB267" s="1"/>
      <c r="AC267" s="1"/>
      <c r="AD267" s="1"/>
    </row>
    <row r="268" customFormat="false" ht="18" hidden="false" customHeight="true" outlineLevel="0" collapsed="false">
      <c r="A268" s="1"/>
      <c r="B268" s="35"/>
      <c r="C268" s="8"/>
      <c r="D268" s="26"/>
      <c r="E268" s="27"/>
      <c r="F268" s="36"/>
      <c r="G268" s="36"/>
      <c r="H268" s="36"/>
      <c r="I268" s="36"/>
      <c r="J268" s="37" t="str">
        <f aca="false">IF($E268="","",IFERROR(G268/F268,""))</f>
        <v/>
      </c>
      <c r="K268" s="30" t="str">
        <f aca="false">IF($E268="","",IFERROR(E268/G268,""))</f>
        <v/>
      </c>
      <c r="L268" s="30" t="str">
        <f aca="false">IF($E268="","",IFERROR(E268/F268*1000,""))</f>
        <v/>
      </c>
      <c r="M268" s="37" t="str">
        <f aca="false">IF($E268="","",IFERROR(H268/G268,""))</f>
        <v/>
      </c>
      <c r="N268" s="30" t="str">
        <f aca="false">IF($E268="","",IFERROR(E268/H268,"—"))</f>
        <v/>
      </c>
      <c r="O268" s="30" t="str">
        <f aca="false">IF($E268="","",IFERROR(INDEX('Гео-калькулятор'!$K$7:$K$13,MATCH($C268,'Гео-калькулятор'!$B$7:$B$13,0)),""))</f>
        <v/>
      </c>
      <c r="P268" s="38" t="str">
        <f aca="false">IF($E268="","",IFERROR(N268/O268,""))</f>
        <v/>
      </c>
      <c r="Q268" s="39" t="str">
        <f aca="false">IF($E268="","",IF($I268&lt;&gt;"",$I268,N($H268)*IFERROR(INDEX('Гео-калькулятор'!$E$7:$E$13,MATCH($C268,'Гео-калькулятор'!$B$7:$B$13,0)),0)))</f>
        <v/>
      </c>
      <c r="R268" s="38" t="str">
        <f aca="false">IF($E268="","",IFERROR(Q268/H268,""))</f>
        <v/>
      </c>
      <c r="S268" s="30" t="str">
        <f aca="false">IF($E268="","",IFERROR(E268/Q268,"—"))</f>
        <v/>
      </c>
      <c r="T268" s="30" t="str">
        <f aca="false">IF($E268="","",Q268*IFERROR(INDEX('Гео-калькулятор'!$D$7:$D$13,MATCH($C268,'Гео-калькулятор'!$B$7:$B$13,0)),0))</f>
        <v/>
      </c>
      <c r="U268" s="40" t="str">
        <f aca="false">IF($E268="","",T268-E268)</f>
        <v/>
      </c>
      <c r="V268" s="41" t="str">
        <f aca="false">IF($E268="","",IFERROR(U268/E268,""))</f>
        <v/>
      </c>
      <c r="W268" s="10" t="str">
        <f aca="false">IF($E268="","",IF($I268&lt;&gt;"","факт","прогноз"))</f>
        <v/>
      </c>
      <c r="X268" s="1"/>
      <c r="Y268" s="1"/>
      <c r="Z268" s="1"/>
      <c r="AA268" s="1"/>
      <c r="AB268" s="1"/>
      <c r="AC268" s="1"/>
      <c r="AD268" s="1"/>
    </row>
    <row r="269" customFormat="false" ht="18" hidden="false" customHeight="true" outlineLevel="0" collapsed="false">
      <c r="A269" s="1"/>
      <c r="B269" s="35"/>
      <c r="C269" s="8"/>
      <c r="D269" s="26"/>
      <c r="E269" s="27"/>
      <c r="F269" s="36"/>
      <c r="G269" s="36"/>
      <c r="H269" s="36"/>
      <c r="I269" s="36"/>
      <c r="J269" s="37" t="str">
        <f aca="false">IF($E269="","",IFERROR(G269/F269,""))</f>
        <v/>
      </c>
      <c r="K269" s="30" t="str">
        <f aca="false">IF($E269="","",IFERROR(E269/G269,""))</f>
        <v/>
      </c>
      <c r="L269" s="30" t="str">
        <f aca="false">IF($E269="","",IFERROR(E269/F269*1000,""))</f>
        <v/>
      </c>
      <c r="M269" s="37" t="str">
        <f aca="false">IF($E269="","",IFERROR(H269/G269,""))</f>
        <v/>
      </c>
      <c r="N269" s="30" t="str">
        <f aca="false">IF($E269="","",IFERROR(E269/H269,"—"))</f>
        <v/>
      </c>
      <c r="O269" s="30" t="str">
        <f aca="false">IF($E269="","",IFERROR(INDEX('Гео-калькулятор'!$K$7:$K$13,MATCH($C269,'Гео-калькулятор'!$B$7:$B$13,0)),""))</f>
        <v/>
      </c>
      <c r="P269" s="38" t="str">
        <f aca="false">IF($E269="","",IFERROR(N269/O269,""))</f>
        <v/>
      </c>
      <c r="Q269" s="39" t="str">
        <f aca="false">IF($E269="","",IF($I269&lt;&gt;"",$I269,N($H269)*IFERROR(INDEX('Гео-калькулятор'!$E$7:$E$13,MATCH($C269,'Гео-калькулятор'!$B$7:$B$13,0)),0)))</f>
        <v/>
      </c>
      <c r="R269" s="38" t="str">
        <f aca="false">IF($E269="","",IFERROR(Q269/H269,""))</f>
        <v/>
      </c>
      <c r="S269" s="30" t="str">
        <f aca="false">IF($E269="","",IFERROR(E269/Q269,"—"))</f>
        <v/>
      </c>
      <c r="T269" s="30" t="str">
        <f aca="false">IF($E269="","",Q269*IFERROR(INDEX('Гео-калькулятор'!$D$7:$D$13,MATCH($C269,'Гео-калькулятор'!$B$7:$B$13,0)),0))</f>
        <v/>
      </c>
      <c r="U269" s="40" t="str">
        <f aca="false">IF($E269="","",T269-E269)</f>
        <v/>
      </c>
      <c r="V269" s="41" t="str">
        <f aca="false">IF($E269="","",IFERROR(U269/E269,""))</f>
        <v/>
      </c>
      <c r="W269" s="10" t="str">
        <f aca="false">IF($E269="","",IF($I269&lt;&gt;"","факт","прогноз"))</f>
        <v/>
      </c>
      <c r="X269" s="1"/>
      <c r="Y269" s="1"/>
      <c r="Z269" s="1"/>
      <c r="AA269" s="1"/>
      <c r="AB269" s="1"/>
      <c r="AC269" s="1"/>
      <c r="AD269" s="1"/>
    </row>
    <row r="270" customFormat="false" ht="18" hidden="false" customHeight="true" outlineLevel="0" collapsed="false">
      <c r="A270" s="1"/>
      <c r="B270" s="35"/>
      <c r="C270" s="8"/>
      <c r="D270" s="26"/>
      <c r="E270" s="27"/>
      <c r="F270" s="36"/>
      <c r="G270" s="36"/>
      <c r="H270" s="36"/>
      <c r="I270" s="36"/>
      <c r="J270" s="37" t="str">
        <f aca="false">IF($E270="","",IFERROR(G270/F270,""))</f>
        <v/>
      </c>
      <c r="K270" s="30" t="str">
        <f aca="false">IF($E270="","",IFERROR(E270/G270,""))</f>
        <v/>
      </c>
      <c r="L270" s="30" t="str">
        <f aca="false">IF($E270="","",IFERROR(E270/F270*1000,""))</f>
        <v/>
      </c>
      <c r="M270" s="37" t="str">
        <f aca="false">IF($E270="","",IFERROR(H270/G270,""))</f>
        <v/>
      </c>
      <c r="N270" s="30" t="str">
        <f aca="false">IF($E270="","",IFERROR(E270/H270,"—"))</f>
        <v/>
      </c>
      <c r="O270" s="30" t="str">
        <f aca="false">IF($E270="","",IFERROR(INDEX('Гео-калькулятор'!$K$7:$K$13,MATCH($C270,'Гео-калькулятор'!$B$7:$B$13,0)),""))</f>
        <v/>
      </c>
      <c r="P270" s="38" t="str">
        <f aca="false">IF($E270="","",IFERROR(N270/O270,""))</f>
        <v/>
      </c>
      <c r="Q270" s="39" t="str">
        <f aca="false">IF($E270="","",IF($I270&lt;&gt;"",$I270,N($H270)*IFERROR(INDEX('Гео-калькулятор'!$E$7:$E$13,MATCH($C270,'Гео-калькулятор'!$B$7:$B$13,0)),0)))</f>
        <v/>
      </c>
      <c r="R270" s="38" t="str">
        <f aca="false">IF($E270="","",IFERROR(Q270/H270,""))</f>
        <v/>
      </c>
      <c r="S270" s="30" t="str">
        <f aca="false">IF($E270="","",IFERROR(E270/Q270,"—"))</f>
        <v/>
      </c>
      <c r="T270" s="30" t="str">
        <f aca="false">IF($E270="","",Q270*IFERROR(INDEX('Гео-калькулятор'!$D$7:$D$13,MATCH($C270,'Гео-калькулятор'!$B$7:$B$13,0)),0))</f>
        <v/>
      </c>
      <c r="U270" s="40" t="str">
        <f aca="false">IF($E270="","",T270-E270)</f>
        <v/>
      </c>
      <c r="V270" s="41" t="str">
        <f aca="false">IF($E270="","",IFERROR(U270/E270,""))</f>
        <v/>
      </c>
      <c r="W270" s="10" t="str">
        <f aca="false">IF($E270="","",IF($I270&lt;&gt;"","факт","прогноз"))</f>
        <v/>
      </c>
      <c r="X270" s="1"/>
      <c r="Y270" s="1"/>
      <c r="Z270" s="1"/>
      <c r="AA270" s="1"/>
      <c r="AB270" s="1"/>
      <c r="AC270" s="1"/>
      <c r="AD270" s="1"/>
    </row>
    <row r="271" customFormat="false" ht="18" hidden="false" customHeight="true" outlineLevel="0" collapsed="false">
      <c r="A271" s="1"/>
      <c r="B271" s="35"/>
      <c r="C271" s="8"/>
      <c r="D271" s="26"/>
      <c r="E271" s="27"/>
      <c r="F271" s="36"/>
      <c r="G271" s="36"/>
      <c r="H271" s="36"/>
      <c r="I271" s="36"/>
      <c r="J271" s="37" t="str">
        <f aca="false">IF($E271="","",IFERROR(G271/F271,""))</f>
        <v/>
      </c>
      <c r="K271" s="30" t="str">
        <f aca="false">IF($E271="","",IFERROR(E271/G271,""))</f>
        <v/>
      </c>
      <c r="L271" s="30" t="str">
        <f aca="false">IF($E271="","",IFERROR(E271/F271*1000,""))</f>
        <v/>
      </c>
      <c r="M271" s="37" t="str">
        <f aca="false">IF($E271="","",IFERROR(H271/G271,""))</f>
        <v/>
      </c>
      <c r="N271" s="30" t="str">
        <f aca="false">IF($E271="","",IFERROR(E271/H271,"—"))</f>
        <v/>
      </c>
      <c r="O271" s="30" t="str">
        <f aca="false">IF($E271="","",IFERROR(INDEX('Гео-калькулятор'!$K$7:$K$13,MATCH($C271,'Гео-калькулятор'!$B$7:$B$13,0)),""))</f>
        <v/>
      </c>
      <c r="P271" s="38" t="str">
        <f aca="false">IF($E271="","",IFERROR(N271/O271,""))</f>
        <v/>
      </c>
      <c r="Q271" s="39" t="str">
        <f aca="false">IF($E271="","",IF($I271&lt;&gt;"",$I271,N($H271)*IFERROR(INDEX('Гео-калькулятор'!$E$7:$E$13,MATCH($C271,'Гео-калькулятор'!$B$7:$B$13,0)),0)))</f>
        <v/>
      </c>
      <c r="R271" s="38" t="str">
        <f aca="false">IF($E271="","",IFERROR(Q271/H271,""))</f>
        <v/>
      </c>
      <c r="S271" s="30" t="str">
        <f aca="false">IF($E271="","",IFERROR(E271/Q271,"—"))</f>
        <v/>
      </c>
      <c r="T271" s="30" t="str">
        <f aca="false">IF($E271="","",Q271*IFERROR(INDEX('Гео-калькулятор'!$D$7:$D$13,MATCH($C271,'Гео-калькулятор'!$B$7:$B$13,0)),0))</f>
        <v/>
      </c>
      <c r="U271" s="40" t="str">
        <f aca="false">IF($E271="","",T271-E271)</f>
        <v/>
      </c>
      <c r="V271" s="41" t="str">
        <f aca="false">IF($E271="","",IFERROR(U271/E271,""))</f>
        <v/>
      </c>
      <c r="W271" s="10" t="str">
        <f aca="false">IF($E271="","",IF($I271&lt;&gt;"","факт","прогноз"))</f>
        <v/>
      </c>
      <c r="X271" s="1"/>
      <c r="Y271" s="1"/>
      <c r="Z271" s="1"/>
      <c r="AA271" s="1"/>
      <c r="AB271" s="1"/>
      <c r="AC271" s="1"/>
      <c r="AD271" s="1"/>
    </row>
    <row r="272" customFormat="false" ht="18" hidden="false" customHeight="true" outlineLevel="0" collapsed="false">
      <c r="A272" s="1"/>
      <c r="B272" s="35"/>
      <c r="C272" s="8"/>
      <c r="D272" s="26"/>
      <c r="E272" s="27"/>
      <c r="F272" s="36"/>
      <c r="G272" s="36"/>
      <c r="H272" s="36"/>
      <c r="I272" s="36"/>
      <c r="J272" s="37" t="str">
        <f aca="false">IF($E272="","",IFERROR(G272/F272,""))</f>
        <v/>
      </c>
      <c r="K272" s="30" t="str">
        <f aca="false">IF($E272="","",IFERROR(E272/G272,""))</f>
        <v/>
      </c>
      <c r="L272" s="30" t="str">
        <f aca="false">IF($E272="","",IFERROR(E272/F272*1000,""))</f>
        <v/>
      </c>
      <c r="M272" s="37" t="str">
        <f aca="false">IF($E272="","",IFERROR(H272/G272,""))</f>
        <v/>
      </c>
      <c r="N272" s="30" t="str">
        <f aca="false">IF($E272="","",IFERROR(E272/H272,"—"))</f>
        <v/>
      </c>
      <c r="O272" s="30" t="str">
        <f aca="false">IF($E272="","",IFERROR(INDEX('Гео-калькулятор'!$K$7:$K$13,MATCH($C272,'Гео-калькулятор'!$B$7:$B$13,0)),""))</f>
        <v/>
      </c>
      <c r="P272" s="38" t="str">
        <f aca="false">IF($E272="","",IFERROR(N272/O272,""))</f>
        <v/>
      </c>
      <c r="Q272" s="39" t="str">
        <f aca="false">IF($E272="","",IF($I272&lt;&gt;"",$I272,N($H272)*IFERROR(INDEX('Гео-калькулятор'!$E$7:$E$13,MATCH($C272,'Гео-калькулятор'!$B$7:$B$13,0)),0)))</f>
        <v/>
      </c>
      <c r="R272" s="38" t="str">
        <f aca="false">IF($E272="","",IFERROR(Q272/H272,""))</f>
        <v/>
      </c>
      <c r="S272" s="30" t="str">
        <f aca="false">IF($E272="","",IFERROR(E272/Q272,"—"))</f>
        <v/>
      </c>
      <c r="T272" s="30" t="str">
        <f aca="false">IF($E272="","",Q272*IFERROR(INDEX('Гео-калькулятор'!$D$7:$D$13,MATCH($C272,'Гео-калькулятор'!$B$7:$B$13,0)),0))</f>
        <v/>
      </c>
      <c r="U272" s="40" t="str">
        <f aca="false">IF($E272="","",T272-E272)</f>
        <v/>
      </c>
      <c r="V272" s="41" t="str">
        <f aca="false">IF($E272="","",IFERROR(U272/E272,""))</f>
        <v/>
      </c>
      <c r="W272" s="10" t="str">
        <f aca="false">IF($E272="","",IF($I272&lt;&gt;"","факт","прогноз"))</f>
        <v/>
      </c>
      <c r="X272" s="1"/>
      <c r="Y272" s="1"/>
      <c r="Z272" s="1"/>
      <c r="AA272" s="1"/>
      <c r="AB272" s="1"/>
      <c r="AC272" s="1"/>
      <c r="AD272" s="1"/>
    </row>
    <row r="273" customFormat="false" ht="18" hidden="false" customHeight="true" outlineLevel="0" collapsed="false">
      <c r="A273" s="1"/>
      <c r="B273" s="35"/>
      <c r="C273" s="8"/>
      <c r="D273" s="26"/>
      <c r="E273" s="27"/>
      <c r="F273" s="36"/>
      <c r="G273" s="36"/>
      <c r="H273" s="36"/>
      <c r="I273" s="36"/>
      <c r="J273" s="37" t="str">
        <f aca="false">IF($E273="","",IFERROR(G273/F273,""))</f>
        <v/>
      </c>
      <c r="K273" s="30" t="str">
        <f aca="false">IF($E273="","",IFERROR(E273/G273,""))</f>
        <v/>
      </c>
      <c r="L273" s="30" t="str">
        <f aca="false">IF($E273="","",IFERROR(E273/F273*1000,""))</f>
        <v/>
      </c>
      <c r="M273" s="37" t="str">
        <f aca="false">IF($E273="","",IFERROR(H273/G273,""))</f>
        <v/>
      </c>
      <c r="N273" s="30" t="str">
        <f aca="false">IF($E273="","",IFERROR(E273/H273,"—"))</f>
        <v/>
      </c>
      <c r="O273" s="30" t="str">
        <f aca="false">IF($E273="","",IFERROR(INDEX('Гео-калькулятор'!$K$7:$K$13,MATCH($C273,'Гео-калькулятор'!$B$7:$B$13,0)),""))</f>
        <v/>
      </c>
      <c r="P273" s="38" t="str">
        <f aca="false">IF($E273="","",IFERROR(N273/O273,""))</f>
        <v/>
      </c>
      <c r="Q273" s="39" t="str">
        <f aca="false">IF($E273="","",IF($I273&lt;&gt;"",$I273,N($H273)*IFERROR(INDEX('Гео-калькулятор'!$E$7:$E$13,MATCH($C273,'Гео-калькулятор'!$B$7:$B$13,0)),0)))</f>
        <v/>
      </c>
      <c r="R273" s="38" t="str">
        <f aca="false">IF($E273="","",IFERROR(Q273/H273,""))</f>
        <v/>
      </c>
      <c r="S273" s="30" t="str">
        <f aca="false">IF($E273="","",IFERROR(E273/Q273,"—"))</f>
        <v/>
      </c>
      <c r="T273" s="30" t="str">
        <f aca="false">IF($E273="","",Q273*IFERROR(INDEX('Гео-калькулятор'!$D$7:$D$13,MATCH($C273,'Гео-калькулятор'!$B$7:$B$13,0)),0))</f>
        <v/>
      </c>
      <c r="U273" s="40" t="str">
        <f aca="false">IF($E273="","",T273-E273)</f>
        <v/>
      </c>
      <c r="V273" s="41" t="str">
        <f aca="false">IF($E273="","",IFERROR(U273/E273,""))</f>
        <v/>
      </c>
      <c r="W273" s="10" t="str">
        <f aca="false">IF($E273="","",IF($I273&lt;&gt;"","факт","прогноз"))</f>
        <v/>
      </c>
      <c r="X273" s="1"/>
      <c r="Y273" s="1"/>
      <c r="Z273" s="1"/>
      <c r="AA273" s="1"/>
      <c r="AB273" s="1"/>
      <c r="AC273" s="1"/>
      <c r="AD273" s="1"/>
    </row>
    <row r="274" customFormat="false" ht="18" hidden="false" customHeight="true" outlineLevel="0" collapsed="false">
      <c r="A274" s="1"/>
      <c r="B274" s="35"/>
      <c r="C274" s="8"/>
      <c r="D274" s="26"/>
      <c r="E274" s="27"/>
      <c r="F274" s="36"/>
      <c r="G274" s="36"/>
      <c r="H274" s="36"/>
      <c r="I274" s="36"/>
      <c r="J274" s="37" t="str">
        <f aca="false">IF($E274="","",IFERROR(G274/F274,""))</f>
        <v/>
      </c>
      <c r="K274" s="30" t="str">
        <f aca="false">IF($E274="","",IFERROR(E274/G274,""))</f>
        <v/>
      </c>
      <c r="L274" s="30" t="str">
        <f aca="false">IF($E274="","",IFERROR(E274/F274*1000,""))</f>
        <v/>
      </c>
      <c r="M274" s="37" t="str">
        <f aca="false">IF($E274="","",IFERROR(H274/G274,""))</f>
        <v/>
      </c>
      <c r="N274" s="30" t="str">
        <f aca="false">IF($E274="","",IFERROR(E274/H274,"—"))</f>
        <v/>
      </c>
      <c r="O274" s="30" t="str">
        <f aca="false">IF($E274="","",IFERROR(INDEX('Гео-калькулятор'!$K$7:$K$13,MATCH($C274,'Гео-калькулятор'!$B$7:$B$13,0)),""))</f>
        <v/>
      </c>
      <c r="P274" s="38" t="str">
        <f aca="false">IF($E274="","",IFERROR(N274/O274,""))</f>
        <v/>
      </c>
      <c r="Q274" s="39" t="str">
        <f aca="false">IF($E274="","",IF($I274&lt;&gt;"",$I274,N($H274)*IFERROR(INDEX('Гео-калькулятор'!$E$7:$E$13,MATCH($C274,'Гео-калькулятор'!$B$7:$B$13,0)),0)))</f>
        <v/>
      </c>
      <c r="R274" s="38" t="str">
        <f aca="false">IF($E274="","",IFERROR(Q274/H274,""))</f>
        <v/>
      </c>
      <c r="S274" s="30" t="str">
        <f aca="false">IF($E274="","",IFERROR(E274/Q274,"—"))</f>
        <v/>
      </c>
      <c r="T274" s="30" t="str">
        <f aca="false">IF($E274="","",Q274*IFERROR(INDEX('Гео-калькулятор'!$D$7:$D$13,MATCH($C274,'Гео-калькулятор'!$B$7:$B$13,0)),0))</f>
        <v/>
      </c>
      <c r="U274" s="40" t="str">
        <f aca="false">IF($E274="","",T274-E274)</f>
        <v/>
      </c>
      <c r="V274" s="41" t="str">
        <f aca="false">IF($E274="","",IFERROR(U274/E274,""))</f>
        <v/>
      </c>
      <c r="W274" s="10" t="str">
        <f aca="false">IF($E274="","",IF($I274&lt;&gt;"","факт","прогноз"))</f>
        <v/>
      </c>
      <c r="X274" s="1"/>
      <c r="Y274" s="1"/>
      <c r="Z274" s="1"/>
      <c r="AA274" s="1"/>
      <c r="AB274" s="1"/>
      <c r="AC274" s="1"/>
      <c r="AD274" s="1"/>
    </row>
    <row r="275" customFormat="false" ht="18" hidden="false" customHeight="true" outlineLevel="0" collapsed="false">
      <c r="A275" s="1"/>
      <c r="B275" s="35"/>
      <c r="C275" s="8"/>
      <c r="D275" s="26"/>
      <c r="E275" s="27"/>
      <c r="F275" s="36"/>
      <c r="G275" s="36"/>
      <c r="H275" s="36"/>
      <c r="I275" s="36"/>
      <c r="J275" s="37" t="str">
        <f aca="false">IF($E275="","",IFERROR(G275/F275,""))</f>
        <v/>
      </c>
      <c r="K275" s="30" t="str">
        <f aca="false">IF($E275="","",IFERROR(E275/G275,""))</f>
        <v/>
      </c>
      <c r="L275" s="30" t="str">
        <f aca="false">IF($E275="","",IFERROR(E275/F275*1000,""))</f>
        <v/>
      </c>
      <c r="M275" s="37" t="str">
        <f aca="false">IF($E275="","",IFERROR(H275/G275,""))</f>
        <v/>
      </c>
      <c r="N275" s="30" t="str">
        <f aca="false">IF($E275="","",IFERROR(E275/H275,"—"))</f>
        <v/>
      </c>
      <c r="O275" s="30" t="str">
        <f aca="false">IF($E275="","",IFERROR(INDEX('Гео-калькулятор'!$K$7:$K$13,MATCH($C275,'Гео-калькулятор'!$B$7:$B$13,0)),""))</f>
        <v/>
      </c>
      <c r="P275" s="38" t="str">
        <f aca="false">IF($E275="","",IFERROR(N275/O275,""))</f>
        <v/>
      </c>
      <c r="Q275" s="39" t="str">
        <f aca="false">IF($E275="","",IF($I275&lt;&gt;"",$I275,N($H275)*IFERROR(INDEX('Гео-калькулятор'!$E$7:$E$13,MATCH($C275,'Гео-калькулятор'!$B$7:$B$13,0)),0)))</f>
        <v/>
      </c>
      <c r="R275" s="38" t="str">
        <f aca="false">IF($E275="","",IFERROR(Q275/H275,""))</f>
        <v/>
      </c>
      <c r="S275" s="30" t="str">
        <f aca="false">IF($E275="","",IFERROR(E275/Q275,"—"))</f>
        <v/>
      </c>
      <c r="T275" s="30" t="str">
        <f aca="false">IF($E275="","",Q275*IFERROR(INDEX('Гео-калькулятор'!$D$7:$D$13,MATCH($C275,'Гео-калькулятор'!$B$7:$B$13,0)),0))</f>
        <v/>
      </c>
      <c r="U275" s="40" t="str">
        <f aca="false">IF($E275="","",T275-E275)</f>
        <v/>
      </c>
      <c r="V275" s="41" t="str">
        <f aca="false">IF($E275="","",IFERROR(U275/E275,""))</f>
        <v/>
      </c>
      <c r="W275" s="10" t="str">
        <f aca="false">IF($E275="","",IF($I275&lt;&gt;"","факт","прогноз"))</f>
        <v/>
      </c>
      <c r="X275" s="1"/>
      <c r="Y275" s="1"/>
      <c r="Z275" s="1"/>
      <c r="AA275" s="1"/>
      <c r="AB275" s="1"/>
      <c r="AC275" s="1"/>
      <c r="AD275" s="1"/>
    </row>
    <row r="276" customFormat="false" ht="18" hidden="false" customHeight="true" outlineLevel="0" collapsed="false">
      <c r="A276" s="1"/>
      <c r="B276" s="35"/>
      <c r="C276" s="8"/>
      <c r="D276" s="26"/>
      <c r="E276" s="27"/>
      <c r="F276" s="36"/>
      <c r="G276" s="36"/>
      <c r="H276" s="36"/>
      <c r="I276" s="36"/>
      <c r="J276" s="37" t="str">
        <f aca="false">IF($E276="","",IFERROR(G276/F276,""))</f>
        <v/>
      </c>
      <c r="K276" s="30" t="str">
        <f aca="false">IF($E276="","",IFERROR(E276/G276,""))</f>
        <v/>
      </c>
      <c r="L276" s="30" t="str">
        <f aca="false">IF($E276="","",IFERROR(E276/F276*1000,""))</f>
        <v/>
      </c>
      <c r="M276" s="37" t="str">
        <f aca="false">IF($E276="","",IFERROR(H276/G276,""))</f>
        <v/>
      </c>
      <c r="N276" s="30" t="str">
        <f aca="false">IF($E276="","",IFERROR(E276/H276,"—"))</f>
        <v/>
      </c>
      <c r="O276" s="30" t="str">
        <f aca="false">IF($E276="","",IFERROR(INDEX('Гео-калькулятор'!$K$7:$K$13,MATCH($C276,'Гео-калькулятор'!$B$7:$B$13,0)),""))</f>
        <v/>
      </c>
      <c r="P276" s="38" t="str">
        <f aca="false">IF($E276="","",IFERROR(N276/O276,""))</f>
        <v/>
      </c>
      <c r="Q276" s="39" t="str">
        <f aca="false">IF($E276="","",IF($I276&lt;&gt;"",$I276,N($H276)*IFERROR(INDEX('Гео-калькулятор'!$E$7:$E$13,MATCH($C276,'Гео-калькулятор'!$B$7:$B$13,0)),0)))</f>
        <v/>
      </c>
      <c r="R276" s="38" t="str">
        <f aca="false">IF($E276="","",IFERROR(Q276/H276,""))</f>
        <v/>
      </c>
      <c r="S276" s="30" t="str">
        <f aca="false">IF($E276="","",IFERROR(E276/Q276,"—"))</f>
        <v/>
      </c>
      <c r="T276" s="30" t="str">
        <f aca="false">IF($E276="","",Q276*IFERROR(INDEX('Гео-калькулятор'!$D$7:$D$13,MATCH($C276,'Гео-калькулятор'!$B$7:$B$13,0)),0))</f>
        <v/>
      </c>
      <c r="U276" s="40" t="str">
        <f aca="false">IF($E276="","",T276-E276)</f>
        <v/>
      </c>
      <c r="V276" s="41" t="str">
        <f aca="false">IF($E276="","",IFERROR(U276/E276,""))</f>
        <v/>
      </c>
      <c r="W276" s="10" t="str">
        <f aca="false">IF($E276="","",IF($I276&lt;&gt;"","факт","прогноз"))</f>
        <v/>
      </c>
      <c r="X276" s="1"/>
      <c r="Y276" s="1"/>
      <c r="Z276" s="1"/>
      <c r="AA276" s="1"/>
      <c r="AB276" s="1"/>
      <c r="AC276" s="1"/>
      <c r="AD276" s="1"/>
    </row>
    <row r="277" customFormat="false" ht="18" hidden="false" customHeight="true" outlineLevel="0" collapsed="false">
      <c r="A277" s="1"/>
      <c r="B277" s="35"/>
      <c r="C277" s="8"/>
      <c r="D277" s="26"/>
      <c r="E277" s="27"/>
      <c r="F277" s="36"/>
      <c r="G277" s="36"/>
      <c r="H277" s="36"/>
      <c r="I277" s="36"/>
      <c r="J277" s="37" t="str">
        <f aca="false">IF($E277="","",IFERROR(G277/F277,""))</f>
        <v/>
      </c>
      <c r="K277" s="30" t="str">
        <f aca="false">IF($E277="","",IFERROR(E277/G277,""))</f>
        <v/>
      </c>
      <c r="L277" s="30" t="str">
        <f aca="false">IF($E277="","",IFERROR(E277/F277*1000,""))</f>
        <v/>
      </c>
      <c r="M277" s="37" t="str">
        <f aca="false">IF($E277="","",IFERROR(H277/G277,""))</f>
        <v/>
      </c>
      <c r="N277" s="30" t="str">
        <f aca="false">IF($E277="","",IFERROR(E277/H277,"—"))</f>
        <v/>
      </c>
      <c r="O277" s="30" t="str">
        <f aca="false">IF($E277="","",IFERROR(INDEX('Гео-калькулятор'!$K$7:$K$13,MATCH($C277,'Гео-калькулятор'!$B$7:$B$13,0)),""))</f>
        <v/>
      </c>
      <c r="P277" s="38" t="str">
        <f aca="false">IF($E277="","",IFERROR(N277/O277,""))</f>
        <v/>
      </c>
      <c r="Q277" s="39" t="str">
        <f aca="false">IF($E277="","",IF($I277&lt;&gt;"",$I277,N($H277)*IFERROR(INDEX('Гео-калькулятор'!$E$7:$E$13,MATCH($C277,'Гео-калькулятор'!$B$7:$B$13,0)),0)))</f>
        <v/>
      </c>
      <c r="R277" s="38" t="str">
        <f aca="false">IF($E277="","",IFERROR(Q277/H277,""))</f>
        <v/>
      </c>
      <c r="S277" s="30" t="str">
        <f aca="false">IF($E277="","",IFERROR(E277/Q277,"—"))</f>
        <v/>
      </c>
      <c r="T277" s="30" t="str">
        <f aca="false">IF($E277="","",Q277*IFERROR(INDEX('Гео-калькулятор'!$D$7:$D$13,MATCH($C277,'Гео-калькулятор'!$B$7:$B$13,0)),0))</f>
        <v/>
      </c>
      <c r="U277" s="40" t="str">
        <f aca="false">IF($E277="","",T277-E277)</f>
        <v/>
      </c>
      <c r="V277" s="41" t="str">
        <f aca="false">IF($E277="","",IFERROR(U277/E277,""))</f>
        <v/>
      </c>
      <c r="W277" s="10" t="str">
        <f aca="false">IF($E277="","",IF($I277&lt;&gt;"","факт","прогноз"))</f>
        <v/>
      </c>
      <c r="X277" s="1"/>
      <c r="Y277" s="1"/>
      <c r="Z277" s="1"/>
      <c r="AA277" s="1"/>
      <c r="AB277" s="1"/>
      <c r="AC277" s="1"/>
      <c r="AD277" s="1"/>
    </row>
    <row r="278" customFormat="false" ht="18" hidden="false" customHeight="true" outlineLevel="0" collapsed="false">
      <c r="A278" s="1"/>
      <c r="B278" s="35"/>
      <c r="C278" s="8"/>
      <c r="D278" s="26"/>
      <c r="E278" s="27"/>
      <c r="F278" s="36"/>
      <c r="G278" s="36"/>
      <c r="H278" s="36"/>
      <c r="I278" s="36"/>
      <c r="J278" s="37" t="str">
        <f aca="false">IF($E278="","",IFERROR(G278/F278,""))</f>
        <v/>
      </c>
      <c r="K278" s="30" t="str">
        <f aca="false">IF($E278="","",IFERROR(E278/G278,""))</f>
        <v/>
      </c>
      <c r="L278" s="30" t="str">
        <f aca="false">IF($E278="","",IFERROR(E278/F278*1000,""))</f>
        <v/>
      </c>
      <c r="M278" s="37" t="str">
        <f aca="false">IF($E278="","",IFERROR(H278/G278,""))</f>
        <v/>
      </c>
      <c r="N278" s="30" t="str">
        <f aca="false">IF($E278="","",IFERROR(E278/H278,"—"))</f>
        <v/>
      </c>
      <c r="O278" s="30" t="str">
        <f aca="false">IF($E278="","",IFERROR(INDEX('Гео-калькулятор'!$K$7:$K$13,MATCH($C278,'Гео-калькулятор'!$B$7:$B$13,0)),""))</f>
        <v/>
      </c>
      <c r="P278" s="38" t="str">
        <f aca="false">IF($E278="","",IFERROR(N278/O278,""))</f>
        <v/>
      </c>
      <c r="Q278" s="39" t="str">
        <f aca="false">IF($E278="","",IF($I278&lt;&gt;"",$I278,N($H278)*IFERROR(INDEX('Гео-калькулятор'!$E$7:$E$13,MATCH($C278,'Гео-калькулятор'!$B$7:$B$13,0)),0)))</f>
        <v/>
      </c>
      <c r="R278" s="38" t="str">
        <f aca="false">IF($E278="","",IFERROR(Q278/H278,""))</f>
        <v/>
      </c>
      <c r="S278" s="30" t="str">
        <f aca="false">IF($E278="","",IFERROR(E278/Q278,"—"))</f>
        <v/>
      </c>
      <c r="T278" s="30" t="str">
        <f aca="false">IF($E278="","",Q278*IFERROR(INDEX('Гео-калькулятор'!$D$7:$D$13,MATCH($C278,'Гео-калькулятор'!$B$7:$B$13,0)),0))</f>
        <v/>
      </c>
      <c r="U278" s="40" t="str">
        <f aca="false">IF($E278="","",T278-E278)</f>
        <v/>
      </c>
      <c r="V278" s="41" t="str">
        <f aca="false">IF($E278="","",IFERROR(U278/E278,""))</f>
        <v/>
      </c>
      <c r="W278" s="10" t="str">
        <f aca="false">IF($E278="","",IF($I278&lt;&gt;"","факт","прогноз"))</f>
        <v/>
      </c>
      <c r="X278" s="1"/>
      <c r="Y278" s="1"/>
      <c r="Z278" s="1"/>
      <c r="AA278" s="1"/>
      <c r="AB278" s="1"/>
      <c r="AC278" s="1"/>
      <c r="AD278" s="1"/>
    </row>
    <row r="279" customFormat="false" ht="18" hidden="false" customHeight="true" outlineLevel="0" collapsed="false">
      <c r="A279" s="1"/>
      <c r="B279" s="35"/>
      <c r="C279" s="8"/>
      <c r="D279" s="26"/>
      <c r="E279" s="27"/>
      <c r="F279" s="36"/>
      <c r="G279" s="36"/>
      <c r="H279" s="36"/>
      <c r="I279" s="36"/>
      <c r="J279" s="37" t="str">
        <f aca="false">IF($E279="","",IFERROR(G279/F279,""))</f>
        <v/>
      </c>
      <c r="K279" s="30" t="str">
        <f aca="false">IF($E279="","",IFERROR(E279/G279,""))</f>
        <v/>
      </c>
      <c r="L279" s="30" t="str">
        <f aca="false">IF($E279="","",IFERROR(E279/F279*1000,""))</f>
        <v/>
      </c>
      <c r="M279" s="37" t="str">
        <f aca="false">IF($E279="","",IFERROR(H279/G279,""))</f>
        <v/>
      </c>
      <c r="N279" s="30" t="str">
        <f aca="false">IF($E279="","",IFERROR(E279/H279,"—"))</f>
        <v/>
      </c>
      <c r="O279" s="30" t="str">
        <f aca="false">IF($E279="","",IFERROR(INDEX('Гео-калькулятор'!$K$7:$K$13,MATCH($C279,'Гео-калькулятор'!$B$7:$B$13,0)),""))</f>
        <v/>
      </c>
      <c r="P279" s="38" t="str">
        <f aca="false">IF($E279="","",IFERROR(N279/O279,""))</f>
        <v/>
      </c>
      <c r="Q279" s="39" t="str">
        <f aca="false">IF($E279="","",IF($I279&lt;&gt;"",$I279,N($H279)*IFERROR(INDEX('Гео-калькулятор'!$E$7:$E$13,MATCH($C279,'Гео-калькулятор'!$B$7:$B$13,0)),0)))</f>
        <v/>
      </c>
      <c r="R279" s="38" t="str">
        <f aca="false">IF($E279="","",IFERROR(Q279/H279,""))</f>
        <v/>
      </c>
      <c r="S279" s="30" t="str">
        <f aca="false">IF($E279="","",IFERROR(E279/Q279,"—"))</f>
        <v/>
      </c>
      <c r="T279" s="30" t="str">
        <f aca="false">IF($E279="","",Q279*IFERROR(INDEX('Гео-калькулятор'!$D$7:$D$13,MATCH($C279,'Гео-калькулятор'!$B$7:$B$13,0)),0))</f>
        <v/>
      </c>
      <c r="U279" s="40" t="str">
        <f aca="false">IF($E279="","",T279-E279)</f>
        <v/>
      </c>
      <c r="V279" s="41" t="str">
        <f aca="false">IF($E279="","",IFERROR(U279/E279,""))</f>
        <v/>
      </c>
      <c r="W279" s="10" t="str">
        <f aca="false">IF($E279="","",IF($I279&lt;&gt;"","факт","прогноз"))</f>
        <v/>
      </c>
      <c r="X279" s="1"/>
      <c r="Y279" s="1"/>
      <c r="Z279" s="1"/>
      <c r="AA279" s="1"/>
      <c r="AB279" s="1"/>
      <c r="AC279" s="1"/>
      <c r="AD279" s="1"/>
    </row>
    <row r="280" customFormat="false" ht="18" hidden="false" customHeight="true" outlineLevel="0" collapsed="false">
      <c r="A280" s="1"/>
      <c r="B280" s="35"/>
      <c r="C280" s="8"/>
      <c r="D280" s="26"/>
      <c r="E280" s="27"/>
      <c r="F280" s="36"/>
      <c r="G280" s="36"/>
      <c r="H280" s="36"/>
      <c r="I280" s="36"/>
      <c r="J280" s="37" t="str">
        <f aca="false">IF($E280="","",IFERROR(G280/F280,""))</f>
        <v/>
      </c>
      <c r="K280" s="30" t="str">
        <f aca="false">IF($E280="","",IFERROR(E280/G280,""))</f>
        <v/>
      </c>
      <c r="L280" s="30" t="str">
        <f aca="false">IF($E280="","",IFERROR(E280/F280*1000,""))</f>
        <v/>
      </c>
      <c r="M280" s="37" t="str">
        <f aca="false">IF($E280="","",IFERROR(H280/G280,""))</f>
        <v/>
      </c>
      <c r="N280" s="30" t="str">
        <f aca="false">IF($E280="","",IFERROR(E280/H280,"—"))</f>
        <v/>
      </c>
      <c r="O280" s="30" t="str">
        <f aca="false">IF($E280="","",IFERROR(INDEX('Гео-калькулятор'!$K$7:$K$13,MATCH($C280,'Гео-калькулятор'!$B$7:$B$13,0)),""))</f>
        <v/>
      </c>
      <c r="P280" s="38" t="str">
        <f aca="false">IF($E280="","",IFERROR(N280/O280,""))</f>
        <v/>
      </c>
      <c r="Q280" s="39" t="str">
        <f aca="false">IF($E280="","",IF($I280&lt;&gt;"",$I280,N($H280)*IFERROR(INDEX('Гео-калькулятор'!$E$7:$E$13,MATCH($C280,'Гео-калькулятор'!$B$7:$B$13,0)),0)))</f>
        <v/>
      </c>
      <c r="R280" s="38" t="str">
        <f aca="false">IF($E280="","",IFERROR(Q280/H280,""))</f>
        <v/>
      </c>
      <c r="S280" s="30" t="str">
        <f aca="false">IF($E280="","",IFERROR(E280/Q280,"—"))</f>
        <v/>
      </c>
      <c r="T280" s="30" t="str">
        <f aca="false">IF($E280="","",Q280*IFERROR(INDEX('Гео-калькулятор'!$D$7:$D$13,MATCH($C280,'Гео-калькулятор'!$B$7:$B$13,0)),0))</f>
        <v/>
      </c>
      <c r="U280" s="40" t="str">
        <f aca="false">IF($E280="","",T280-E280)</f>
        <v/>
      </c>
      <c r="V280" s="41" t="str">
        <f aca="false">IF($E280="","",IFERROR(U280/E280,""))</f>
        <v/>
      </c>
      <c r="W280" s="10" t="str">
        <f aca="false">IF($E280="","",IF($I280&lt;&gt;"","факт","прогноз"))</f>
        <v/>
      </c>
      <c r="X280" s="1"/>
      <c r="Y280" s="1"/>
      <c r="Z280" s="1"/>
      <c r="AA280" s="1"/>
      <c r="AB280" s="1"/>
      <c r="AC280" s="1"/>
      <c r="AD280" s="1"/>
    </row>
    <row r="281" customFormat="false" ht="18" hidden="false" customHeight="true" outlineLevel="0" collapsed="false">
      <c r="A281" s="1"/>
      <c r="B281" s="35"/>
      <c r="C281" s="8"/>
      <c r="D281" s="26"/>
      <c r="E281" s="27"/>
      <c r="F281" s="36"/>
      <c r="G281" s="36"/>
      <c r="H281" s="36"/>
      <c r="I281" s="36"/>
      <c r="J281" s="37" t="str">
        <f aca="false">IF($E281="","",IFERROR(G281/F281,""))</f>
        <v/>
      </c>
      <c r="K281" s="30" t="str">
        <f aca="false">IF($E281="","",IFERROR(E281/G281,""))</f>
        <v/>
      </c>
      <c r="L281" s="30" t="str">
        <f aca="false">IF($E281="","",IFERROR(E281/F281*1000,""))</f>
        <v/>
      </c>
      <c r="M281" s="37" t="str">
        <f aca="false">IF($E281="","",IFERROR(H281/G281,""))</f>
        <v/>
      </c>
      <c r="N281" s="30" t="str">
        <f aca="false">IF($E281="","",IFERROR(E281/H281,"—"))</f>
        <v/>
      </c>
      <c r="O281" s="30" t="str">
        <f aca="false">IF($E281="","",IFERROR(INDEX('Гео-калькулятор'!$K$7:$K$13,MATCH($C281,'Гео-калькулятор'!$B$7:$B$13,0)),""))</f>
        <v/>
      </c>
      <c r="P281" s="38" t="str">
        <f aca="false">IF($E281="","",IFERROR(N281/O281,""))</f>
        <v/>
      </c>
      <c r="Q281" s="39" t="str">
        <f aca="false">IF($E281="","",IF($I281&lt;&gt;"",$I281,N($H281)*IFERROR(INDEX('Гео-калькулятор'!$E$7:$E$13,MATCH($C281,'Гео-калькулятор'!$B$7:$B$13,0)),0)))</f>
        <v/>
      </c>
      <c r="R281" s="38" t="str">
        <f aca="false">IF($E281="","",IFERROR(Q281/H281,""))</f>
        <v/>
      </c>
      <c r="S281" s="30" t="str">
        <f aca="false">IF($E281="","",IFERROR(E281/Q281,"—"))</f>
        <v/>
      </c>
      <c r="T281" s="30" t="str">
        <f aca="false">IF($E281="","",Q281*IFERROR(INDEX('Гео-калькулятор'!$D$7:$D$13,MATCH($C281,'Гео-калькулятор'!$B$7:$B$13,0)),0))</f>
        <v/>
      </c>
      <c r="U281" s="40" t="str">
        <f aca="false">IF($E281="","",T281-E281)</f>
        <v/>
      </c>
      <c r="V281" s="41" t="str">
        <f aca="false">IF($E281="","",IFERROR(U281/E281,""))</f>
        <v/>
      </c>
      <c r="W281" s="10" t="str">
        <f aca="false">IF($E281="","",IF($I281&lt;&gt;"","факт","прогноз"))</f>
        <v/>
      </c>
      <c r="X281" s="1"/>
      <c r="Y281" s="1"/>
      <c r="Z281" s="1"/>
      <c r="AA281" s="1"/>
      <c r="AB281" s="1"/>
      <c r="AC281" s="1"/>
      <c r="AD281" s="1"/>
    </row>
    <row r="282" customFormat="false" ht="18" hidden="false" customHeight="true" outlineLevel="0" collapsed="false">
      <c r="A282" s="1"/>
      <c r="B282" s="35"/>
      <c r="C282" s="8"/>
      <c r="D282" s="26"/>
      <c r="E282" s="27"/>
      <c r="F282" s="36"/>
      <c r="G282" s="36"/>
      <c r="H282" s="36"/>
      <c r="I282" s="36"/>
      <c r="J282" s="37" t="str">
        <f aca="false">IF($E282="","",IFERROR(G282/F282,""))</f>
        <v/>
      </c>
      <c r="K282" s="30" t="str">
        <f aca="false">IF($E282="","",IFERROR(E282/G282,""))</f>
        <v/>
      </c>
      <c r="L282" s="30" t="str">
        <f aca="false">IF($E282="","",IFERROR(E282/F282*1000,""))</f>
        <v/>
      </c>
      <c r="M282" s="37" t="str">
        <f aca="false">IF($E282="","",IFERROR(H282/G282,""))</f>
        <v/>
      </c>
      <c r="N282" s="30" t="str">
        <f aca="false">IF($E282="","",IFERROR(E282/H282,"—"))</f>
        <v/>
      </c>
      <c r="O282" s="30" t="str">
        <f aca="false">IF($E282="","",IFERROR(INDEX('Гео-калькулятор'!$K$7:$K$13,MATCH($C282,'Гео-калькулятор'!$B$7:$B$13,0)),""))</f>
        <v/>
      </c>
      <c r="P282" s="38" t="str">
        <f aca="false">IF($E282="","",IFERROR(N282/O282,""))</f>
        <v/>
      </c>
      <c r="Q282" s="39" t="str">
        <f aca="false">IF($E282="","",IF($I282&lt;&gt;"",$I282,N($H282)*IFERROR(INDEX('Гео-калькулятор'!$E$7:$E$13,MATCH($C282,'Гео-калькулятор'!$B$7:$B$13,0)),0)))</f>
        <v/>
      </c>
      <c r="R282" s="38" t="str">
        <f aca="false">IF($E282="","",IFERROR(Q282/H282,""))</f>
        <v/>
      </c>
      <c r="S282" s="30" t="str">
        <f aca="false">IF($E282="","",IFERROR(E282/Q282,"—"))</f>
        <v/>
      </c>
      <c r="T282" s="30" t="str">
        <f aca="false">IF($E282="","",Q282*IFERROR(INDEX('Гео-калькулятор'!$D$7:$D$13,MATCH($C282,'Гео-калькулятор'!$B$7:$B$13,0)),0))</f>
        <v/>
      </c>
      <c r="U282" s="40" t="str">
        <f aca="false">IF($E282="","",T282-E282)</f>
        <v/>
      </c>
      <c r="V282" s="41" t="str">
        <f aca="false">IF($E282="","",IFERROR(U282/E282,""))</f>
        <v/>
      </c>
      <c r="W282" s="10" t="str">
        <f aca="false">IF($E282="","",IF($I282&lt;&gt;"","факт","прогноз"))</f>
        <v/>
      </c>
      <c r="X282" s="1"/>
      <c r="Y282" s="1"/>
      <c r="Z282" s="1"/>
      <c r="AA282" s="1"/>
      <c r="AB282" s="1"/>
      <c r="AC282" s="1"/>
      <c r="AD282" s="1"/>
    </row>
    <row r="283" customFormat="false" ht="18" hidden="false" customHeight="true" outlineLevel="0" collapsed="false">
      <c r="A283" s="1"/>
      <c r="B283" s="35"/>
      <c r="C283" s="8"/>
      <c r="D283" s="26"/>
      <c r="E283" s="27"/>
      <c r="F283" s="36"/>
      <c r="G283" s="36"/>
      <c r="H283" s="36"/>
      <c r="I283" s="36"/>
      <c r="J283" s="37" t="str">
        <f aca="false">IF($E283="","",IFERROR(G283/F283,""))</f>
        <v/>
      </c>
      <c r="K283" s="30" t="str">
        <f aca="false">IF($E283="","",IFERROR(E283/G283,""))</f>
        <v/>
      </c>
      <c r="L283" s="30" t="str">
        <f aca="false">IF($E283="","",IFERROR(E283/F283*1000,""))</f>
        <v/>
      </c>
      <c r="M283" s="37" t="str">
        <f aca="false">IF($E283="","",IFERROR(H283/G283,""))</f>
        <v/>
      </c>
      <c r="N283" s="30" t="str">
        <f aca="false">IF($E283="","",IFERROR(E283/H283,"—"))</f>
        <v/>
      </c>
      <c r="O283" s="30" t="str">
        <f aca="false">IF($E283="","",IFERROR(INDEX('Гео-калькулятор'!$K$7:$K$13,MATCH($C283,'Гео-калькулятор'!$B$7:$B$13,0)),""))</f>
        <v/>
      </c>
      <c r="P283" s="38" t="str">
        <f aca="false">IF($E283="","",IFERROR(N283/O283,""))</f>
        <v/>
      </c>
      <c r="Q283" s="39" t="str">
        <f aca="false">IF($E283="","",IF($I283&lt;&gt;"",$I283,N($H283)*IFERROR(INDEX('Гео-калькулятор'!$E$7:$E$13,MATCH($C283,'Гео-калькулятор'!$B$7:$B$13,0)),0)))</f>
        <v/>
      </c>
      <c r="R283" s="38" t="str">
        <f aca="false">IF($E283="","",IFERROR(Q283/H283,""))</f>
        <v/>
      </c>
      <c r="S283" s="30" t="str">
        <f aca="false">IF($E283="","",IFERROR(E283/Q283,"—"))</f>
        <v/>
      </c>
      <c r="T283" s="30" t="str">
        <f aca="false">IF($E283="","",Q283*IFERROR(INDEX('Гео-калькулятор'!$D$7:$D$13,MATCH($C283,'Гео-калькулятор'!$B$7:$B$13,0)),0))</f>
        <v/>
      </c>
      <c r="U283" s="40" t="str">
        <f aca="false">IF($E283="","",T283-E283)</f>
        <v/>
      </c>
      <c r="V283" s="41" t="str">
        <f aca="false">IF($E283="","",IFERROR(U283/E283,""))</f>
        <v/>
      </c>
      <c r="W283" s="10" t="str">
        <f aca="false">IF($E283="","",IF($I283&lt;&gt;"","факт","прогноз"))</f>
        <v/>
      </c>
      <c r="X283" s="1"/>
      <c r="Y283" s="1"/>
      <c r="Z283" s="1"/>
      <c r="AA283" s="1"/>
      <c r="AB283" s="1"/>
      <c r="AC283" s="1"/>
      <c r="AD283" s="1"/>
    </row>
    <row r="284" customFormat="false" ht="18" hidden="false" customHeight="true" outlineLevel="0" collapsed="false">
      <c r="A284" s="1"/>
      <c r="B284" s="35"/>
      <c r="C284" s="8"/>
      <c r="D284" s="26"/>
      <c r="E284" s="27"/>
      <c r="F284" s="36"/>
      <c r="G284" s="36"/>
      <c r="H284" s="36"/>
      <c r="I284" s="36"/>
      <c r="J284" s="37" t="str">
        <f aca="false">IF($E284="","",IFERROR(G284/F284,""))</f>
        <v/>
      </c>
      <c r="K284" s="30" t="str">
        <f aca="false">IF($E284="","",IFERROR(E284/G284,""))</f>
        <v/>
      </c>
      <c r="L284" s="30" t="str">
        <f aca="false">IF($E284="","",IFERROR(E284/F284*1000,""))</f>
        <v/>
      </c>
      <c r="M284" s="37" t="str">
        <f aca="false">IF($E284="","",IFERROR(H284/G284,""))</f>
        <v/>
      </c>
      <c r="N284" s="30" t="str">
        <f aca="false">IF($E284="","",IFERROR(E284/H284,"—"))</f>
        <v/>
      </c>
      <c r="O284" s="30" t="str">
        <f aca="false">IF($E284="","",IFERROR(INDEX('Гео-калькулятор'!$K$7:$K$13,MATCH($C284,'Гео-калькулятор'!$B$7:$B$13,0)),""))</f>
        <v/>
      </c>
      <c r="P284" s="38" t="str">
        <f aca="false">IF($E284="","",IFERROR(N284/O284,""))</f>
        <v/>
      </c>
      <c r="Q284" s="39" t="str">
        <f aca="false">IF($E284="","",IF($I284&lt;&gt;"",$I284,N($H284)*IFERROR(INDEX('Гео-калькулятор'!$E$7:$E$13,MATCH($C284,'Гео-калькулятор'!$B$7:$B$13,0)),0)))</f>
        <v/>
      </c>
      <c r="R284" s="38" t="str">
        <f aca="false">IF($E284="","",IFERROR(Q284/H284,""))</f>
        <v/>
      </c>
      <c r="S284" s="30" t="str">
        <f aca="false">IF($E284="","",IFERROR(E284/Q284,"—"))</f>
        <v/>
      </c>
      <c r="T284" s="30" t="str">
        <f aca="false">IF($E284="","",Q284*IFERROR(INDEX('Гео-калькулятор'!$D$7:$D$13,MATCH($C284,'Гео-калькулятор'!$B$7:$B$13,0)),0))</f>
        <v/>
      </c>
      <c r="U284" s="40" t="str">
        <f aca="false">IF($E284="","",T284-E284)</f>
        <v/>
      </c>
      <c r="V284" s="41" t="str">
        <f aca="false">IF($E284="","",IFERROR(U284/E284,""))</f>
        <v/>
      </c>
      <c r="W284" s="10" t="str">
        <f aca="false">IF($E284="","",IF($I284&lt;&gt;"","факт","прогноз"))</f>
        <v/>
      </c>
      <c r="X284" s="1"/>
      <c r="Y284" s="1"/>
      <c r="Z284" s="1"/>
      <c r="AA284" s="1"/>
      <c r="AB284" s="1"/>
      <c r="AC284" s="1"/>
      <c r="AD284" s="1"/>
    </row>
    <row r="285" customFormat="false" ht="18" hidden="false" customHeight="true" outlineLevel="0" collapsed="false">
      <c r="A285" s="1"/>
      <c r="B285" s="35"/>
      <c r="C285" s="8"/>
      <c r="D285" s="26"/>
      <c r="E285" s="27"/>
      <c r="F285" s="36"/>
      <c r="G285" s="36"/>
      <c r="H285" s="36"/>
      <c r="I285" s="36"/>
      <c r="J285" s="37" t="str">
        <f aca="false">IF($E285="","",IFERROR(G285/F285,""))</f>
        <v/>
      </c>
      <c r="K285" s="30" t="str">
        <f aca="false">IF($E285="","",IFERROR(E285/G285,""))</f>
        <v/>
      </c>
      <c r="L285" s="30" t="str">
        <f aca="false">IF($E285="","",IFERROR(E285/F285*1000,""))</f>
        <v/>
      </c>
      <c r="M285" s="37" t="str">
        <f aca="false">IF($E285="","",IFERROR(H285/G285,""))</f>
        <v/>
      </c>
      <c r="N285" s="30" t="str">
        <f aca="false">IF($E285="","",IFERROR(E285/H285,"—"))</f>
        <v/>
      </c>
      <c r="O285" s="30" t="str">
        <f aca="false">IF($E285="","",IFERROR(INDEX('Гео-калькулятор'!$K$7:$K$13,MATCH($C285,'Гео-калькулятор'!$B$7:$B$13,0)),""))</f>
        <v/>
      </c>
      <c r="P285" s="38" t="str">
        <f aca="false">IF($E285="","",IFERROR(N285/O285,""))</f>
        <v/>
      </c>
      <c r="Q285" s="39" t="str">
        <f aca="false">IF($E285="","",IF($I285&lt;&gt;"",$I285,N($H285)*IFERROR(INDEX('Гео-калькулятор'!$E$7:$E$13,MATCH($C285,'Гео-калькулятор'!$B$7:$B$13,0)),0)))</f>
        <v/>
      </c>
      <c r="R285" s="38" t="str">
        <f aca="false">IF($E285="","",IFERROR(Q285/H285,""))</f>
        <v/>
      </c>
      <c r="S285" s="30" t="str">
        <f aca="false">IF($E285="","",IFERROR(E285/Q285,"—"))</f>
        <v/>
      </c>
      <c r="T285" s="30" t="str">
        <f aca="false">IF($E285="","",Q285*IFERROR(INDEX('Гео-калькулятор'!$D$7:$D$13,MATCH($C285,'Гео-калькулятор'!$B$7:$B$13,0)),0))</f>
        <v/>
      </c>
      <c r="U285" s="40" t="str">
        <f aca="false">IF($E285="","",T285-E285)</f>
        <v/>
      </c>
      <c r="V285" s="41" t="str">
        <f aca="false">IF($E285="","",IFERROR(U285/E285,""))</f>
        <v/>
      </c>
      <c r="W285" s="10" t="str">
        <f aca="false">IF($E285="","",IF($I285&lt;&gt;"","факт","прогноз"))</f>
        <v/>
      </c>
      <c r="X285" s="1"/>
      <c r="Y285" s="1"/>
      <c r="Z285" s="1"/>
      <c r="AA285" s="1"/>
      <c r="AB285" s="1"/>
      <c r="AC285" s="1"/>
      <c r="AD285" s="1"/>
    </row>
    <row r="286" customFormat="false" ht="18" hidden="false" customHeight="true" outlineLevel="0" collapsed="false">
      <c r="A286" s="1"/>
      <c r="B286" s="35"/>
      <c r="C286" s="8"/>
      <c r="D286" s="26"/>
      <c r="E286" s="27"/>
      <c r="F286" s="36"/>
      <c r="G286" s="36"/>
      <c r="H286" s="36"/>
      <c r="I286" s="36"/>
      <c r="J286" s="37" t="str">
        <f aca="false">IF($E286="","",IFERROR(G286/F286,""))</f>
        <v/>
      </c>
      <c r="K286" s="30" t="str">
        <f aca="false">IF($E286="","",IFERROR(E286/G286,""))</f>
        <v/>
      </c>
      <c r="L286" s="30" t="str">
        <f aca="false">IF($E286="","",IFERROR(E286/F286*1000,""))</f>
        <v/>
      </c>
      <c r="M286" s="37" t="str">
        <f aca="false">IF($E286="","",IFERROR(H286/G286,""))</f>
        <v/>
      </c>
      <c r="N286" s="30" t="str">
        <f aca="false">IF($E286="","",IFERROR(E286/H286,"—"))</f>
        <v/>
      </c>
      <c r="O286" s="30" t="str">
        <f aca="false">IF($E286="","",IFERROR(INDEX('Гео-калькулятор'!$K$7:$K$13,MATCH($C286,'Гео-калькулятор'!$B$7:$B$13,0)),""))</f>
        <v/>
      </c>
      <c r="P286" s="38" t="str">
        <f aca="false">IF($E286="","",IFERROR(N286/O286,""))</f>
        <v/>
      </c>
      <c r="Q286" s="39" t="str">
        <f aca="false">IF($E286="","",IF($I286&lt;&gt;"",$I286,N($H286)*IFERROR(INDEX('Гео-калькулятор'!$E$7:$E$13,MATCH($C286,'Гео-калькулятор'!$B$7:$B$13,0)),0)))</f>
        <v/>
      </c>
      <c r="R286" s="38" t="str">
        <f aca="false">IF($E286="","",IFERROR(Q286/H286,""))</f>
        <v/>
      </c>
      <c r="S286" s="30" t="str">
        <f aca="false">IF($E286="","",IFERROR(E286/Q286,"—"))</f>
        <v/>
      </c>
      <c r="T286" s="30" t="str">
        <f aca="false">IF($E286="","",Q286*IFERROR(INDEX('Гео-калькулятор'!$D$7:$D$13,MATCH($C286,'Гео-калькулятор'!$B$7:$B$13,0)),0))</f>
        <v/>
      </c>
      <c r="U286" s="40" t="str">
        <f aca="false">IF($E286="","",T286-E286)</f>
        <v/>
      </c>
      <c r="V286" s="41" t="str">
        <f aca="false">IF($E286="","",IFERROR(U286/E286,""))</f>
        <v/>
      </c>
      <c r="W286" s="10" t="str">
        <f aca="false">IF($E286="","",IF($I286&lt;&gt;"","факт","прогноз"))</f>
        <v/>
      </c>
      <c r="X286" s="1"/>
      <c r="Y286" s="1"/>
      <c r="Z286" s="1"/>
      <c r="AA286" s="1"/>
      <c r="AB286" s="1"/>
      <c r="AC286" s="1"/>
      <c r="AD286" s="1"/>
    </row>
    <row r="287" customFormat="false" ht="18" hidden="false" customHeight="true" outlineLevel="0" collapsed="false">
      <c r="A287" s="1"/>
      <c r="B287" s="35"/>
      <c r="C287" s="8"/>
      <c r="D287" s="26"/>
      <c r="E287" s="27"/>
      <c r="F287" s="36"/>
      <c r="G287" s="36"/>
      <c r="H287" s="36"/>
      <c r="I287" s="36"/>
      <c r="J287" s="37" t="str">
        <f aca="false">IF($E287="","",IFERROR(G287/F287,""))</f>
        <v/>
      </c>
      <c r="K287" s="30" t="str">
        <f aca="false">IF($E287="","",IFERROR(E287/G287,""))</f>
        <v/>
      </c>
      <c r="L287" s="30" t="str">
        <f aca="false">IF($E287="","",IFERROR(E287/F287*1000,""))</f>
        <v/>
      </c>
      <c r="M287" s="37" t="str">
        <f aca="false">IF($E287="","",IFERROR(H287/G287,""))</f>
        <v/>
      </c>
      <c r="N287" s="30" t="str">
        <f aca="false">IF($E287="","",IFERROR(E287/H287,"—"))</f>
        <v/>
      </c>
      <c r="O287" s="30" t="str">
        <f aca="false">IF($E287="","",IFERROR(INDEX('Гео-калькулятор'!$K$7:$K$13,MATCH($C287,'Гео-калькулятор'!$B$7:$B$13,0)),""))</f>
        <v/>
      </c>
      <c r="P287" s="38" t="str">
        <f aca="false">IF($E287="","",IFERROR(N287/O287,""))</f>
        <v/>
      </c>
      <c r="Q287" s="39" t="str">
        <f aca="false">IF($E287="","",IF($I287&lt;&gt;"",$I287,N($H287)*IFERROR(INDEX('Гео-калькулятор'!$E$7:$E$13,MATCH($C287,'Гео-калькулятор'!$B$7:$B$13,0)),0)))</f>
        <v/>
      </c>
      <c r="R287" s="38" t="str">
        <f aca="false">IF($E287="","",IFERROR(Q287/H287,""))</f>
        <v/>
      </c>
      <c r="S287" s="30" t="str">
        <f aca="false">IF($E287="","",IFERROR(E287/Q287,"—"))</f>
        <v/>
      </c>
      <c r="T287" s="30" t="str">
        <f aca="false">IF($E287="","",Q287*IFERROR(INDEX('Гео-калькулятор'!$D$7:$D$13,MATCH($C287,'Гео-калькулятор'!$B$7:$B$13,0)),0))</f>
        <v/>
      </c>
      <c r="U287" s="40" t="str">
        <f aca="false">IF($E287="","",T287-E287)</f>
        <v/>
      </c>
      <c r="V287" s="41" t="str">
        <f aca="false">IF($E287="","",IFERROR(U287/E287,""))</f>
        <v/>
      </c>
      <c r="W287" s="10" t="str">
        <f aca="false">IF($E287="","",IF($I287&lt;&gt;"","факт","прогноз"))</f>
        <v/>
      </c>
      <c r="X287" s="1"/>
      <c r="Y287" s="1"/>
      <c r="Z287" s="1"/>
      <c r="AA287" s="1"/>
      <c r="AB287" s="1"/>
      <c r="AC287" s="1"/>
      <c r="AD287" s="1"/>
    </row>
    <row r="288" customFormat="false" ht="18" hidden="false" customHeight="true" outlineLevel="0" collapsed="false">
      <c r="A288" s="1"/>
      <c r="B288" s="35"/>
      <c r="C288" s="8"/>
      <c r="D288" s="26"/>
      <c r="E288" s="27"/>
      <c r="F288" s="36"/>
      <c r="G288" s="36"/>
      <c r="H288" s="36"/>
      <c r="I288" s="36"/>
      <c r="J288" s="37" t="str">
        <f aca="false">IF($E288="","",IFERROR(G288/F288,""))</f>
        <v/>
      </c>
      <c r="K288" s="30" t="str">
        <f aca="false">IF($E288="","",IFERROR(E288/G288,""))</f>
        <v/>
      </c>
      <c r="L288" s="30" t="str">
        <f aca="false">IF($E288="","",IFERROR(E288/F288*1000,""))</f>
        <v/>
      </c>
      <c r="M288" s="37" t="str">
        <f aca="false">IF($E288="","",IFERROR(H288/G288,""))</f>
        <v/>
      </c>
      <c r="N288" s="30" t="str">
        <f aca="false">IF($E288="","",IFERROR(E288/H288,"—"))</f>
        <v/>
      </c>
      <c r="O288" s="30" t="str">
        <f aca="false">IF($E288="","",IFERROR(INDEX('Гео-калькулятор'!$K$7:$K$13,MATCH($C288,'Гео-калькулятор'!$B$7:$B$13,0)),""))</f>
        <v/>
      </c>
      <c r="P288" s="38" t="str">
        <f aca="false">IF($E288="","",IFERROR(N288/O288,""))</f>
        <v/>
      </c>
      <c r="Q288" s="39" t="str">
        <f aca="false">IF($E288="","",IF($I288&lt;&gt;"",$I288,N($H288)*IFERROR(INDEX('Гео-калькулятор'!$E$7:$E$13,MATCH($C288,'Гео-калькулятор'!$B$7:$B$13,0)),0)))</f>
        <v/>
      </c>
      <c r="R288" s="38" t="str">
        <f aca="false">IF($E288="","",IFERROR(Q288/H288,""))</f>
        <v/>
      </c>
      <c r="S288" s="30" t="str">
        <f aca="false">IF($E288="","",IFERROR(E288/Q288,"—"))</f>
        <v/>
      </c>
      <c r="T288" s="30" t="str">
        <f aca="false">IF($E288="","",Q288*IFERROR(INDEX('Гео-калькулятор'!$D$7:$D$13,MATCH($C288,'Гео-калькулятор'!$B$7:$B$13,0)),0))</f>
        <v/>
      </c>
      <c r="U288" s="40" t="str">
        <f aca="false">IF($E288="","",T288-E288)</f>
        <v/>
      </c>
      <c r="V288" s="41" t="str">
        <f aca="false">IF($E288="","",IFERROR(U288/E288,""))</f>
        <v/>
      </c>
      <c r="W288" s="10" t="str">
        <f aca="false">IF($E288="","",IF($I288&lt;&gt;"","факт","прогноз"))</f>
        <v/>
      </c>
      <c r="X288" s="1"/>
      <c r="Y288" s="1"/>
      <c r="Z288" s="1"/>
      <c r="AA288" s="1"/>
      <c r="AB288" s="1"/>
      <c r="AC288" s="1"/>
      <c r="AD288" s="1"/>
    </row>
    <row r="289" customFormat="false" ht="18" hidden="false" customHeight="true" outlineLevel="0" collapsed="false">
      <c r="A289" s="1"/>
      <c r="B289" s="35"/>
      <c r="C289" s="8"/>
      <c r="D289" s="26"/>
      <c r="E289" s="27"/>
      <c r="F289" s="36"/>
      <c r="G289" s="36"/>
      <c r="H289" s="36"/>
      <c r="I289" s="36"/>
      <c r="J289" s="37" t="str">
        <f aca="false">IF($E289="","",IFERROR(G289/F289,""))</f>
        <v/>
      </c>
      <c r="K289" s="30" t="str">
        <f aca="false">IF($E289="","",IFERROR(E289/G289,""))</f>
        <v/>
      </c>
      <c r="L289" s="30" t="str">
        <f aca="false">IF($E289="","",IFERROR(E289/F289*1000,""))</f>
        <v/>
      </c>
      <c r="M289" s="37" t="str">
        <f aca="false">IF($E289="","",IFERROR(H289/G289,""))</f>
        <v/>
      </c>
      <c r="N289" s="30" t="str">
        <f aca="false">IF($E289="","",IFERROR(E289/H289,"—"))</f>
        <v/>
      </c>
      <c r="O289" s="30" t="str">
        <f aca="false">IF($E289="","",IFERROR(INDEX('Гео-калькулятор'!$K$7:$K$13,MATCH($C289,'Гео-калькулятор'!$B$7:$B$13,0)),""))</f>
        <v/>
      </c>
      <c r="P289" s="38" t="str">
        <f aca="false">IF($E289="","",IFERROR(N289/O289,""))</f>
        <v/>
      </c>
      <c r="Q289" s="39" t="str">
        <f aca="false">IF($E289="","",IF($I289&lt;&gt;"",$I289,N($H289)*IFERROR(INDEX('Гео-калькулятор'!$E$7:$E$13,MATCH($C289,'Гео-калькулятор'!$B$7:$B$13,0)),0)))</f>
        <v/>
      </c>
      <c r="R289" s="38" t="str">
        <f aca="false">IF($E289="","",IFERROR(Q289/H289,""))</f>
        <v/>
      </c>
      <c r="S289" s="30" t="str">
        <f aca="false">IF($E289="","",IFERROR(E289/Q289,"—"))</f>
        <v/>
      </c>
      <c r="T289" s="30" t="str">
        <f aca="false">IF($E289="","",Q289*IFERROR(INDEX('Гео-калькулятор'!$D$7:$D$13,MATCH($C289,'Гео-калькулятор'!$B$7:$B$13,0)),0))</f>
        <v/>
      </c>
      <c r="U289" s="40" t="str">
        <f aca="false">IF($E289="","",T289-E289)</f>
        <v/>
      </c>
      <c r="V289" s="41" t="str">
        <f aca="false">IF($E289="","",IFERROR(U289/E289,""))</f>
        <v/>
      </c>
      <c r="W289" s="10" t="str">
        <f aca="false">IF($E289="","",IF($I289&lt;&gt;"","факт","прогноз"))</f>
        <v/>
      </c>
      <c r="X289" s="1"/>
      <c r="Y289" s="1"/>
      <c r="Z289" s="1"/>
      <c r="AA289" s="1"/>
      <c r="AB289" s="1"/>
      <c r="AC289" s="1"/>
      <c r="AD289" s="1"/>
    </row>
    <row r="290" customFormat="false" ht="18" hidden="false" customHeight="true" outlineLevel="0" collapsed="false">
      <c r="A290" s="1"/>
      <c r="B290" s="35"/>
      <c r="C290" s="8"/>
      <c r="D290" s="26"/>
      <c r="E290" s="27"/>
      <c r="F290" s="36"/>
      <c r="G290" s="36"/>
      <c r="H290" s="36"/>
      <c r="I290" s="36"/>
      <c r="J290" s="37" t="str">
        <f aca="false">IF($E290="","",IFERROR(G290/F290,""))</f>
        <v/>
      </c>
      <c r="K290" s="30" t="str">
        <f aca="false">IF($E290="","",IFERROR(E290/G290,""))</f>
        <v/>
      </c>
      <c r="L290" s="30" t="str">
        <f aca="false">IF($E290="","",IFERROR(E290/F290*1000,""))</f>
        <v/>
      </c>
      <c r="M290" s="37" t="str">
        <f aca="false">IF($E290="","",IFERROR(H290/G290,""))</f>
        <v/>
      </c>
      <c r="N290" s="30" t="str">
        <f aca="false">IF($E290="","",IFERROR(E290/H290,"—"))</f>
        <v/>
      </c>
      <c r="O290" s="30" t="str">
        <f aca="false">IF($E290="","",IFERROR(INDEX('Гео-калькулятор'!$K$7:$K$13,MATCH($C290,'Гео-калькулятор'!$B$7:$B$13,0)),""))</f>
        <v/>
      </c>
      <c r="P290" s="38" t="str">
        <f aca="false">IF($E290="","",IFERROR(N290/O290,""))</f>
        <v/>
      </c>
      <c r="Q290" s="39" t="str">
        <f aca="false">IF($E290="","",IF($I290&lt;&gt;"",$I290,N($H290)*IFERROR(INDEX('Гео-калькулятор'!$E$7:$E$13,MATCH($C290,'Гео-калькулятор'!$B$7:$B$13,0)),0)))</f>
        <v/>
      </c>
      <c r="R290" s="38" t="str">
        <f aca="false">IF($E290="","",IFERROR(Q290/H290,""))</f>
        <v/>
      </c>
      <c r="S290" s="30" t="str">
        <f aca="false">IF($E290="","",IFERROR(E290/Q290,"—"))</f>
        <v/>
      </c>
      <c r="T290" s="30" t="str">
        <f aca="false">IF($E290="","",Q290*IFERROR(INDEX('Гео-калькулятор'!$D$7:$D$13,MATCH($C290,'Гео-калькулятор'!$B$7:$B$13,0)),0))</f>
        <v/>
      </c>
      <c r="U290" s="40" t="str">
        <f aca="false">IF($E290="","",T290-E290)</f>
        <v/>
      </c>
      <c r="V290" s="41" t="str">
        <f aca="false">IF($E290="","",IFERROR(U290/E290,""))</f>
        <v/>
      </c>
      <c r="W290" s="10" t="str">
        <f aca="false">IF($E290="","",IF($I290&lt;&gt;"","факт","прогноз"))</f>
        <v/>
      </c>
      <c r="X290" s="1"/>
      <c r="Y290" s="1"/>
      <c r="Z290" s="1"/>
      <c r="AA290" s="1"/>
      <c r="AB290" s="1"/>
      <c r="AC290" s="1"/>
      <c r="AD290" s="1"/>
    </row>
    <row r="291" customFormat="false" ht="18" hidden="false" customHeight="true" outlineLevel="0" collapsed="false">
      <c r="A291" s="1"/>
      <c r="B291" s="35"/>
      <c r="C291" s="8"/>
      <c r="D291" s="26"/>
      <c r="E291" s="27"/>
      <c r="F291" s="36"/>
      <c r="G291" s="36"/>
      <c r="H291" s="36"/>
      <c r="I291" s="36"/>
      <c r="J291" s="37" t="str">
        <f aca="false">IF($E291="","",IFERROR(G291/F291,""))</f>
        <v/>
      </c>
      <c r="K291" s="30" t="str">
        <f aca="false">IF($E291="","",IFERROR(E291/G291,""))</f>
        <v/>
      </c>
      <c r="L291" s="30" t="str">
        <f aca="false">IF($E291="","",IFERROR(E291/F291*1000,""))</f>
        <v/>
      </c>
      <c r="M291" s="37" t="str">
        <f aca="false">IF($E291="","",IFERROR(H291/G291,""))</f>
        <v/>
      </c>
      <c r="N291" s="30" t="str">
        <f aca="false">IF($E291="","",IFERROR(E291/H291,"—"))</f>
        <v/>
      </c>
      <c r="O291" s="30" t="str">
        <f aca="false">IF($E291="","",IFERROR(INDEX('Гео-калькулятор'!$K$7:$K$13,MATCH($C291,'Гео-калькулятор'!$B$7:$B$13,0)),""))</f>
        <v/>
      </c>
      <c r="P291" s="38" t="str">
        <f aca="false">IF($E291="","",IFERROR(N291/O291,""))</f>
        <v/>
      </c>
      <c r="Q291" s="39" t="str">
        <f aca="false">IF($E291="","",IF($I291&lt;&gt;"",$I291,N($H291)*IFERROR(INDEX('Гео-калькулятор'!$E$7:$E$13,MATCH($C291,'Гео-калькулятор'!$B$7:$B$13,0)),0)))</f>
        <v/>
      </c>
      <c r="R291" s="38" t="str">
        <f aca="false">IF($E291="","",IFERROR(Q291/H291,""))</f>
        <v/>
      </c>
      <c r="S291" s="30" t="str">
        <f aca="false">IF($E291="","",IFERROR(E291/Q291,"—"))</f>
        <v/>
      </c>
      <c r="T291" s="30" t="str">
        <f aca="false">IF($E291="","",Q291*IFERROR(INDEX('Гео-калькулятор'!$D$7:$D$13,MATCH($C291,'Гео-калькулятор'!$B$7:$B$13,0)),0))</f>
        <v/>
      </c>
      <c r="U291" s="40" t="str">
        <f aca="false">IF($E291="","",T291-E291)</f>
        <v/>
      </c>
      <c r="V291" s="41" t="str">
        <f aca="false">IF($E291="","",IFERROR(U291/E291,""))</f>
        <v/>
      </c>
      <c r="W291" s="10" t="str">
        <f aca="false">IF($E291="","",IF($I291&lt;&gt;"","факт","прогноз"))</f>
        <v/>
      </c>
      <c r="X291" s="1"/>
      <c r="Y291" s="1"/>
      <c r="Z291" s="1"/>
      <c r="AA291" s="1"/>
      <c r="AB291" s="1"/>
      <c r="AC291" s="1"/>
      <c r="AD291" s="1"/>
    </row>
    <row r="292" customFormat="false" ht="18" hidden="false" customHeight="true" outlineLevel="0" collapsed="false">
      <c r="A292" s="1"/>
      <c r="B292" s="35"/>
      <c r="C292" s="8"/>
      <c r="D292" s="26"/>
      <c r="E292" s="27"/>
      <c r="F292" s="36"/>
      <c r="G292" s="36"/>
      <c r="H292" s="36"/>
      <c r="I292" s="36"/>
      <c r="J292" s="37" t="str">
        <f aca="false">IF($E292="","",IFERROR(G292/F292,""))</f>
        <v/>
      </c>
      <c r="K292" s="30" t="str">
        <f aca="false">IF($E292="","",IFERROR(E292/G292,""))</f>
        <v/>
      </c>
      <c r="L292" s="30" t="str">
        <f aca="false">IF($E292="","",IFERROR(E292/F292*1000,""))</f>
        <v/>
      </c>
      <c r="M292" s="37" t="str">
        <f aca="false">IF($E292="","",IFERROR(H292/G292,""))</f>
        <v/>
      </c>
      <c r="N292" s="30" t="str">
        <f aca="false">IF($E292="","",IFERROR(E292/H292,"—"))</f>
        <v/>
      </c>
      <c r="O292" s="30" t="str">
        <f aca="false">IF($E292="","",IFERROR(INDEX('Гео-калькулятор'!$K$7:$K$13,MATCH($C292,'Гео-калькулятор'!$B$7:$B$13,0)),""))</f>
        <v/>
      </c>
      <c r="P292" s="38" t="str">
        <f aca="false">IF($E292="","",IFERROR(N292/O292,""))</f>
        <v/>
      </c>
      <c r="Q292" s="39" t="str">
        <f aca="false">IF($E292="","",IF($I292&lt;&gt;"",$I292,N($H292)*IFERROR(INDEX('Гео-калькулятор'!$E$7:$E$13,MATCH($C292,'Гео-калькулятор'!$B$7:$B$13,0)),0)))</f>
        <v/>
      </c>
      <c r="R292" s="38" t="str">
        <f aca="false">IF($E292="","",IFERROR(Q292/H292,""))</f>
        <v/>
      </c>
      <c r="S292" s="30" t="str">
        <f aca="false">IF($E292="","",IFERROR(E292/Q292,"—"))</f>
        <v/>
      </c>
      <c r="T292" s="30" t="str">
        <f aca="false">IF($E292="","",Q292*IFERROR(INDEX('Гео-калькулятор'!$D$7:$D$13,MATCH($C292,'Гео-калькулятор'!$B$7:$B$13,0)),0))</f>
        <v/>
      </c>
      <c r="U292" s="40" t="str">
        <f aca="false">IF($E292="","",T292-E292)</f>
        <v/>
      </c>
      <c r="V292" s="41" t="str">
        <f aca="false">IF($E292="","",IFERROR(U292/E292,""))</f>
        <v/>
      </c>
      <c r="W292" s="10" t="str">
        <f aca="false">IF($E292="","",IF($I292&lt;&gt;"","факт","прогноз"))</f>
        <v/>
      </c>
      <c r="X292" s="1"/>
      <c r="Y292" s="1"/>
      <c r="Z292" s="1"/>
      <c r="AA292" s="1"/>
      <c r="AB292" s="1"/>
      <c r="AC292" s="1"/>
      <c r="AD292" s="1"/>
    </row>
    <row r="293" customFormat="false" ht="18" hidden="false" customHeight="true" outlineLevel="0" collapsed="false">
      <c r="A293" s="1"/>
      <c r="B293" s="35"/>
      <c r="C293" s="8"/>
      <c r="D293" s="26"/>
      <c r="E293" s="27"/>
      <c r="F293" s="36"/>
      <c r="G293" s="36"/>
      <c r="H293" s="36"/>
      <c r="I293" s="36"/>
      <c r="J293" s="37" t="str">
        <f aca="false">IF($E293="","",IFERROR(G293/F293,""))</f>
        <v/>
      </c>
      <c r="K293" s="30" t="str">
        <f aca="false">IF($E293="","",IFERROR(E293/G293,""))</f>
        <v/>
      </c>
      <c r="L293" s="30" t="str">
        <f aca="false">IF($E293="","",IFERROR(E293/F293*1000,""))</f>
        <v/>
      </c>
      <c r="M293" s="37" t="str">
        <f aca="false">IF($E293="","",IFERROR(H293/G293,""))</f>
        <v/>
      </c>
      <c r="N293" s="30" t="str">
        <f aca="false">IF($E293="","",IFERROR(E293/H293,"—"))</f>
        <v/>
      </c>
      <c r="O293" s="30" t="str">
        <f aca="false">IF($E293="","",IFERROR(INDEX('Гео-калькулятор'!$K$7:$K$13,MATCH($C293,'Гео-калькулятор'!$B$7:$B$13,0)),""))</f>
        <v/>
      </c>
      <c r="P293" s="38" t="str">
        <f aca="false">IF($E293="","",IFERROR(N293/O293,""))</f>
        <v/>
      </c>
      <c r="Q293" s="39" t="str">
        <f aca="false">IF($E293="","",IF($I293&lt;&gt;"",$I293,N($H293)*IFERROR(INDEX('Гео-калькулятор'!$E$7:$E$13,MATCH($C293,'Гео-калькулятор'!$B$7:$B$13,0)),0)))</f>
        <v/>
      </c>
      <c r="R293" s="38" t="str">
        <f aca="false">IF($E293="","",IFERROR(Q293/H293,""))</f>
        <v/>
      </c>
      <c r="S293" s="30" t="str">
        <f aca="false">IF($E293="","",IFERROR(E293/Q293,"—"))</f>
        <v/>
      </c>
      <c r="T293" s="30" t="str">
        <f aca="false">IF($E293="","",Q293*IFERROR(INDEX('Гео-калькулятор'!$D$7:$D$13,MATCH($C293,'Гео-калькулятор'!$B$7:$B$13,0)),0))</f>
        <v/>
      </c>
      <c r="U293" s="40" t="str">
        <f aca="false">IF($E293="","",T293-E293)</f>
        <v/>
      </c>
      <c r="V293" s="41" t="str">
        <f aca="false">IF($E293="","",IFERROR(U293/E293,""))</f>
        <v/>
      </c>
      <c r="W293" s="10" t="str">
        <f aca="false">IF($E293="","",IF($I293&lt;&gt;"","факт","прогноз"))</f>
        <v/>
      </c>
      <c r="X293" s="1"/>
      <c r="Y293" s="1"/>
      <c r="Z293" s="1"/>
      <c r="AA293" s="1"/>
      <c r="AB293" s="1"/>
      <c r="AC293" s="1"/>
      <c r="AD293" s="1"/>
    </row>
    <row r="294" customFormat="false" ht="18" hidden="false" customHeight="true" outlineLevel="0" collapsed="false">
      <c r="A294" s="1"/>
      <c r="B294" s="35"/>
      <c r="C294" s="8"/>
      <c r="D294" s="26"/>
      <c r="E294" s="27"/>
      <c r="F294" s="36"/>
      <c r="G294" s="36"/>
      <c r="H294" s="36"/>
      <c r="I294" s="36"/>
      <c r="J294" s="37" t="str">
        <f aca="false">IF($E294="","",IFERROR(G294/F294,""))</f>
        <v/>
      </c>
      <c r="K294" s="30" t="str">
        <f aca="false">IF($E294="","",IFERROR(E294/G294,""))</f>
        <v/>
      </c>
      <c r="L294" s="30" t="str">
        <f aca="false">IF($E294="","",IFERROR(E294/F294*1000,""))</f>
        <v/>
      </c>
      <c r="M294" s="37" t="str">
        <f aca="false">IF($E294="","",IFERROR(H294/G294,""))</f>
        <v/>
      </c>
      <c r="N294" s="30" t="str">
        <f aca="false">IF($E294="","",IFERROR(E294/H294,"—"))</f>
        <v/>
      </c>
      <c r="O294" s="30" t="str">
        <f aca="false">IF($E294="","",IFERROR(INDEX('Гео-калькулятор'!$K$7:$K$13,MATCH($C294,'Гео-калькулятор'!$B$7:$B$13,0)),""))</f>
        <v/>
      </c>
      <c r="P294" s="38" t="str">
        <f aca="false">IF($E294="","",IFERROR(N294/O294,""))</f>
        <v/>
      </c>
      <c r="Q294" s="39" t="str">
        <f aca="false">IF($E294="","",IF($I294&lt;&gt;"",$I294,N($H294)*IFERROR(INDEX('Гео-калькулятор'!$E$7:$E$13,MATCH($C294,'Гео-калькулятор'!$B$7:$B$13,0)),0)))</f>
        <v/>
      </c>
      <c r="R294" s="38" t="str">
        <f aca="false">IF($E294="","",IFERROR(Q294/H294,""))</f>
        <v/>
      </c>
      <c r="S294" s="30" t="str">
        <f aca="false">IF($E294="","",IFERROR(E294/Q294,"—"))</f>
        <v/>
      </c>
      <c r="T294" s="30" t="str">
        <f aca="false">IF($E294="","",Q294*IFERROR(INDEX('Гео-калькулятор'!$D$7:$D$13,MATCH($C294,'Гео-калькулятор'!$B$7:$B$13,0)),0))</f>
        <v/>
      </c>
      <c r="U294" s="40" t="str">
        <f aca="false">IF($E294="","",T294-E294)</f>
        <v/>
      </c>
      <c r="V294" s="41" t="str">
        <f aca="false">IF($E294="","",IFERROR(U294/E294,""))</f>
        <v/>
      </c>
      <c r="W294" s="10" t="str">
        <f aca="false">IF($E294="","",IF($I294&lt;&gt;"","факт","прогноз"))</f>
        <v/>
      </c>
      <c r="X294" s="1"/>
      <c r="Y294" s="1"/>
      <c r="Z294" s="1"/>
      <c r="AA294" s="1"/>
      <c r="AB294" s="1"/>
      <c r="AC294" s="1"/>
      <c r="AD294" s="1"/>
    </row>
    <row r="295" customFormat="false" ht="18" hidden="false" customHeight="true" outlineLevel="0" collapsed="false">
      <c r="A295" s="1"/>
      <c r="B295" s="35"/>
      <c r="C295" s="8"/>
      <c r="D295" s="26"/>
      <c r="E295" s="27"/>
      <c r="F295" s="36"/>
      <c r="G295" s="36"/>
      <c r="H295" s="36"/>
      <c r="I295" s="36"/>
      <c r="J295" s="37" t="str">
        <f aca="false">IF($E295="","",IFERROR(G295/F295,""))</f>
        <v/>
      </c>
      <c r="K295" s="30" t="str">
        <f aca="false">IF($E295="","",IFERROR(E295/G295,""))</f>
        <v/>
      </c>
      <c r="L295" s="30" t="str">
        <f aca="false">IF($E295="","",IFERROR(E295/F295*1000,""))</f>
        <v/>
      </c>
      <c r="M295" s="37" t="str">
        <f aca="false">IF($E295="","",IFERROR(H295/G295,""))</f>
        <v/>
      </c>
      <c r="N295" s="30" t="str">
        <f aca="false">IF($E295="","",IFERROR(E295/H295,"—"))</f>
        <v/>
      </c>
      <c r="O295" s="30" t="str">
        <f aca="false">IF($E295="","",IFERROR(INDEX('Гео-калькулятор'!$K$7:$K$13,MATCH($C295,'Гео-калькулятор'!$B$7:$B$13,0)),""))</f>
        <v/>
      </c>
      <c r="P295" s="38" t="str">
        <f aca="false">IF($E295="","",IFERROR(N295/O295,""))</f>
        <v/>
      </c>
      <c r="Q295" s="39" t="str">
        <f aca="false">IF($E295="","",IF($I295&lt;&gt;"",$I295,N($H295)*IFERROR(INDEX('Гео-калькулятор'!$E$7:$E$13,MATCH($C295,'Гео-калькулятор'!$B$7:$B$13,0)),0)))</f>
        <v/>
      </c>
      <c r="R295" s="38" t="str">
        <f aca="false">IF($E295="","",IFERROR(Q295/H295,""))</f>
        <v/>
      </c>
      <c r="S295" s="30" t="str">
        <f aca="false">IF($E295="","",IFERROR(E295/Q295,"—"))</f>
        <v/>
      </c>
      <c r="T295" s="30" t="str">
        <f aca="false">IF($E295="","",Q295*IFERROR(INDEX('Гео-калькулятор'!$D$7:$D$13,MATCH($C295,'Гео-калькулятор'!$B$7:$B$13,0)),0))</f>
        <v/>
      </c>
      <c r="U295" s="40" t="str">
        <f aca="false">IF($E295="","",T295-E295)</f>
        <v/>
      </c>
      <c r="V295" s="41" t="str">
        <f aca="false">IF($E295="","",IFERROR(U295/E295,""))</f>
        <v/>
      </c>
      <c r="W295" s="10" t="str">
        <f aca="false">IF($E295="","",IF($I295&lt;&gt;"","факт","прогноз"))</f>
        <v/>
      </c>
      <c r="X295" s="1"/>
      <c r="Y295" s="1"/>
      <c r="Z295" s="1"/>
      <c r="AA295" s="1"/>
      <c r="AB295" s="1"/>
      <c r="AC295" s="1"/>
      <c r="AD295" s="1"/>
    </row>
    <row r="296" customFormat="false" ht="18" hidden="false" customHeight="true" outlineLevel="0" collapsed="false">
      <c r="A296" s="1"/>
      <c r="B296" s="35"/>
      <c r="C296" s="8"/>
      <c r="D296" s="26"/>
      <c r="E296" s="27"/>
      <c r="F296" s="36"/>
      <c r="G296" s="36"/>
      <c r="H296" s="36"/>
      <c r="I296" s="36"/>
      <c r="J296" s="37" t="str">
        <f aca="false">IF($E296="","",IFERROR(G296/F296,""))</f>
        <v/>
      </c>
      <c r="K296" s="30" t="str">
        <f aca="false">IF($E296="","",IFERROR(E296/G296,""))</f>
        <v/>
      </c>
      <c r="L296" s="30" t="str">
        <f aca="false">IF($E296="","",IFERROR(E296/F296*1000,""))</f>
        <v/>
      </c>
      <c r="M296" s="37" t="str">
        <f aca="false">IF($E296="","",IFERROR(H296/G296,""))</f>
        <v/>
      </c>
      <c r="N296" s="30" t="str">
        <f aca="false">IF($E296="","",IFERROR(E296/H296,"—"))</f>
        <v/>
      </c>
      <c r="O296" s="30" t="str">
        <f aca="false">IF($E296="","",IFERROR(INDEX('Гео-калькулятор'!$K$7:$K$13,MATCH($C296,'Гео-калькулятор'!$B$7:$B$13,0)),""))</f>
        <v/>
      </c>
      <c r="P296" s="38" t="str">
        <f aca="false">IF($E296="","",IFERROR(N296/O296,""))</f>
        <v/>
      </c>
      <c r="Q296" s="39" t="str">
        <f aca="false">IF($E296="","",IF($I296&lt;&gt;"",$I296,N($H296)*IFERROR(INDEX('Гео-калькулятор'!$E$7:$E$13,MATCH($C296,'Гео-калькулятор'!$B$7:$B$13,0)),0)))</f>
        <v/>
      </c>
      <c r="R296" s="38" t="str">
        <f aca="false">IF($E296="","",IFERROR(Q296/H296,""))</f>
        <v/>
      </c>
      <c r="S296" s="30" t="str">
        <f aca="false">IF($E296="","",IFERROR(E296/Q296,"—"))</f>
        <v/>
      </c>
      <c r="T296" s="30" t="str">
        <f aca="false">IF($E296="","",Q296*IFERROR(INDEX('Гео-калькулятор'!$D$7:$D$13,MATCH($C296,'Гео-калькулятор'!$B$7:$B$13,0)),0))</f>
        <v/>
      </c>
      <c r="U296" s="40" t="str">
        <f aca="false">IF($E296="","",T296-E296)</f>
        <v/>
      </c>
      <c r="V296" s="41" t="str">
        <f aca="false">IF($E296="","",IFERROR(U296/E296,""))</f>
        <v/>
      </c>
      <c r="W296" s="10" t="str">
        <f aca="false">IF($E296="","",IF($I296&lt;&gt;"","факт","прогноз"))</f>
        <v/>
      </c>
      <c r="X296" s="1"/>
      <c r="Y296" s="1"/>
      <c r="Z296" s="1"/>
      <c r="AA296" s="1"/>
      <c r="AB296" s="1"/>
      <c r="AC296" s="1"/>
      <c r="AD296" s="1"/>
    </row>
    <row r="297" customFormat="false" ht="18" hidden="false" customHeight="true" outlineLevel="0" collapsed="false">
      <c r="A297" s="1"/>
      <c r="B297" s="35"/>
      <c r="C297" s="8"/>
      <c r="D297" s="26"/>
      <c r="E297" s="27"/>
      <c r="F297" s="36"/>
      <c r="G297" s="36"/>
      <c r="H297" s="36"/>
      <c r="I297" s="36"/>
      <c r="J297" s="37" t="str">
        <f aca="false">IF($E297="","",IFERROR(G297/F297,""))</f>
        <v/>
      </c>
      <c r="K297" s="30" t="str">
        <f aca="false">IF($E297="","",IFERROR(E297/G297,""))</f>
        <v/>
      </c>
      <c r="L297" s="30" t="str">
        <f aca="false">IF($E297="","",IFERROR(E297/F297*1000,""))</f>
        <v/>
      </c>
      <c r="M297" s="37" t="str">
        <f aca="false">IF($E297="","",IFERROR(H297/G297,""))</f>
        <v/>
      </c>
      <c r="N297" s="30" t="str">
        <f aca="false">IF($E297="","",IFERROR(E297/H297,"—"))</f>
        <v/>
      </c>
      <c r="O297" s="30" t="str">
        <f aca="false">IF($E297="","",IFERROR(INDEX('Гео-калькулятор'!$K$7:$K$13,MATCH($C297,'Гео-калькулятор'!$B$7:$B$13,0)),""))</f>
        <v/>
      </c>
      <c r="P297" s="38" t="str">
        <f aca="false">IF($E297="","",IFERROR(N297/O297,""))</f>
        <v/>
      </c>
      <c r="Q297" s="39" t="str">
        <f aca="false">IF($E297="","",IF($I297&lt;&gt;"",$I297,N($H297)*IFERROR(INDEX('Гео-калькулятор'!$E$7:$E$13,MATCH($C297,'Гео-калькулятор'!$B$7:$B$13,0)),0)))</f>
        <v/>
      </c>
      <c r="R297" s="38" t="str">
        <f aca="false">IF($E297="","",IFERROR(Q297/H297,""))</f>
        <v/>
      </c>
      <c r="S297" s="30" t="str">
        <f aca="false">IF($E297="","",IFERROR(E297/Q297,"—"))</f>
        <v/>
      </c>
      <c r="T297" s="30" t="str">
        <f aca="false">IF($E297="","",Q297*IFERROR(INDEX('Гео-калькулятор'!$D$7:$D$13,MATCH($C297,'Гео-калькулятор'!$B$7:$B$13,0)),0))</f>
        <v/>
      </c>
      <c r="U297" s="40" t="str">
        <f aca="false">IF($E297="","",T297-E297)</f>
        <v/>
      </c>
      <c r="V297" s="41" t="str">
        <f aca="false">IF($E297="","",IFERROR(U297/E297,""))</f>
        <v/>
      </c>
      <c r="W297" s="10" t="str">
        <f aca="false">IF($E297="","",IF($I297&lt;&gt;"","факт","прогноз"))</f>
        <v/>
      </c>
      <c r="X297" s="1"/>
      <c r="Y297" s="1"/>
      <c r="Z297" s="1"/>
      <c r="AA297" s="1"/>
      <c r="AB297" s="1"/>
      <c r="AC297" s="1"/>
      <c r="AD297" s="1"/>
    </row>
    <row r="298" customFormat="false" ht="18" hidden="false" customHeight="true" outlineLevel="0" collapsed="false">
      <c r="A298" s="1"/>
      <c r="B298" s="35"/>
      <c r="C298" s="8"/>
      <c r="D298" s="26"/>
      <c r="E298" s="27"/>
      <c r="F298" s="36"/>
      <c r="G298" s="36"/>
      <c r="H298" s="36"/>
      <c r="I298" s="36"/>
      <c r="J298" s="37" t="str">
        <f aca="false">IF($E298="","",IFERROR(G298/F298,""))</f>
        <v/>
      </c>
      <c r="K298" s="30" t="str">
        <f aca="false">IF($E298="","",IFERROR(E298/G298,""))</f>
        <v/>
      </c>
      <c r="L298" s="30" t="str">
        <f aca="false">IF($E298="","",IFERROR(E298/F298*1000,""))</f>
        <v/>
      </c>
      <c r="M298" s="37" t="str">
        <f aca="false">IF($E298="","",IFERROR(H298/G298,""))</f>
        <v/>
      </c>
      <c r="N298" s="30" t="str">
        <f aca="false">IF($E298="","",IFERROR(E298/H298,"—"))</f>
        <v/>
      </c>
      <c r="O298" s="30" t="str">
        <f aca="false">IF($E298="","",IFERROR(INDEX('Гео-калькулятор'!$K$7:$K$13,MATCH($C298,'Гео-калькулятор'!$B$7:$B$13,0)),""))</f>
        <v/>
      </c>
      <c r="P298" s="38" t="str">
        <f aca="false">IF($E298="","",IFERROR(N298/O298,""))</f>
        <v/>
      </c>
      <c r="Q298" s="39" t="str">
        <f aca="false">IF($E298="","",IF($I298&lt;&gt;"",$I298,N($H298)*IFERROR(INDEX('Гео-калькулятор'!$E$7:$E$13,MATCH($C298,'Гео-калькулятор'!$B$7:$B$13,0)),0)))</f>
        <v/>
      </c>
      <c r="R298" s="38" t="str">
        <f aca="false">IF($E298="","",IFERROR(Q298/H298,""))</f>
        <v/>
      </c>
      <c r="S298" s="30" t="str">
        <f aca="false">IF($E298="","",IFERROR(E298/Q298,"—"))</f>
        <v/>
      </c>
      <c r="T298" s="30" t="str">
        <f aca="false">IF($E298="","",Q298*IFERROR(INDEX('Гео-калькулятор'!$D$7:$D$13,MATCH($C298,'Гео-калькулятор'!$B$7:$B$13,0)),0))</f>
        <v/>
      </c>
      <c r="U298" s="40" t="str">
        <f aca="false">IF($E298="","",T298-E298)</f>
        <v/>
      </c>
      <c r="V298" s="41" t="str">
        <f aca="false">IF($E298="","",IFERROR(U298/E298,""))</f>
        <v/>
      </c>
      <c r="W298" s="10" t="str">
        <f aca="false">IF($E298="","",IF($I298&lt;&gt;"","факт","прогноз"))</f>
        <v/>
      </c>
      <c r="X298" s="1"/>
      <c r="Y298" s="1"/>
      <c r="Z298" s="1"/>
      <c r="AA298" s="1"/>
      <c r="AB298" s="1"/>
      <c r="AC298" s="1"/>
      <c r="AD298" s="1"/>
    </row>
    <row r="299" customFormat="false" ht="18" hidden="false" customHeight="true" outlineLevel="0" collapsed="false">
      <c r="A299" s="1"/>
      <c r="B299" s="35"/>
      <c r="C299" s="8"/>
      <c r="D299" s="26"/>
      <c r="E299" s="27"/>
      <c r="F299" s="36"/>
      <c r="G299" s="36"/>
      <c r="H299" s="36"/>
      <c r="I299" s="36"/>
      <c r="J299" s="37" t="str">
        <f aca="false">IF($E299="","",IFERROR(G299/F299,""))</f>
        <v/>
      </c>
      <c r="K299" s="30" t="str">
        <f aca="false">IF($E299="","",IFERROR(E299/G299,""))</f>
        <v/>
      </c>
      <c r="L299" s="30" t="str">
        <f aca="false">IF($E299="","",IFERROR(E299/F299*1000,""))</f>
        <v/>
      </c>
      <c r="M299" s="37" t="str">
        <f aca="false">IF($E299="","",IFERROR(H299/G299,""))</f>
        <v/>
      </c>
      <c r="N299" s="30" t="str">
        <f aca="false">IF($E299="","",IFERROR(E299/H299,"—"))</f>
        <v/>
      </c>
      <c r="O299" s="30" t="str">
        <f aca="false">IF($E299="","",IFERROR(INDEX('Гео-калькулятор'!$K$7:$K$13,MATCH($C299,'Гео-калькулятор'!$B$7:$B$13,0)),""))</f>
        <v/>
      </c>
      <c r="P299" s="38" t="str">
        <f aca="false">IF($E299="","",IFERROR(N299/O299,""))</f>
        <v/>
      </c>
      <c r="Q299" s="39" t="str">
        <f aca="false">IF($E299="","",IF($I299&lt;&gt;"",$I299,N($H299)*IFERROR(INDEX('Гео-калькулятор'!$E$7:$E$13,MATCH($C299,'Гео-калькулятор'!$B$7:$B$13,0)),0)))</f>
        <v/>
      </c>
      <c r="R299" s="38" t="str">
        <f aca="false">IF($E299="","",IFERROR(Q299/H299,""))</f>
        <v/>
      </c>
      <c r="S299" s="30" t="str">
        <f aca="false">IF($E299="","",IFERROR(E299/Q299,"—"))</f>
        <v/>
      </c>
      <c r="T299" s="30" t="str">
        <f aca="false">IF($E299="","",Q299*IFERROR(INDEX('Гео-калькулятор'!$D$7:$D$13,MATCH($C299,'Гео-калькулятор'!$B$7:$B$13,0)),0))</f>
        <v/>
      </c>
      <c r="U299" s="40" t="str">
        <f aca="false">IF($E299="","",T299-E299)</f>
        <v/>
      </c>
      <c r="V299" s="41" t="str">
        <f aca="false">IF($E299="","",IFERROR(U299/E299,""))</f>
        <v/>
      </c>
      <c r="W299" s="10" t="str">
        <f aca="false">IF($E299="","",IF($I299&lt;&gt;"","факт","прогноз"))</f>
        <v/>
      </c>
      <c r="X299" s="1"/>
      <c r="Y299" s="1"/>
      <c r="Z299" s="1"/>
      <c r="AA299" s="1"/>
      <c r="AB299" s="1"/>
      <c r="AC299" s="1"/>
      <c r="AD299" s="1"/>
    </row>
    <row r="300" customFormat="false" ht="18" hidden="false" customHeight="true" outlineLevel="0" collapsed="false">
      <c r="A300" s="1"/>
      <c r="B300" s="35"/>
      <c r="C300" s="8"/>
      <c r="D300" s="26"/>
      <c r="E300" s="27"/>
      <c r="F300" s="36"/>
      <c r="G300" s="36"/>
      <c r="H300" s="36"/>
      <c r="I300" s="36"/>
      <c r="J300" s="37" t="str">
        <f aca="false">IF($E300="","",IFERROR(G300/F300,""))</f>
        <v/>
      </c>
      <c r="K300" s="30" t="str">
        <f aca="false">IF($E300="","",IFERROR(E300/G300,""))</f>
        <v/>
      </c>
      <c r="L300" s="30" t="str">
        <f aca="false">IF($E300="","",IFERROR(E300/F300*1000,""))</f>
        <v/>
      </c>
      <c r="M300" s="37" t="str">
        <f aca="false">IF($E300="","",IFERROR(H300/G300,""))</f>
        <v/>
      </c>
      <c r="N300" s="30" t="str">
        <f aca="false">IF($E300="","",IFERROR(E300/H300,"—"))</f>
        <v/>
      </c>
      <c r="O300" s="30" t="str">
        <f aca="false">IF($E300="","",IFERROR(INDEX('Гео-калькулятор'!$K$7:$K$13,MATCH($C300,'Гео-калькулятор'!$B$7:$B$13,0)),""))</f>
        <v/>
      </c>
      <c r="P300" s="38" t="str">
        <f aca="false">IF($E300="","",IFERROR(N300/O300,""))</f>
        <v/>
      </c>
      <c r="Q300" s="39" t="str">
        <f aca="false">IF($E300="","",IF($I300&lt;&gt;"",$I300,N($H300)*IFERROR(INDEX('Гео-калькулятор'!$E$7:$E$13,MATCH($C300,'Гео-калькулятор'!$B$7:$B$13,0)),0)))</f>
        <v/>
      </c>
      <c r="R300" s="38" t="str">
        <f aca="false">IF($E300="","",IFERROR(Q300/H300,""))</f>
        <v/>
      </c>
      <c r="S300" s="30" t="str">
        <f aca="false">IF($E300="","",IFERROR(E300/Q300,"—"))</f>
        <v/>
      </c>
      <c r="T300" s="30" t="str">
        <f aca="false">IF($E300="","",Q300*IFERROR(INDEX('Гео-калькулятор'!$D$7:$D$13,MATCH($C300,'Гео-калькулятор'!$B$7:$B$13,0)),0))</f>
        <v/>
      </c>
      <c r="U300" s="40" t="str">
        <f aca="false">IF($E300="","",T300-E300)</f>
        <v/>
      </c>
      <c r="V300" s="41" t="str">
        <f aca="false">IF($E300="","",IFERROR(U300/E300,""))</f>
        <v/>
      </c>
      <c r="W300" s="10" t="str">
        <f aca="false">IF($E300="","",IF($I300&lt;&gt;"","факт","прогноз"))</f>
        <v/>
      </c>
      <c r="X300" s="1"/>
      <c r="Y300" s="1"/>
      <c r="Z300" s="1"/>
      <c r="AA300" s="1"/>
      <c r="AB300" s="1"/>
      <c r="AC300" s="1"/>
      <c r="AD300" s="1"/>
    </row>
    <row r="301" customFormat="false" ht="18" hidden="false" customHeight="true" outlineLevel="0" collapsed="false">
      <c r="A301" s="1"/>
      <c r="B301" s="35"/>
      <c r="C301" s="8"/>
      <c r="D301" s="26"/>
      <c r="E301" s="27"/>
      <c r="F301" s="36"/>
      <c r="G301" s="36"/>
      <c r="H301" s="36"/>
      <c r="I301" s="36"/>
      <c r="J301" s="37" t="str">
        <f aca="false">IF($E301="","",IFERROR(G301/F301,""))</f>
        <v/>
      </c>
      <c r="K301" s="30" t="str">
        <f aca="false">IF($E301="","",IFERROR(E301/G301,""))</f>
        <v/>
      </c>
      <c r="L301" s="30" t="str">
        <f aca="false">IF($E301="","",IFERROR(E301/F301*1000,""))</f>
        <v/>
      </c>
      <c r="M301" s="37" t="str">
        <f aca="false">IF($E301="","",IFERROR(H301/G301,""))</f>
        <v/>
      </c>
      <c r="N301" s="30" t="str">
        <f aca="false">IF($E301="","",IFERROR(E301/H301,"—"))</f>
        <v/>
      </c>
      <c r="O301" s="30" t="str">
        <f aca="false">IF($E301="","",IFERROR(INDEX('Гео-калькулятор'!$K$7:$K$13,MATCH($C301,'Гео-калькулятор'!$B$7:$B$13,0)),""))</f>
        <v/>
      </c>
      <c r="P301" s="38" t="str">
        <f aca="false">IF($E301="","",IFERROR(N301/O301,""))</f>
        <v/>
      </c>
      <c r="Q301" s="39" t="str">
        <f aca="false">IF($E301="","",IF($I301&lt;&gt;"",$I301,N($H301)*IFERROR(INDEX('Гео-калькулятор'!$E$7:$E$13,MATCH($C301,'Гео-калькулятор'!$B$7:$B$13,0)),0)))</f>
        <v/>
      </c>
      <c r="R301" s="38" t="str">
        <f aca="false">IF($E301="","",IFERROR(Q301/H301,""))</f>
        <v/>
      </c>
      <c r="S301" s="30" t="str">
        <f aca="false">IF($E301="","",IFERROR(E301/Q301,"—"))</f>
        <v/>
      </c>
      <c r="T301" s="30" t="str">
        <f aca="false">IF($E301="","",Q301*IFERROR(INDEX('Гео-калькулятор'!$D$7:$D$13,MATCH($C301,'Гео-калькулятор'!$B$7:$B$13,0)),0))</f>
        <v/>
      </c>
      <c r="U301" s="40" t="str">
        <f aca="false">IF($E301="","",T301-E301)</f>
        <v/>
      </c>
      <c r="V301" s="41" t="str">
        <f aca="false">IF($E301="","",IFERROR(U301/E301,""))</f>
        <v/>
      </c>
      <c r="W301" s="10" t="str">
        <f aca="false">IF($E301="","",IF($I301&lt;&gt;"","факт","прогноз"))</f>
        <v/>
      </c>
      <c r="X301" s="1"/>
      <c r="Y301" s="1"/>
      <c r="Z301" s="1"/>
      <c r="AA301" s="1"/>
      <c r="AB301" s="1"/>
      <c r="AC301" s="1"/>
      <c r="AD301" s="1"/>
    </row>
    <row r="302" customFormat="false" ht="18" hidden="false" customHeight="true" outlineLevel="0" collapsed="false">
      <c r="A302" s="1"/>
      <c r="B302" s="35"/>
      <c r="C302" s="8"/>
      <c r="D302" s="26"/>
      <c r="E302" s="27"/>
      <c r="F302" s="36"/>
      <c r="G302" s="36"/>
      <c r="H302" s="36"/>
      <c r="I302" s="36"/>
      <c r="J302" s="37" t="str">
        <f aca="false">IF($E302="","",IFERROR(G302/F302,""))</f>
        <v/>
      </c>
      <c r="K302" s="30" t="str">
        <f aca="false">IF($E302="","",IFERROR(E302/G302,""))</f>
        <v/>
      </c>
      <c r="L302" s="30" t="str">
        <f aca="false">IF($E302="","",IFERROR(E302/F302*1000,""))</f>
        <v/>
      </c>
      <c r="M302" s="37" t="str">
        <f aca="false">IF($E302="","",IFERROR(H302/G302,""))</f>
        <v/>
      </c>
      <c r="N302" s="30" t="str">
        <f aca="false">IF($E302="","",IFERROR(E302/H302,"—"))</f>
        <v/>
      </c>
      <c r="O302" s="30" t="str">
        <f aca="false">IF($E302="","",IFERROR(INDEX('Гео-калькулятор'!$K$7:$K$13,MATCH($C302,'Гео-калькулятор'!$B$7:$B$13,0)),""))</f>
        <v/>
      </c>
      <c r="P302" s="38" t="str">
        <f aca="false">IF($E302="","",IFERROR(N302/O302,""))</f>
        <v/>
      </c>
      <c r="Q302" s="39" t="str">
        <f aca="false">IF($E302="","",IF($I302&lt;&gt;"",$I302,N($H302)*IFERROR(INDEX('Гео-калькулятор'!$E$7:$E$13,MATCH($C302,'Гео-калькулятор'!$B$7:$B$13,0)),0)))</f>
        <v/>
      </c>
      <c r="R302" s="38" t="str">
        <f aca="false">IF($E302="","",IFERROR(Q302/H302,""))</f>
        <v/>
      </c>
      <c r="S302" s="30" t="str">
        <f aca="false">IF($E302="","",IFERROR(E302/Q302,"—"))</f>
        <v/>
      </c>
      <c r="T302" s="30" t="str">
        <f aca="false">IF($E302="","",Q302*IFERROR(INDEX('Гео-калькулятор'!$D$7:$D$13,MATCH($C302,'Гео-калькулятор'!$B$7:$B$13,0)),0))</f>
        <v/>
      </c>
      <c r="U302" s="40" t="str">
        <f aca="false">IF($E302="","",T302-E302)</f>
        <v/>
      </c>
      <c r="V302" s="41" t="str">
        <f aca="false">IF($E302="","",IFERROR(U302/E302,""))</f>
        <v/>
      </c>
      <c r="W302" s="10" t="str">
        <f aca="false">IF($E302="","",IF($I302&lt;&gt;"","факт","прогноз"))</f>
        <v/>
      </c>
      <c r="X302" s="1"/>
      <c r="Y302" s="1"/>
      <c r="Z302" s="1"/>
      <c r="AA302" s="1"/>
      <c r="AB302" s="1"/>
      <c r="AC302" s="1"/>
      <c r="AD302" s="1"/>
    </row>
    <row r="303" customFormat="false" ht="18" hidden="false" customHeight="true" outlineLevel="0" collapsed="false">
      <c r="A303" s="1"/>
      <c r="B303" s="35"/>
      <c r="C303" s="8"/>
      <c r="D303" s="26"/>
      <c r="E303" s="27"/>
      <c r="F303" s="36"/>
      <c r="G303" s="36"/>
      <c r="H303" s="36"/>
      <c r="I303" s="36"/>
      <c r="J303" s="37" t="str">
        <f aca="false">IF($E303="","",IFERROR(G303/F303,""))</f>
        <v/>
      </c>
      <c r="K303" s="30" t="str">
        <f aca="false">IF($E303="","",IFERROR(E303/G303,""))</f>
        <v/>
      </c>
      <c r="L303" s="30" t="str">
        <f aca="false">IF($E303="","",IFERROR(E303/F303*1000,""))</f>
        <v/>
      </c>
      <c r="M303" s="37" t="str">
        <f aca="false">IF($E303="","",IFERROR(H303/G303,""))</f>
        <v/>
      </c>
      <c r="N303" s="30" t="str">
        <f aca="false">IF($E303="","",IFERROR(E303/H303,"—"))</f>
        <v/>
      </c>
      <c r="O303" s="30" t="str">
        <f aca="false">IF($E303="","",IFERROR(INDEX('Гео-калькулятор'!$K$7:$K$13,MATCH($C303,'Гео-калькулятор'!$B$7:$B$13,0)),""))</f>
        <v/>
      </c>
      <c r="P303" s="38" t="str">
        <f aca="false">IF($E303="","",IFERROR(N303/O303,""))</f>
        <v/>
      </c>
      <c r="Q303" s="39" t="str">
        <f aca="false">IF($E303="","",IF($I303&lt;&gt;"",$I303,N($H303)*IFERROR(INDEX('Гео-калькулятор'!$E$7:$E$13,MATCH($C303,'Гео-калькулятор'!$B$7:$B$13,0)),0)))</f>
        <v/>
      </c>
      <c r="R303" s="38" t="str">
        <f aca="false">IF($E303="","",IFERROR(Q303/H303,""))</f>
        <v/>
      </c>
      <c r="S303" s="30" t="str">
        <f aca="false">IF($E303="","",IFERROR(E303/Q303,"—"))</f>
        <v/>
      </c>
      <c r="T303" s="30" t="str">
        <f aca="false">IF($E303="","",Q303*IFERROR(INDEX('Гео-калькулятор'!$D$7:$D$13,MATCH($C303,'Гео-калькулятор'!$B$7:$B$13,0)),0))</f>
        <v/>
      </c>
      <c r="U303" s="40" t="str">
        <f aca="false">IF($E303="","",T303-E303)</f>
        <v/>
      </c>
      <c r="V303" s="41" t="str">
        <f aca="false">IF($E303="","",IFERROR(U303/E303,""))</f>
        <v/>
      </c>
      <c r="W303" s="10" t="str">
        <f aca="false">IF($E303="","",IF($I303&lt;&gt;"","факт","прогноз"))</f>
        <v/>
      </c>
      <c r="X303" s="1"/>
      <c r="Y303" s="1"/>
      <c r="Z303" s="1"/>
      <c r="AA303" s="1"/>
      <c r="AB303" s="1"/>
      <c r="AC303" s="1"/>
      <c r="AD303" s="1"/>
    </row>
    <row r="304" customFormat="false" ht="18" hidden="false" customHeight="true" outlineLevel="0" collapsed="false">
      <c r="A304" s="1"/>
      <c r="B304" s="35"/>
      <c r="C304" s="8"/>
      <c r="D304" s="26"/>
      <c r="E304" s="27"/>
      <c r="F304" s="36"/>
      <c r="G304" s="36"/>
      <c r="H304" s="36"/>
      <c r="I304" s="36"/>
      <c r="J304" s="37" t="str">
        <f aca="false">IF($E304="","",IFERROR(G304/F304,""))</f>
        <v/>
      </c>
      <c r="K304" s="30" t="str">
        <f aca="false">IF($E304="","",IFERROR(E304/G304,""))</f>
        <v/>
      </c>
      <c r="L304" s="30" t="str">
        <f aca="false">IF($E304="","",IFERROR(E304/F304*1000,""))</f>
        <v/>
      </c>
      <c r="M304" s="37" t="str">
        <f aca="false">IF($E304="","",IFERROR(H304/G304,""))</f>
        <v/>
      </c>
      <c r="N304" s="30" t="str">
        <f aca="false">IF($E304="","",IFERROR(E304/H304,"—"))</f>
        <v/>
      </c>
      <c r="O304" s="30" t="str">
        <f aca="false">IF($E304="","",IFERROR(INDEX('Гео-калькулятор'!$K$7:$K$13,MATCH($C304,'Гео-калькулятор'!$B$7:$B$13,0)),""))</f>
        <v/>
      </c>
      <c r="P304" s="38" t="str">
        <f aca="false">IF($E304="","",IFERROR(N304/O304,""))</f>
        <v/>
      </c>
      <c r="Q304" s="39" t="str">
        <f aca="false">IF($E304="","",IF($I304&lt;&gt;"",$I304,N($H304)*IFERROR(INDEX('Гео-калькулятор'!$E$7:$E$13,MATCH($C304,'Гео-калькулятор'!$B$7:$B$13,0)),0)))</f>
        <v/>
      </c>
      <c r="R304" s="38" t="str">
        <f aca="false">IF($E304="","",IFERROR(Q304/H304,""))</f>
        <v/>
      </c>
      <c r="S304" s="30" t="str">
        <f aca="false">IF($E304="","",IFERROR(E304/Q304,"—"))</f>
        <v/>
      </c>
      <c r="T304" s="30" t="str">
        <f aca="false">IF($E304="","",Q304*IFERROR(INDEX('Гео-калькулятор'!$D$7:$D$13,MATCH($C304,'Гео-калькулятор'!$B$7:$B$13,0)),0))</f>
        <v/>
      </c>
      <c r="U304" s="40" t="str">
        <f aca="false">IF($E304="","",T304-E304)</f>
        <v/>
      </c>
      <c r="V304" s="41" t="str">
        <f aca="false">IF($E304="","",IFERROR(U304/E304,""))</f>
        <v/>
      </c>
      <c r="W304" s="10" t="str">
        <f aca="false">IF($E304="","",IF($I304&lt;&gt;"","факт","прогноз"))</f>
        <v/>
      </c>
      <c r="X304" s="1"/>
      <c r="Y304" s="1"/>
      <c r="Z304" s="1"/>
      <c r="AA304" s="1"/>
      <c r="AB304" s="1"/>
      <c r="AC304" s="1"/>
      <c r="AD304" s="1"/>
    </row>
    <row r="305" customFormat="false" ht="18" hidden="false" customHeight="true" outlineLevel="0" collapsed="false">
      <c r="A305" s="1"/>
      <c r="B305" s="35"/>
      <c r="C305" s="8"/>
      <c r="D305" s="26"/>
      <c r="E305" s="27"/>
      <c r="F305" s="36"/>
      <c r="G305" s="36"/>
      <c r="H305" s="36"/>
      <c r="I305" s="36"/>
      <c r="J305" s="37" t="str">
        <f aca="false">IF($E305="","",IFERROR(G305/F305,""))</f>
        <v/>
      </c>
      <c r="K305" s="30" t="str">
        <f aca="false">IF($E305="","",IFERROR(E305/G305,""))</f>
        <v/>
      </c>
      <c r="L305" s="30" t="str">
        <f aca="false">IF($E305="","",IFERROR(E305/F305*1000,""))</f>
        <v/>
      </c>
      <c r="M305" s="37" t="str">
        <f aca="false">IF($E305="","",IFERROR(H305/G305,""))</f>
        <v/>
      </c>
      <c r="N305" s="30" t="str">
        <f aca="false">IF($E305="","",IFERROR(E305/H305,"—"))</f>
        <v/>
      </c>
      <c r="O305" s="30" t="str">
        <f aca="false">IF($E305="","",IFERROR(INDEX('Гео-калькулятор'!$K$7:$K$13,MATCH($C305,'Гео-калькулятор'!$B$7:$B$13,0)),""))</f>
        <v/>
      </c>
      <c r="P305" s="38" t="str">
        <f aca="false">IF($E305="","",IFERROR(N305/O305,""))</f>
        <v/>
      </c>
      <c r="Q305" s="39" t="str">
        <f aca="false">IF($E305="","",IF($I305&lt;&gt;"",$I305,N($H305)*IFERROR(INDEX('Гео-калькулятор'!$E$7:$E$13,MATCH($C305,'Гео-калькулятор'!$B$7:$B$13,0)),0)))</f>
        <v/>
      </c>
      <c r="R305" s="38" t="str">
        <f aca="false">IF($E305="","",IFERROR(Q305/H305,""))</f>
        <v/>
      </c>
      <c r="S305" s="30" t="str">
        <f aca="false">IF($E305="","",IFERROR(E305/Q305,"—"))</f>
        <v/>
      </c>
      <c r="T305" s="30" t="str">
        <f aca="false">IF($E305="","",Q305*IFERROR(INDEX('Гео-калькулятор'!$D$7:$D$13,MATCH($C305,'Гео-калькулятор'!$B$7:$B$13,0)),0))</f>
        <v/>
      </c>
      <c r="U305" s="40" t="str">
        <f aca="false">IF($E305="","",T305-E305)</f>
        <v/>
      </c>
      <c r="V305" s="41" t="str">
        <f aca="false">IF($E305="","",IFERROR(U305/E305,""))</f>
        <v/>
      </c>
      <c r="W305" s="10" t="str">
        <f aca="false">IF($E305="","",IF($I305&lt;&gt;"","факт","прогноз"))</f>
        <v/>
      </c>
      <c r="X305" s="1"/>
      <c r="Y305" s="1"/>
      <c r="Z305" s="1"/>
      <c r="AA305" s="1"/>
      <c r="AB305" s="1"/>
      <c r="AC305" s="1"/>
      <c r="AD305" s="1"/>
    </row>
    <row r="306" customFormat="false" ht="18" hidden="false" customHeight="true" outlineLevel="0" collapsed="false">
      <c r="A306" s="1"/>
      <c r="B306" s="35"/>
      <c r="C306" s="8"/>
      <c r="D306" s="26"/>
      <c r="E306" s="27"/>
      <c r="F306" s="36"/>
      <c r="G306" s="36"/>
      <c r="H306" s="36"/>
      <c r="I306" s="36"/>
      <c r="J306" s="37" t="str">
        <f aca="false">IF($E306="","",IFERROR(G306/F306,""))</f>
        <v/>
      </c>
      <c r="K306" s="30" t="str">
        <f aca="false">IF($E306="","",IFERROR(E306/G306,""))</f>
        <v/>
      </c>
      <c r="L306" s="30" t="str">
        <f aca="false">IF($E306="","",IFERROR(E306/F306*1000,""))</f>
        <v/>
      </c>
      <c r="M306" s="37" t="str">
        <f aca="false">IF($E306="","",IFERROR(H306/G306,""))</f>
        <v/>
      </c>
      <c r="N306" s="30" t="str">
        <f aca="false">IF($E306="","",IFERROR(E306/H306,"—"))</f>
        <v/>
      </c>
      <c r="O306" s="30" t="str">
        <f aca="false">IF($E306="","",IFERROR(INDEX('Гео-калькулятор'!$K$7:$K$13,MATCH($C306,'Гео-калькулятор'!$B$7:$B$13,0)),""))</f>
        <v/>
      </c>
      <c r="P306" s="38" t="str">
        <f aca="false">IF($E306="","",IFERROR(N306/O306,""))</f>
        <v/>
      </c>
      <c r="Q306" s="39" t="str">
        <f aca="false">IF($E306="","",IF($I306&lt;&gt;"",$I306,N($H306)*IFERROR(INDEX('Гео-калькулятор'!$E$7:$E$13,MATCH($C306,'Гео-калькулятор'!$B$7:$B$13,0)),0)))</f>
        <v/>
      </c>
      <c r="R306" s="38" t="str">
        <f aca="false">IF($E306="","",IFERROR(Q306/H306,""))</f>
        <v/>
      </c>
      <c r="S306" s="30" t="str">
        <f aca="false">IF($E306="","",IFERROR(E306/Q306,"—"))</f>
        <v/>
      </c>
      <c r="T306" s="30" t="str">
        <f aca="false">IF($E306="","",Q306*IFERROR(INDEX('Гео-калькулятор'!$D$7:$D$13,MATCH($C306,'Гео-калькулятор'!$B$7:$B$13,0)),0))</f>
        <v/>
      </c>
      <c r="U306" s="40" t="str">
        <f aca="false">IF($E306="","",T306-E306)</f>
        <v/>
      </c>
      <c r="V306" s="41" t="str">
        <f aca="false">IF($E306="","",IFERROR(U306/E306,""))</f>
        <v/>
      </c>
      <c r="W306" s="10" t="str">
        <f aca="false">IF($E306="","",IF($I306&lt;&gt;"","факт","прогноз"))</f>
        <v/>
      </c>
      <c r="X306" s="1"/>
      <c r="Y306" s="1"/>
      <c r="Z306" s="1"/>
      <c r="AA306" s="1"/>
      <c r="AB306" s="1"/>
      <c r="AC306" s="1"/>
      <c r="AD306" s="1"/>
    </row>
    <row r="307" customFormat="false" ht="18" hidden="false" customHeight="true" outlineLevel="0" collapsed="false">
      <c r="A307" s="1"/>
      <c r="B307" s="35"/>
      <c r="C307" s="8"/>
      <c r="D307" s="26"/>
      <c r="E307" s="27"/>
      <c r="F307" s="36"/>
      <c r="G307" s="36"/>
      <c r="H307" s="36"/>
      <c r="I307" s="36"/>
      <c r="J307" s="37" t="str">
        <f aca="false">IF($E307="","",IFERROR(G307/F307,""))</f>
        <v/>
      </c>
      <c r="K307" s="30" t="str">
        <f aca="false">IF($E307="","",IFERROR(E307/G307,""))</f>
        <v/>
      </c>
      <c r="L307" s="30" t="str">
        <f aca="false">IF($E307="","",IFERROR(E307/F307*1000,""))</f>
        <v/>
      </c>
      <c r="M307" s="37" t="str">
        <f aca="false">IF($E307="","",IFERROR(H307/G307,""))</f>
        <v/>
      </c>
      <c r="N307" s="30" t="str">
        <f aca="false">IF($E307="","",IFERROR(E307/H307,"—"))</f>
        <v/>
      </c>
      <c r="O307" s="30" t="str">
        <f aca="false">IF($E307="","",IFERROR(INDEX('Гео-калькулятор'!$K$7:$K$13,MATCH($C307,'Гео-калькулятор'!$B$7:$B$13,0)),""))</f>
        <v/>
      </c>
      <c r="P307" s="38" t="str">
        <f aca="false">IF($E307="","",IFERROR(N307/O307,""))</f>
        <v/>
      </c>
      <c r="Q307" s="39" t="str">
        <f aca="false">IF($E307="","",IF($I307&lt;&gt;"",$I307,N($H307)*IFERROR(INDEX('Гео-калькулятор'!$E$7:$E$13,MATCH($C307,'Гео-калькулятор'!$B$7:$B$13,0)),0)))</f>
        <v/>
      </c>
      <c r="R307" s="38" t="str">
        <f aca="false">IF($E307="","",IFERROR(Q307/H307,""))</f>
        <v/>
      </c>
      <c r="S307" s="30" t="str">
        <f aca="false">IF($E307="","",IFERROR(E307/Q307,"—"))</f>
        <v/>
      </c>
      <c r="T307" s="30" t="str">
        <f aca="false">IF($E307="","",Q307*IFERROR(INDEX('Гео-калькулятор'!$D$7:$D$13,MATCH($C307,'Гео-калькулятор'!$B$7:$B$13,0)),0))</f>
        <v/>
      </c>
      <c r="U307" s="40" t="str">
        <f aca="false">IF($E307="","",T307-E307)</f>
        <v/>
      </c>
      <c r="V307" s="41" t="str">
        <f aca="false">IF($E307="","",IFERROR(U307/E307,""))</f>
        <v/>
      </c>
      <c r="W307" s="10" t="str">
        <f aca="false">IF($E307="","",IF($I307&lt;&gt;"","факт","прогноз"))</f>
        <v/>
      </c>
      <c r="X307" s="1"/>
      <c r="Y307" s="1"/>
      <c r="Z307" s="1"/>
      <c r="AA307" s="1"/>
      <c r="AB307" s="1"/>
      <c r="AC307" s="1"/>
      <c r="AD307" s="1"/>
    </row>
    <row r="308" customFormat="false" ht="18" hidden="false" customHeight="true" outlineLevel="0" collapsed="false">
      <c r="A308" s="1"/>
      <c r="B308" s="35"/>
      <c r="C308" s="8"/>
      <c r="D308" s="26"/>
      <c r="E308" s="27"/>
      <c r="F308" s="36"/>
      <c r="G308" s="36"/>
      <c r="H308" s="36"/>
      <c r="I308" s="36"/>
      <c r="J308" s="37" t="str">
        <f aca="false">IF($E308="","",IFERROR(G308/F308,""))</f>
        <v/>
      </c>
      <c r="K308" s="30" t="str">
        <f aca="false">IF($E308="","",IFERROR(E308/G308,""))</f>
        <v/>
      </c>
      <c r="L308" s="30" t="str">
        <f aca="false">IF($E308="","",IFERROR(E308/F308*1000,""))</f>
        <v/>
      </c>
      <c r="M308" s="37" t="str">
        <f aca="false">IF($E308="","",IFERROR(H308/G308,""))</f>
        <v/>
      </c>
      <c r="N308" s="30" t="str">
        <f aca="false">IF($E308="","",IFERROR(E308/H308,"—"))</f>
        <v/>
      </c>
      <c r="O308" s="30" t="str">
        <f aca="false">IF($E308="","",IFERROR(INDEX('Гео-калькулятор'!$K$7:$K$13,MATCH($C308,'Гео-калькулятор'!$B$7:$B$13,0)),""))</f>
        <v/>
      </c>
      <c r="P308" s="38" t="str">
        <f aca="false">IF($E308="","",IFERROR(N308/O308,""))</f>
        <v/>
      </c>
      <c r="Q308" s="39" t="str">
        <f aca="false">IF($E308="","",IF($I308&lt;&gt;"",$I308,N($H308)*IFERROR(INDEX('Гео-калькулятор'!$E$7:$E$13,MATCH($C308,'Гео-калькулятор'!$B$7:$B$13,0)),0)))</f>
        <v/>
      </c>
      <c r="R308" s="38" t="str">
        <f aca="false">IF($E308="","",IFERROR(Q308/H308,""))</f>
        <v/>
      </c>
      <c r="S308" s="30" t="str">
        <f aca="false">IF($E308="","",IFERROR(E308/Q308,"—"))</f>
        <v/>
      </c>
      <c r="T308" s="30" t="str">
        <f aca="false">IF($E308="","",Q308*IFERROR(INDEX('Гео-калькулятор'!$D$7:$D$13,MATCH($C308,'Гео-калькулятор'!$B$7:$B$13,0)),0))</f>
        <v/>
      </c>
      <c r="U308" s="40" t="str">
        <f aca="false">IF($E308="","",T308-E308)</f>
        <v/>
      </c>
      <c r="V308" s="41" t="str">
        <f aca="false">IF($E308="","",IFERROR(U308/E308,""))</f>
        <v/>
      </c>
      <c r="W308" s="10" t="str">
        <f aca="false">IF($E308="","",IF($I308&lt;&gt;"","факт","прогноз"))</f>
        <v/>
      </c>
      <c r="X308" s="1"/>
      <c r="Y308" s="1"/>
      <c r="Z308" s="1"/>
      <c r="AA308" s="1"/>
      <c r="AB308" s="1"/>
      <c r="AC308" s="1"/>
      <c r="AD308" s="1"/>
    </row>
    <row r="309" customFormat="false" ht="18" hidden="false" customHeight="true" outlineLevel="0" collapsed="false">
      <c r="A309" s="1"/>
      <c r="B309" s="35"/>
      <c r="C309" s="8"/>
      <c r="D309" s="26"/>
      <c r="E309" s="27"/>
      <c r="F309" s="36"/>
      <c r="G309" s="36"/>
      <c r="H309" s="36"/>
      <c r="I309" s="36"/>
      <c r="J309" s="37" t="str">
        <f aca="false">IF($E309="","",IFERROR(G309/F309,""))</f>
        <v/>
      </c>
      <c r="K309" s="30" t="str">
        <f aca="false">IF($E309="","",IFERROR(E309/G309,""))</f>
        <v/>
      </c>
      <c r="L309" s="30" t="str">
        <f aca="false">IF($E309="","",IFERROR(E309/F309*1000,""))</f>
        <v/>
      </c>
      <c r="M309" s="37" t="str">
        <f aca="false">IF($E309="","",IFERROR(H309/G309,""))</f>
        <v/>
      </c>
      <c r="N309" s="30" t="str">
        <f aca="false">IF($E309="","",IFERROR(E309/H309,"—"))</f>
        <v/>
      </c>
      <c r="O309" s="30" t="str">
        <f aca="false">IF($E309="","",IFERROR(INDEX('Гео-калькулятор'!$K$7:$K$13,MATCH($C309,'Гео-калькулятор'!$B$7:$B$13,0)),""))</f>
        <v/>
      </c>
      <c r="P309" s="38" t="str">
        <f aca="false">IF($E309="","",IFERROR(N309/O309,""))</f>
        <v/>
      </c>
      <c r="Q309" s="39" t="str">
        <f aca="false">IF($E309="","",IF($I309&lt;&gt;"",$I309,N($H309)*IFERROR(INDEX('Гео-калькулятор'!$E$7:$E$13,MATCH($C309,'Гео-калькулятор'!$B$7:$B$13,0)),0)))</f>
        <v/>
      </c>
      <c r="R309" s="38" t="str">
        <f aca="false">IF($E309="","",IFERROR(Q309/H309,""))</f>
        <v/>
      </c>
      <c r="S309" s="30" t="str">
        <f aca="false">IF($E309="","",IFERROR(E309/Q309,"—"))</f>
        <v/>
      </c>
      <c r="T309" s="30" t="str">
        <f aca="false">IF($E309="","",Q309*IFERROR(INDEX('Гео-калькулятор'!$D$7:$D$13,MATCH($C309,'Гео-калькулятор'!$B$7:$B$13,0)),0))</f>
        <v/>
      </c>
      <c r="U309" s="40" t="str">
        <f aca="false">IF($E309="","",T309-E309)</f>
        <v/>
      </c>
      <c r="V309" s="41" t="str">
        <f aca="false">IF($E309="","",IFERROR(U309/E309,""))</f>
        <v/>
      </c>
      <c r="W309" s="10" t="str">
        <f aca="false">IF($E309="","",IF($I309&lt;&gt;"","факт","прогноз"))</f>
        <v/>
      </c>
      <c r="X309" s="1"/>
      <c r="Y309" s="1"/>
      <c r="Z309" s="1"/>
      <c r="AA309" s="1"/>
      <c r="AB309" s="1"/>
      <c r="AC309" s="1"/>
      <c r="AD309" s="1"/>
    </row>
    <row r="310" customFormat="false" ht="18" hidden="false" customHeight="true" outlineLevel="0" collapsed="false">
      <c r="A310" s="1"/>
      <c r="B310" s="35"/>
      <c r="C310" s="8"/>
      <c r="D310" s="26"/>
      <c r="E310" s="27"/>
      <c r="F310" s="36"/>
      <c r="G310" s="36"/>
      <c r="H310" s="36"/>
      <c r="I310" s="36"/>
      <c r="J310" s="37" t="str">
        <f aca="false">IF($E310="","",IFERROR(G310/F310,""))</f>
        <v/>
      </c>
      <c r="K310" s="30" t="str">
        <f aca="false">IF($E310="","",IFERROR(E310/G310,""))</f>
        <v/>
      </c>
      <c r="L310" s="30" t="str">
        <f aca="false">IF($E310="","",IFERROR(E310/F310*1000,""))</f>
        <v/>
      </c>
      <c r="M310" s="37" t="str">
        <f aca="false">IF($E310="","",IFERROR(H310/G310,""))</f>
        <v/>
      </c>
      <c r="N310" s="30" t="str">
        <f aca="false">IF($E310="","",IFERROR(E310/H310,"—"))</f>
        <v/>
      </c>
      <c r="O310" s="30" t="str">
        <f aca="false">IF($E310="","",IFERROR(INDEX('Гео-калькулятор'!$K$7:$K$13,MATCH($C310,'Гео-калькулятор'!$B$7:$B$13,0)),""))</f>
        <v/>
      </c>
      <c r="P310" s="38" t="str">
        <f aca="false">IF($E310="","",IFERROR(N310/O310,""))</f>
        <v/>
      </c>
      <c r="Q310" s="39" t="str">
        <f aca="false">IF($E310="","",IF($I310&lt;&gt;"",$I310,N($H310)*IFERROR(INDEX('Гео-калькулятор'!$E$7:$E$13,MATCH($C310,'Гео-калькулятор'!$B$7:$B$13,0)),0)))</f>
        <v/>
      </c>
      <c r="R310" s="38" t="str">
        <f aca="false">IF($E310="","",IFERROR(Q310/H310,""))</f>
        <v/>
      </c>
      <c r="S310" s="30" t="str">
        <f aca="false">IF($E310="","",IFERROR(E310/Q310,"—"))</f>
        <v/>
      </c>
      <c r="T310" s="30" t="str">
        <f aca="false">IF($E310="","",Q310*IFERROR(INDEX('Гео-калькулятор'!$D$7:$D$13,MATCH($C310,'Гео-калькулятор'!$B$7:$B$13,0)),0))</f>
        <v/>
      </c>
      <c r="U310" s="40" t="str">
        <f aca="false">IF($E310="","",T310-E310)</f>
        <v/>
      </c>
      <c r="V310" s="41" t="str">
        <f aca="false">IF($E310="","",IFERROR(U310/E310,""))</f>
        <v/>
      </c>
      <c r="W310" s="10" t="str">
        <f aca="false">IF($E310="","",IF($I310&lt;&gt;"","факт","прогноз"))</f>
        <v/>
      </c>
      <c r="X310" s="1"/>
      <c r="Y310" s="1"/>
      <c r="Z310" s="1"/>
      <c r="AA310" s="1"/>
      <c r="AB310" s="1"/>
      <c r="AC310" s="1"/>
      <c r="AD310" s="1"/>
    </row>
    <row r="311" customFormat="false" ht="18" hidden="false" customHeight="true" outlineLevel="0" collapsed="false">
      <c r="A311" s="1"/>
      <c r="B311" s="35"/>
      <c r="C311" s="8"/>
      <c r="D311" s="26"/>
      <c r="E311" s="27"/>
      <c r="F311" s="36"/>
      <c r="G311" s="36"/>
      <c r="H311" s="36"/>
      <c r="I311" s="36"/>
      <c r="J311" s="37" t="str">
        <f aca="false">IF($E311="","",IFERROR(G311/F311,""))</f>
        <v/>
      </c>
      <c r="K311" s="30" t="str">
        <f aca="false">IF($E311="","",IFERROR(E311/G311,""))</f>
        <v/>
      </c>
      <c r="L311" s="30" t="str">
        <f aca="false">IF($E311="","",IFERROR(E311/F311*1000,""))</f>
        <v/>
      </c>
      <c r="M311" s="37" t="str">
        <f aca="false">IF($E311="","",IFERROR(H311/G311,""))</f>
        <v/>
      </c>
      <c r="N311" s="30" t="str">
        <f aca="false">IF($E311="","",IFERROR(E311/H311,"—"))</f>
        <v/>
      </c>
      <c r="O311" s="30" t="str">
        <f aca="false">IF($E311="","",IFERROR(INDEX('Гео-калькулятор'!$K$7:$K$13,MATCH($C311,'Гео-калькулятор'!$B$7:$B$13,0)),""))</f>
        <v/>
      </c>
      <c r="P311" s="38" t="str">
        <f aca="false">IF($E311="","",IFERROR(N311/O311,""))</f>
        <v/>
      </c>
      <c r="Q311" s="39" t="str">
        <f aca="false">IF($E311="","",IF($I311&lt;&gt;"",$I311,N($H311)*IFERROR(INDEX('Гео-калькулятор'!$E$7:$E$13,MATCH($C311,'Гео-калькулятор'!$B$7:$B$13,0)),0)))</f>
        <v/>
      </c>
      <c r="R311" s="38" t="str">
        <f aca="false">IF($E311="","",IFERROR(Q311/H311,""))</f>
        <v/>
      </c>
      <c r="S311" s="30" t="str">
        <f aca="false">IF($E311="","",IFERROR(E311/Q311,"—"))</f>
        <v/>
      </c>
      <c r="T311" s="30" t="str">
        <f aca="false">IF($E311="","",Q311*IFERROR(INDEX('Гео-калькулятор'!$D$7:$D$13,MATCH($C311,'Гео-калькулятор'!$B$7:$B$13,0)),0))</f>
        <v/>
      </c>
      <c r="U311" s="40" t="str">
        <f aca="false">IF($E311="","",T311-E311)</f>
        <v/>
      </c>
      <c r="V311" s="41" t="str">
        <f aca="false">IF($E311="","",IFERROR(U311/E311,""))</f>
        <v/>
      </c>
      <c r="W311" s="10" t="str">
        <f aca="false">IF($E311="","",IF($I311&lt;&gt;"","факт","прогноз"))</f>
        <v/>
      </c>
      <c r="X311" s="1"/>
      <c r="Y311" s="1"/>
      <c r="Z311" s="1"/>
      <c r="AA311" s="1"/>
      <c r="AB311" s="1"/>
      <c r="AC311" s="1"/>
      <c r="AD311" s="1"/>
    </row>
    <row r="312" customFormat="false" ht="18" hidden="false" customHeight="true" outlineLevel="0" collapsed="false">
      <c r="A312" s="1"/>
      <c r="B312" s="35"/>
      <c r="C312" s="8"/>
      <c r="D312" s="26"/>
      <c r="E312" s="27"/>
      <c r="F312" s="36"/>
      <c r="G312" s="36"/>
      <c r="H312" s="36"/>
      <c r="I312" s="36"/>
      <c r="J312" s="37" t="str">
        <f aca="false">IF($E312="","",IFERROR(G312/F312,""))</f>
        <v/>
      </c>
      <c r="K312" s="30" t="str">
        <f aca="false">IF($E312="","",IFERROR(E312/G312,""))</f>
        <v/>
      </c>
      <c r="L312" s="30" t="str">
        <f aca="false">IF($E312="","",IFERROR(E312/F312*1000,""))</f>
        <v/>
      </c>
      <c r="M312" s="37" t="str">
        <f aca="false">IF($E312="","",IFERROR(H312/G312,""))</f>
        <v/>
      </c>
      <c r="N312" s="30" t="str">
        <f aca="false">IF($E312="","",IFERROR(E312/H312,"—"))</f>
        <v/>
      </c>
      <c r="O312" s="30" t="str">
        <f aca="false">IF($E312="","",IFERROR(INDEX('Гео-калькулятор'!$K$7:$K$13,MATCH($C312,'Гео-калькулятор'!$B$7:$B$13,0)),""))</f>
        <v/>
      </c>
      <c r="P312" s="38" t="str">
        <f aca="false">IF($E312="","",IFERROR(N312/O312,""))</f>
        <v/>
      </c>
      <c r="Q312" s="39" t="str">
        <f aca="false">IF($E312="","",IF($I312&lt;&gt;"",$I312,N($H312)*IFERROR(INDEX('Гео-калькулятор'!$E$7:$E$13,MATCH($C312,'Гео-калькулятор'!$B$7:$B$13,0)),0)))</f>
        <v/>
      </c>
      <c r="R312" s="38" t="str">
        <f aca="false">IF($E312="","",IFERROR(Q312/H312,""))</f>
        <v/>
      </c>
      <c r="S312" s="30" t="str">
        <f aca="false">IF($E312="","",IFERROR(E312/Q312,"—"))</f>
        <v/>
      </c>
      <c r="T312" s="30" t="str">
        <f aca="false">IF($E312="","",Q312*IFERROR(INDEX('Гео-калькулятор'!$D$7:$D$13,MATCH($C312,'Гео-калькулятор'!$B$7:$B$13,0)),0))</f>
        <v/>
      </c>
      <c r="U312" s="40" t="str">
        <f aca="false">IF($E312="","",T312-E312)</f>
        <v/>
      </c>
      <c r="V312" s="41" t="str">
        <f aca="false">IF($E312="","",IFERROR(U312/E312,""))</f>
        <v/>
      </c>
      <c r="W312" s="10" t="str">
        <f aca="false">IF($E312="","",IF($I312&lt;&gt;"","факт","прогноз"))</f>
        <v/>
      </c>
      <c r="X312" s="1"/>
      <c r="Y312" s="1"/>
      <c r="Z312" s="1"/>
      <c r="AA312" s="1"/>
      <c r="AB312" s="1"/>
      <c r="AC312" s="1"/>
      <c r="AD312" s="1"/>
    </row>
    <row r="313" customFormat="false" ht="18" hidden="false" customHeight="true" outlineLevel="0" collapsed="false">
      <c r="A313" s="1"/>
      <c r="B313" s="35"/>
      <c r="C313" s="8"/>
      <c r="D313" s="26"/>
      <c r="E313" s="27"/>
      <c r="F313" s="36"/>
      <c r="G313" s="36"/>
      <c r="H313" s="36"/>
      <c r="I313" s="36"/>
      <c r="J313" s="37" t="str">
        <f aca="false">IF($E313="","",IFERROR(G313/F313,""))</f>
        <v/>
      </c>
      <c r="K313" s="30" t="str">
        <f aca="false">IF($E313="","",IFERROR(E313/G313,""))</f>
        <v/>
      </c>
      <c r="L313" s="30" t="str">
        <f aca="false">IF($E313="","",IFERROR(E313/F313*1000,""))</f>
        <v/>
      </c>
      <c r="M313" s="37" t="str">
        <f aca="false">IF($E313="","",IFERROR(H313/G313,""))</f>
        <v/>
      </c>
      <c r="N313" s="30" t="str">
        <f aca="false">IF($E313="","",IFERROR(E313/H313,"—"))</f>
        <v/>
      </c>
      <c r="O313" s="30" t="str">
        <f aca="false">IF($E313="","",IFERROR(INDEX('Гео-калькулятор'!$K$7:$K$13,MATCH($C313,'Гео-калькулятор'!$B$7:$B$13,0)),""))</f>
        <v/>
      </c>
      <c r="P313" s="38" t="str">
        <f aca="false">IF($E313="","",IFERROR(N313/O313,""))</f>
        <v/>
      </c>
      <c r="Q313" s="39" t="str">
        <f aca="false">IF($E313="","",IF($I313&lt;&gt;"",$I313,N($H313)*IFERROR(INDEX('Гео-калькулятор'!$E$7:$E$13,MATCH($C313,'Гео-калькулятор'!$B$7:$B$13,0)),0)))</f>
        <v/>
      </c>
      <c r="R313" s="38" t="str">
        <f aca="false">IF($E313="","",IFERROR(Q313/H313,""))</f>
        <v/>
      </c>
      <c r="S313" s="30" t="str">
        <f aca="false">IF($E313="","",IFERROR(E313/Q313,"—"))</f>
        <v/>
      </c>
      <c r="T313" s="30" t="str">
        <f aca="false">IF($E313="","",Q313*IFERROR(INDEX('Гео-калькулятор'!$D$7:$D$13,MATCH($C313,'Гео-калькулятор'!$B$7:$B$13,0)),0))</f>
        <v/>
      </c>
      <c r="U313" s="40" t="str">
        <f aca="false">IF($E313="","",T313-E313)</f>
        <v/>
      </c>
      <c r="V313" s="41" t="str">
        <f aca="false">IF($E313="","",IFERROR(U313/E313,""))</f>
        <v/>
      </c>
      <c r="W313" s="10" t="str">
        <f aca="false">IF($E313="","",IF($I313&lt;&gt;"","факт","прогноз"))</f>
        <v/>
      </c>
      <c r="X313" s="1"/>
      <c r="Y313" s="1"/>
      <c r="Z313" s="1"/>
      <c r="AA313" s="1"/>
      <c r="AB313" s="1"/>
      <c r="AC313" s="1"/>
      <c r="AD313" s="1"/>
    </row>
    <row r="314" customFormat="false" ht="18" hidden="false" customHeight="true" outlineLevel="0" collapsed="false">
      <c r="A314" s="1"/>
      <c r="B314" s="35"/>
      <c r="C314" s="8"/>
      <c r="D314" s="26"/>
      <c r="E314" s="27"/>
      <c r="F314" s="36"/>
      <c r="G314" s="36"/>
      <c r="H314" s="36"/>
      <c r="I314" s="36"/>
      <c r="J314" s="37" t="str">
        <f aca="false">IF($E314="","",IFERROR(G314/F314,""))</f>
        <v/>
      </c>
      <c r="K314" s="30" t="str">
        <f aca="false">IF($E314="","",IFERROR(E314/G314,""))</f>
        <v/>
      </c>
      <c r="L314" s="30" t="str">
        <f aca="false">IF($E314="","",IFERROR(E314/F314*1000,""))</f>
        <v/>
      </c>
      <c r="M314" s="37" t="str">
        <f aca="false">IF($E314="","",IFERROR(H314/G314,""))</f>
        <v/>
      </c>
      <c r="N314" s="30" t="str">
        <f aca="false">IF($E314="","",IFERROR(E314/H314,"—"))</f>
        <v/>
      </c>
      <c r="O314" s="30" t="str">
        <f aca="false">IF($E314="","",IFERROR(INDEX('Гео-калькулятор'!$K$7:$K$13,MATCH($C314,'Гео-калькулятор'!$B$7:$B$13,0)),""))</f>
        <v/>
      </c>
      <c r="P314" s="38" t="str">
        <f aca="false">IF($E314="","",IFERROR(N314/O314,""))</f>
        <v/>
      </c>
      <c r="Q314" s="39" t="str">
        <f aca="false">IF($E314="","",IF($I314&lt;&gt;"",$I314,N($H314)*IFERROR(INDEX('Гео-калькулятор'!$E$7:$E$13,MATCH($C314,'Гео-калькулятор'!$B$7:$B$13,0)),0)))</f>
        <v/>
      </c>
      <c r="R314" s="38" t="str">
        <f aca="false">IF($E314="","",IFERROR(Q314/H314,""))</f>
        <v/>
      </c>
      <c r="S314" s="30" t="str">
        <f aca="false">IF($E314="","",IFERROR(E314/Q314,"—"))</f>
        <v/>
      </c>
      <c r="T314" s="30" t="str">
        <f aca="false">IF($E314="","",Q314*IFERROR(INDEX('Гео-калькулятор'!$D$7:$D$13,MATCH($C314,'Гео-калькулятор'!$B$7:$B$13,0)),0))</f>
        <v/>
      </c>
      <c r="U314" s="40" t="str">
        <f aca="false">IF($E314="","",T314-E314)</f>
        <v/>
      </c>
      <c r="V314" s="41" t="str">
        <f aca="false">IF($E314="","",IFERROR(U314/E314,""))</f>
        <v/>
      </c>
      <c r="W314" s="10" t="str">
        <f aca="false">IF($E314="","",IF($I314&lt;&gt;"","факт","прогноз"))</f>
        <v/>
      </c>
      <c r="X314" s="1"/>
      <c r="Y314" s="1"/>
      <c r="Z314" s="1"/>
      <c r="AA314" s="1"/>
      <c r="AB314" s="1"/>
      <c r="AC314" s="1"/>
      <c r="AD314" s="1"/>
    </row>
    <row r="315" customFormat="false" ht="18" hidden="false" customHeight="true" outlineLevel="0" collapsed="false">
      <c r="A315" s="1"/>
      <c r="B315" s="35"/>
      <c r="C315" s="8"/>
      <c r="D315" s="26"/>
      <c r="E315" s="27"/>
      <c r="F315" s="36"/>
      <c r="G315" s="36"/>
      <c r="H315" s="36"/>
      <c r="I315" s="36"/>
      <c r="J315" s="37" t="str">
        <f aca="false">IF($E315="","",IFERROR(G315/F315,""))</f>
        <v/>
      </c>
      <c r="K315" s="30" t="str">
        <f aca="false">IF($E315="","",IFERROR(E315/G315,""))</f>
        <v/>
      </c>
      <c r="L315" s="30" t="str">
        <f aca="false">IF($E315="","",IFERROR(E315/F315*1000,""))</f>
        <v/>
      </c>
      <c r="M315" s="37" t="str">
        <f aca="false">IF($E315="","",IFERROR(H315/G315,""))</f>
        <v/>
      </c>
      <c r="N315" s="30" t="str">
        <f aca="false">IF($E315="","",IFERROR(E315/H315,"—"))</f>
        <v/>
      </c>
      <c r="O315" s="30" t="str">
        <f aca="false">IF($E315="","",IFERROR(INDEX('Гео-калькулятор'!$K$7:$K$13,MATCH($C315,'Гео-калькулятор'!$B$7:$B$13,0)),""))</f>
        <v/>
      </c>
      <c r="P315" s="38" t="str">
        <f aca="false">IF($E315="","",IFERROR(N315/O315,""))</f>
        <v/>
      </c>
      <c r="Q315" s="39" t="str">
        <f aca="false">IF($E315="","",IF($I315&lt;&gt;"",$I315,N($H315)*IFERROR(INDEX('Гео-калькулятор'!$E$7:$E$13,MATCH($C315,'Гео-калькулятор'!$B$7:$B$13,0)),0)))</f>
        <v/>
      </c>
      <c r="R315" s="38" t="str">
        <f aca="false">IF($E315="","",IFERROR(Q315/H315,""))</f>
        <v/>
      </c>
      <c r="S315" s="30" t="str">
        <f aca="false">IF($E315="","",IFERROR(E315/Q315,"—"))</f>
        <v/>
      </c>
      <c r="T315" s="30" t="str">
        <f aca="false">IF($E315="","",Q315*IFERROR(INDEX('Гео-калькулятор'!$D$7:$D$13,MATCH($C315,'Гео-калькулятор'!$B$7:$B$13,0)),0))</f>
        <v/>
      </c>
      <c r="U315" s="40" t="str">
        <f aca="false">IF($E315="","",T315-E315)</f>
        <v/>
      </c>
      <c r="V315" s="41" t="str">
        <f aca="false">IF($E315="","",IFERROR(U315/E315,""))</f>
        <v/>
      </c>
      <c r="W315" s="10" t="str">
        <f aca="false">IF($E315="","",IF($I315&lt;&gt;"","факт","прогноз"))</f>
        <v/>
      </c>
      <c r="X315" s="1"/>
      <c r="Y315" s="1"/>
      <c r="Z315" s="1"/>
      <c r="AA315" s="1"/>
      <c r="AB315" s="1"/>
      <c r="AC315" s="1"/>
      <c r="AD315" s="1"/>
    </row>
    <row r="316" customFormat="false" ht="18" hidden="false" customHeight="true" outlineLevel="0" collapsed="false">
      <c r="A316" s="1"/>
      <c r="B316" s="35"/>
      <c r="C316" s="8"/>
      <c r="D316" s="26"/>
      <c r="E316" s="27"/>
      <c r="F316" s="36"/>
      <c r="G316" s="36"/>
      <c r="H316" s="36"/>
      <c r="I316" s="36"/>
      <c r="J316" s="37" t="str">
        <f aca="false">IF($E316="","",IFERROR(G316/F316,""))</f>
        <v/>
      </c>
      <c r="K316" s="30" t="str">
        <f aca="false">IF($E316="","",IFERROR(E316/G316,""))</f>
        <v/>
      </c>
      <c r="L316" s="30" t="str">
        <f aca="false">IF($E316="","",IFERROR(E316/F316*1000,""))</f>
        <v/>
      </c>
      <c r="M316" s="37" t="str">
        <f aca="false">IF($E316="","",IFERROR(H316/G316,""))</f>
        <v/>
      </c>
      <c r="N316" s="30" t="str">
        <f aca="false">IF($E316="","",IFERROR(E316/H316,"—"))</f>
        <v/>
      </c>
      <c r="O316" s="30" t="str">
        <f aca="false">IF($E316="","",IFERROR(INDEX('Гео-калькулятор'!$K$7:$K$13,MATCH($C316,'Гео-калькулятор'!$B$7:$B$13,0)),""))</f>
        <v/>
      </c>
      <c r="P316" s="38" t="str">
        <f aca="false">IF($E316="","",IFERROR(N316/O316,""))</f>
        <v/>
      </c>
      <c r="Q316" s="39" t="str">
        <f aca="false">IF($E316="","",IF($I316&lt;&gt;"",$I316,N($H316)*IFERROR(INDEX('Гео-калькулятор'!$E$7:$E$13,MATCH($C316,'Гео-калькулятор'!$B$7:$B$13,0)),0)))</f>
        <v/>
      </c>
      <c r="R316" s="38" t="str">
        <f aca="false">IF($E316="","",IFERROR(Q316/H316,""))</f>
        <v/>
      </c>
      <c r="S316" s="30" t="str">
        <f aca="false">IF($E316="","",IFERROR(E316/Q316,"—"))</f>
        <v/>
      </c>
      <c r="T316" s="30" t="str">
        <f aca="false">IF($E316="","",Q316*IFERROR(INDEX('Гео-калькулятор'!$D$7:$D$13,MATCH($C316,'Гео-калькулятор'!$B$7:$B$13,0)),0))</f>
        <v/>
      </c>
      <c r="U316" s="40" t="str">
        <f aca="false">IF($E316="","",T316-E316)</f>
        <v/>
      </c>
      <c r="V316" s="41" t="str">
        <f aca="false">IF($E316="","",IFERROR(U316/E316,""))</f>
        <v/>
      </c>
      <c r="W316" s="10" t="str">
        <f aca="false">IF($E316="","",IF($I316&lt;&gt;"","факт","прогноз"))</f>
        <v/>
      </c>
      <c r="X316" s="1"/>
      <c r="Y316" s="1"/>
      <c r="Z316" s="1"/>
      <c r="AA316" s="1"/>
      <c r="AB316" s="1"/>
      <c r="AC316" s="1"/>
      <c r="AD316" s="1"/>
    </row>
    <row r="317" customFormat="false" ht="18" hidden="false" customHeight="true" outlineLevel="0" collapsed="false">
      <c r="A317" s="1"/>
      <c r="B317" s="35"/>
      <c r="C317" s="8"/>
      <c r="D317" s="26"/>
      <c r="E317" s="27"/>
      <c r="F317" s="36"/>
      <c r="G317" s="36"/>
      <c r="H317" s="36"/>
      <c r="I317" s="36"/>
      <c r="J317" s="37" t="str">
        <f aca="false">IF($E317="","",IFERROR(G317/F317,""))</f>
        <v/>
      </c>
      <c r="K317" s="30" t="str">
        <f aca="false">IF($E317="","",IFERROR(E317/G317,""))</f>
        <v/>
      </c>
      <c r="L317" s="30" t="str">
        <f aca="false">IF($E317="","",IFERROR(E317/F317*1000,""))</f>
        <v/>
      </c>
      <c r="M317" s="37" t="str">
        <f aca="false">IF($E317="","",IFERROR(H317/G317,""))</f>
        <v/>
      </c>
      <c r="N317" s="30" t="str">
        <f aca="false">IF($E317="","",IFERROR(E317/H317,"—"))</f>
        <v/>
      </c>
      <c r="O317" s="30" t="str">
        <f aca="false">IF($E317="","",IFERROR(INDEX('Гео-калькулятор'!$K$7:$K$13,MATCH($C317,'Гео-калькулятор'!$B$7:$B$13,0)),""))</f>
        <v/>
      </c>
      <c r="P317" s="38" t="str">
        <f aca="false">IF($E317="","",IFERROR(N317/O317,""))</f>
        <v/>
      </c>
      <c r="Q317" s="39" t="str">
        <f aca="false">IF($E317="","",IF($I317&lt;&gt;"",$I317,N($H317)*IFERROR(INDEX('Гео-калькулятор'!$E$7:$E$13,MATCH($C317,'Гео-калькулятор'!$B$7:$B$13,0)),0)))</f>
        <v/>
      </c>
      <c r="R317" s="38" t="str">
        <f aca="false">IF($E317="","",IFERROR(Q317/H317,""))</f>
        <v/>
      </c>
      <c r="S317" s="30" t="str">
        <f aca="false">IF($E317="","",IFERROR(E317/Q317,"—"))</f>
        <v/>
      </c>
      <c r="T317" s="30" t="str">
        <f aca="false">IF($E317="","",Q317*IFERROR(INDEX('Гео-калькулятор'!$D$7:$D$13,MATCH($C317,'Гео-калькулятор'!$B$7:$B$13,0)),0))</f>
        <v/>
      </c>
      <c r="U317" s="40" t="str">
        <f aca="false">IF($E317="","",T317-E317)</f>
        <v/>
      </c>
      <c r="V317" s="41" t="str">
        <f aca="false">IF($E317="","",IFERROR(U317/E317,""))</f>
        <v/>
      </c>
      <c r="W317" s="10" t="str">
        <f aca="false">IF($E317="","",IF($I317&lt;&gt;"","факт","прогноз"))</f>
        <v/>
      </c>
      <c r="X317" s="1"/>
      <c r="Y317" s="1"/>
      <c r="Z317" s="1"/>
      <c r="AA317" s="1"/>
      <c r="AB317" s="1"/>
      <c r="AC317" s="1"/>
      <c r="AD317" s="1"/>
    </row>
    <row r="318" customFormat="false" ht="18" hidden="false" customHeight="true" outlineLevel="0" collapsed="false">
      <c r="A318" s="1"/>
      <c r="B318" s="35"/>
      <c r="C318" s="8"/>
      <c r="D318" s="26"/>
      <c r="E318" s="27"/>
      <c r="F318" s="36"/>
      <c r="G318" s="36"/>
      <c r="H318" s="36"/>
      <c r="I318" s="36"/>
      <c r="J318" s="37" t="str">
        <f aca="false">IF($E318="","",IFERROR(G318/F318,""))</f>
        <v/>
      </c>
      <c r="K318" s="30" t="str">
        <f aca="false">IF($E318="","",IFERROR(E318/G318,""))</f>
        <v/>
      </c>
      <c r="L318" s="30" t="str">
        <f aca="false">IF($E318="","",IFERROR(E318/F318*1000,""))</f>
        <v/>
      </c>
      <c r="M318" s="37" t="str">
        <f aca="false">IF($E318="","",IFERROR(H318/G318,""))</f>
        <v/>
      </c>
      <c r="N318" s="30" t="str">
        <f aca="false">IF($E318="","",IFERROR(E318/H318,"—"))</f>
        <v/>
      </c>
      <c r="O318" s="30" t="str">
        <f aca="false">IF($E318="","",IFERROR(INDEX('Гео-калькулятор'!$K$7:$K$13,MATCH($C318,'Гео-калькулятор'!$B$7:$B$13,0)),""))</f>
        <v/>
      </c>
      <c r="P318" s="38" t="str">
        <f aca="false">IF($E318="","",IFERROR(N318/O318,""))</f>
        <v/>
      </c>
      <c r="Q318" s="39" t="str">
        <f aca="false">IF($E318="","",IF($I318&lt;&gt;"",$I318,N($H318)*IFERROR(INDEX('Гео-калькулятор'!$E$7:$E$13,MATCH($C318,'Гео-калькулятор'!$B$7:$B$13,0)),0)))</f>
        <v/>
      </c>
      <c r="R318" s="38" t="str">
        <f aca="false">IF($E318="","",IFERROR(Q318/H318,""))</f>
        <v/>
      </c>
      <c r="S318" s="30" t="str">
        <f aca="false">IF($E318="","",IFERROR(E318/Q318,"—"))</f>
        <v/>
      </c>
      <c r="T318" s="30" t="str">
        <f aca="false">IF($E318="","",Q318*IFERROR(INDEX('Гео-калькулятор'!$D$7:$D$13,MATCH($C318,'Гео-калькулятор'!$B$7:$B$13,0)),0))</f>
        <v/>
      </c>
      <c r="U318" s="40" t="str">
        <f aca="false">IF($E318="","",T318-E318)</f>
        <v/>
      </c>
      <c r="V318" s="41" t="str">
        <f aca="false">IF($E318="","",IFERROR(U318/E318,""))</f>
        <v/>
      </c>
      <c r="W318" s="10" t="str">
        <f aca="false">IF($E318="","",IF($I318&lt;&gt;"","факт","прогноз"))</f>
        <v/>
      </c>
      <c r="X318" s="1"/>
      <c r="Y318" s="1"/>
      <c r="Z318" s="1"/>
      <c r="AA318" s="1"/>
      <c r="AB318" s="1"/>
      <c r="AC318" s="1"/>
      <c r="AD318" s="1"/>
    </row>
    <row r="319" customFormat="false" ht="18" hidden="false" customHeight="true" outlineLevel="0" collapsed="false">
      <c r="A319" s="1"/>
      <c r="B319" s="35"/>
      <c r="C319" s="8"/>
      <c r="D319" s="26"/>
      <c r="E319" s="27"/>
      <c r="F319" s="36"/>
      <c r="G319" s="36"/>
      <c r="H319" s="36"/>
      <c r="I319" s="36"/>
      <c r="J319" s="37" t="str">
        <f aca="false">IF($E319="","",IFERROR(G319/F319,""))</f>
        <v/>
      </c>
      <c r="K319" s="30" t="str">
        <f aca="false">IF($E319="","",IFERROR(E319/G319,""))</f>
        <v/>
      </c>
      <c r="L319" s="30" t="str">
        <f aca="false">IF($E319="","",IFERROR(E319/F319*1000,""))</f>
        <v/>
      </c>
      <c r="M319" s="37" t="str">
        <f aca="false">IF($E319="","",IFERROR(H319/G319,""))</f>
        <v/>
      </c>
      <c r="N319" s="30" t="str">
        <f aca="false">IF($E319="","",IFERROR(E319/H319,"—"))</f>
        <v/>
      </c>
      <c r="O319" s="30" t="str">
        <f aca="false">IF($E319="","",IFERROR(INDEX('Гео-калькулятор'!$K$7:$K$13,MATCH($C319,'Гео-калькулятор'!$B$7:$B$13,0)),""))</f>
        <v/>
      </c>
      <c r="P319" s="38" t="str">
        <f aca="false">IF($E319="","",IFERROR(N319/O319,""))</f>
        <v/>
      </c>
      <c r="Q319" s="39" t="str">
        <f aca="false">IF($E319="","",IF($I319&lt;&gt;"",$I319,N($H319)*IFERROR(INDEX('Гео-калькулятор'!$E$7:$E$13,MATCH($C319,'Гео-калькулятор'!$B$7:$B$13,0)),0)))</f>
        <v/>
      </c>
      <c r="R319" s="38" t="str">
        <f aca="false">IF($E319="","",IFERROR(Q319/H319,""))</f>
        <v/>
      </c>
      <c r="S319" s="30" t="str">
        <f aca="false">IF($E319="","",IFERROR(E319/Q319,"—"))</f>
        <v/>
      </c>
      <c r="T319" s="30" t="str">
        <f aca="false">IF($E319="","",Q319*IFERROR(INDEX('Гео-калькулятор'!$D$7:$D$13,MATCH($C319,'Гео-калькулятор'!$B$7:$B$13,0)),0))</f>
        <v/>
      </c>
      <c r="U319" s="40" t="str">
        <f aca="false">IF($E319="","",T319-E319)</f>
        <v/>
      </c>
      <c r="V319" s="41" t="str">
        <f aca="false">IF($E319="","",IFERROR(U319/E319,""))</f>
        <v/>
      </c>
      <c r="W319" s="10" t="str">
        <f aca="false">IF($E319="","",IF($I319&lt;&gt;"","факт","прогноз"))</f>
        <v/>
      </c>
      <c r="X319" s="1"/>
      <c r="Y319" s="1"/>
      <c r="Z319" s="1"/>
      <c r="AA319" s="1"/>
      <c r="AB319" s="1"/>
      <c r="AC319" s="1"/>
      <c r="AD319" s="1"/>
    </row>
    <row r="320" customFormat="false" ht="18" hidden="false" customHeight="true" outlineLevel="0" collapsed="false">
      <c r="A320" s="1"/>
      <c r="B320" s="35"/>
      <c r="C320" s="8"/>
      <c r="D320" s="26"/>
      <c r="E320" s="27"/>
      <c r="F320" s="36"/>
      <c r="G320" s="36"/>
      <c r="H320" s="36"/>
      <c r="I320" s="36"/>
      <c r="J320" s="37" t="str">
        <f aca="false">IF($E320="","",IFERROR(G320/F320,""))</f>
        <v/>
      </c>
      <c r="K320" s="30" t="str">
        <f aca="false">IF($E320="","",IFERROR(E320/G320,""))</f>
        <v/>
      </c>
      <c r="L320" s="30" t="str">
        <f aca="false">IF($E320="","",IFERROR(E320/F320*1000,""))</f>
        <v/>
      </c>
      <c r="M320" s="37" t="str">
        <f aca="false">IF($E320="","",IFERROR(H320/G320,""))</f>
        <v/>
      </c>
      <c r="N320" s="30" t="str">
        <f aca="false">IF($E320="","",IFERROR(E320/H320,"—"))</f>
        <v/>
      </c>
      <c r="O320" s="30" t="str">
        <f aca="false">IF($E320="","",IFERROR(INDEX('Гео-калькулятор'!$K$7:$K$13,MATCH($C320,'Гео-калькулятор'!$B$7:$B$13,0)),""))</f>
        <v/>
      </c>
      <c r="P320" s="38" t="str">
        <f aca="false">IF($E320="","",IFERROR(N320/O320,""))</f>
        <v/>
      </c>
      <c r="Q320" s="39" t="str">
        <f aca="false">IF($E320="","",IF($I320&lt;&gt;"",$I320,N($H320)*IFERROR(INDEX('Гео-калькулятор'!$E$7:$E$13,MATCH($C320,'Гео-калькулятор'!$B$7:$B$13,0)),0)))</f>
        <v/>
      </c>
      <c r="R320" s="38" t="str">
        <f aca="false">IF($E320="","",IFERROR(Q320/H320,""))</f>
        <v/>
      </c>
      <c r="S320" s="30" t="str">
        <f aca="false">IF($E320="","",IFERROR(E320/Q320,"—"))</f>
        <v/>
      </c>
      <c r="T320" s="30" t="str">
        <f aca="false">IF($E320="","",Q320*IFERROR(INDEX('Гео-калькулятор'!$D$7:$D$13,MATCH($C320,'Гео-калькулятор'!$B$7:$B$13,0)),0))</f>
        <v/>
      </c>
      <c r="U320" s="40" t="str">
        <f aca="false">IF($E320="","",T320-E320)</f>
        <v/>
      </c>
      <c r="V320" s="41" t="str">
        <f aca="false">IF($E320="","",IFERROR(U320/E320,""))</f>
        <v/>
      </c>
      <c r="W320" s="10" t="str">
        <f aca="false">IF($E320="","",IF($I320&lt;&gt;"","факт","прогноз"))</f>
        <v/>
      </c>
      <c r="X320" s="1"/>
      <c r="Y320" s="1"/>
      <c r="Z320" s="1"/>
      <c r="AA320" s="1"/>
      <c r="AB320" s="1"/>
      <c r="AC320" s="1"/>
      <c r="AD320" s="1"/>
    </row>
    <row r="321" customFormat="false" ht="18" hidden="false" customHeight="true" outlineLevel="0" collapsed="false">
      <c r="A321" s="1"/>
      <c r="B321" s="35"/>
      <c r="C321" s="8"/>
      <c r="D321" s="26"/>
      <c r="E321" s="27"/>
      <c r="F321" s="36"/>
      <c r="G321" s="36"/>
      <c r="H321" s="36"/>
      <c r="I321" s="36"/>
      <c r="J321" s="37" t="str">
        <f aca="false">IF($E321="","",IFERROR(G321/F321,""))</f>
        <v/>
      </c>
      <c r="K321" s="30" t="str">
        <f aca="false">IF($E321="","",IFERROR(E321/G321,""))</f>
        <v/>
      </c>
      <c r="L321" s="30" t="str">
        <f aca="false">IF($E321="","",IFERROR(E321/F321*1000,""))</f>
        <v/>
      </c>
      <c r="M321" s="37" t="str">
        <f aca="false">IF($E321="","",IFERROR(H321/G321,""))</f>
        <v/>
      </c>
      <c r="N321" s="30" t="str">
        <f aca="false">IF($E321="","",IFERROR(E321/H321,"—"))</f>
        <v/>
      </c>
      <c r="O321" s="30" t="str">
        <f aca="false">IF($E321="","",IFERROR(INDEX('Гео-калькулятор'!$K$7:$K$13,MATCH($C321,'Гео-калькулятор'!$B$7:$B$13,0)),""))</f>
        <v/>
      </c>
      <c r="P321" s="38" t="str">
        <f aca="false">IF($E321="","",IFERROR(N321/O321,""))</f>
        <v/>
      </c>
      <c r="Q321" s="39" t="str">
        <f aca="false">IF($E321="","",IF($I321&lt;&gt;"",$I321,N($H321)*IFERROR(INDEX('Гео-калькулятор'!$E$7:$E$13,MATCH($C321,'Гео-калькулятор'!$B$7:$B$13,0)),0)))</f>
        <v/>
      </c>
      <c r="R321" s="38" t="str">
        <f aca="false">IF($E321="","",IFERROR(Q321/H321,""))</f>
        <v/>
      </c>
      <c r="S321" s="30" t="str">
        <f aca="false">IF($E321="","",IFERROR(E321/Q321,"—"))</f>
        <v/>
      </c>
      <c r="T321" s="30" t="str">
        <f aca="false">IF($E321="","",Q321*IFERROR(INDEX('Гео-калькулятор'!$D$7:$D$13,MATCH($C321,'Гео-калькулятор'!$B$7:$B$13,0)),0))</f>
        <v/>
      </c>
      <c r="U321" s="40" t="str">
        <f aca="false">IF($E321="","",T321-E321)</f>
        <v/>
      </c>
      <c r="V321" s="41" t="str">
        <f aca="false">IF($E321="","",IFERROR(U321/E321,""))</f>
        <v/>
      </c>
      <c r="W321" s="10" t="str">
        <f aca="false">IF($E321="","",IF($I321&lt;&gt;"","факт","прогноз"))</f>
        <v/>
      </c>
      <c r="X321" s="1"/>
      <c r="Y321" s="1"/>
      <c r="Z321" s="1"/>
      <c r="AA321" s="1"/>
      <c r="AB321" s="1"/>
      <c r="AC321" s="1"/>
      <c r="AD321" s="1"/>
    </row>
    <row r="322" customFormat="false" ht="18" hidden="false" customHeight="true" outlineLevel="0" collapsed="false">
      <c r="A322" s="1"/>
      <c r="B322" s="35"/>
      <c r="C322" s="8"/>
      <c r="D322" s="26"/>
      <c r="E322" s="27"/>
      <c r="F322" s="36"/>
      <c r="G322" s="36"/>
      <c r="H322" s="36"/>
      <c r="I322" s="36"/>
      <c r="J322" s="37" t="str">
        <f aca="false">IF($E322="","",IFERROR(G322/F322,""))</f>
        <v/>
      </c>
      <c r="K322" s="30" t="str">
        <f aca="false">IF($E322="","",IFERROR(E322/G322,""))</f>
        <v/>
      </c>
      <c r="L322" s="30" t="str">
        <f aca="false">IF($E322="","",IFERROR(E322/F322*1000,""))</f>
        <v/>
      </c>
      <c r="M322" s="37" t="str">
        <f aca="false">IF($E322="","",IFERROR(H322/G322,""))</f>
        <v/>
      </c>
      <c r="N322" s="30" t="str">
        <f aca="false">IF($E322="","",IFERROR(E322/H322,"—"))</f>
        <v/>
      </c>
      <c r="O322" s="30" t="str">
        <f aca="false">IF($E322="","",IFERROR(INDEX('Гео-калькулятор'!$K$7:$K$13,MATCH($C322,'Гео-калькулятор'!$B$7:$B$13,0)),""))</f>
        <v/>
      </c>
      <c r="P322" s="38" t="str">
        <f aca="false">IF($E322="","",IFERROR(N322/O322,""))</f>
        <v/>
      </c>
      <c r="Q322" s="39" t="str">
        <f aca="false">IF($E322="","",IF($I322&lt;&gt;"",$I322,N($H322)*IFERROR(INDEX('Гео-калькулятор'!$E$7:$E$13,MATCH($C322,'Гео-калькулятор'!$B$7:$B$13,0)),0)))</f>
        <v/>
      </c>
      <c r="R322" s="38" t="str">
        <f aca="false">IF($E322="","",IFERROR(Q322/H322,""))</f>
        <v/>
      </c>
      <c r="S322" s="30" t="str">
        <f aca="false">IF($E322="","",IFERROR(E322/Q322,"—"))</f>
        <v/>
      </c>
      <c r="T322" s="30" t="str">
        <f aca="false">IF($E322="","",Q322*IFERROR(INDEX('Гео-калькулятор'!$D$7:$D$13,MATCH($C322,'Гео-калькулятор'!$B$7:$B$13,0)),0))</f>
        <v/>
      </c>
      <c r="U322" s="40" t="str">
        <f aca="false">IF($E322="","",T322-E322)</f>
        <v/>
      </c>
      <c r="V322" s="41" t="str">
        <f aca="false">IF($E322="","",IFERROR(U322/E322,""))</f>
        <v/>
      </c>
      <c r="W322" s="10" t="str">
        <f aca="false">IF($E322="","",IF($I322&lt;&gt;"","факт","прогноз"))</f>
        <v/>
      </c>
      <c r="X322" s="1"/>
      <c r="Y322" s="1"/>
      <c r="Z322" s="1"/>
      <c r="AA322" s="1"/>
      <c r="AB322" s="1"/>
      <c r="AC322" s="1"/>
      <c r="AD322" s="1"/>
    </row>
    <row r="323" customFormat="false" ht="18" hidden="false" customHeight="true" outlineLevel="0" collapsed="false">
      <c r="A323" s="1"/>
      <c r="B323" s="35"/>
      <c r="C323" s="8"/>
      <c r="D323" s="26"/>
      <c r="E323" s="27"/>
      <c r="F323" s="36"/>
      <c r="G323" s="36"/>
      <c r="H323" s="36"/>
      <c r="I323" s="36"/>
      <c r="J323" s="37" t="str">
        <f aca="false">IF($E323="","",IFERROR(G323/F323,""))</f>
        <v/>
      </c>
      <c r="K323" s="30" t="str">
        <f aca="false">IF($E323="","",IFERROR(E323/G323,""))</f>
        <v/>
      </c>
      <c r="L323" s="30" t="str">
        <f aca="false">IF($E323="","",IFERROR(E323/F323*1000,""))</f>
        <v/>
      </c>
      <c r="M323" s="37" t="str">
        <f aca="false">IF($E323="","",IFERROR(H323/G323,""))</f>
        <v/>
      </c>
      <c r="N323" s="30" t="str">
        <f aca="false">IF($E323="","",IFERROR(E323/H323,"—"))</f>
        <v/>
      </c>
      <c r="O323" s="30" t="str">
        <f aca="false">IF($E323="","",IFERROR(INDEX('Гео-калькулятор'!$K$7:$K$13,MATCH($C323,'Гео-калькулятор'!$B$7:$B$13,0)),""))</f>
        <v/>
      </c>
      <c r="P323" s="38" t="str">
        <f aca="false">IF($E323="","",IFERROR(N323/O323,""))</f>
        <v/>
      </c>
      <c r="Q323" s="39" t="str">
        <f aca="false">IF($E323="","",IF($I323&lt;&gt;"",$I323,N($H323)*IFERROR(INDEX('Гео-калькулятор'!$E$7:$E$13,MATCH($C323,'Гео-калькулятор'!$B$7:$B$13,0)),0)))</f>
        <v/>
      </c>
      <c r="R323" s="38" t="str">
        <f aca="false">IF($E323="","",IFERROR(Q323/H323,""))</f>
        <v/>
      </c>
      <c r="S323" s="30" t="str">
        <f aca="false">IF($E323="","",IFERROR(E323/Q323,"—"))</f>
        <v/>
      </c>
      <c r="T323" s="30" t="str">
        <f aca="false">IF($E323="","",Q323*IFERROR(INDEX('Гео-калькулятор'!$D$7:$D$13,MATCH($C323,'Гео-калькулятор'!$B$7:$B$13,0)),0))</f>
        <v/>
      </c>
      <c r="U323" s="40" t="str">
        <f aca="false">IF($E323="","",T323-E323)</f>
        <v/>
      </c>
      <c r="V323" s="41" t="str">
        <f aca="false">IF($E323="","",IFERROR(U323/E323,""))</f>
        <v/>
      </c>
      <c r="W323" s="10" t="str">
        <f aca="false">IF($E323="","",IF($I323&lt;&gt;"","факт","прогноз"))</f>
        <v/>
      </c>
      <c r="X323" s="1"/>
      <c r="Y323" s="1"/>
      <c r="Z323" s="1"/>
      <c r="AA323" s="1"/>
      <c r="AB323" s="1"/>
      <c r="AC323" s="1"/>
      <c r="AD323" s="1"/>
    </row>
    <row r="324" customFormat="false" ht="18" hidden="false" customHeight="true" outlineLevel="0" collapsed="false">
      <c r="A324" s="1"/>
      <c r="B324" s="35"/>
      <c r="C324" s="8"/>
      <c r="D324" s="26"/>
      <c r="E324" s="27"/>
      <c r="F324" s="36"/>
      <c r="G324" s="36"/>
      <c r="H324" s="36"/>
      <c r="I324" s="36"/>
      <c r="J324" s="37" t="str">
        <f aca="false">IF($E324="","",IFERROR(G324/F324,""))</f>
        <v/>
      </c>
      <c r="K324" s="30" t="str">
        <f aca="false">IF($E324="","",IFERROR(E324/G324,""))</f>
        <v/>
      </c>
      <c r="L324" s="30" t="str">
        <f aca="false">IF($E324="","",IFERROR(E324/F324*1000,""))</f>
        <v/>
      </c>
      <c r="M324" s="37" t="str">
        <f aca="false">IF($E324="","",IFERROR(H324/G324,""))</f>
        <v/>
      </c>
      <c r="N324" s="30" t="str">
        <f aca="false">IF($E324="","",IFERROR(E324/H324,"—"))</f>
        <v/>
      </c>
      <c r="O324" s="30" t="str">
        <f aca="false">IF($E324="","",IFERROR(INDEX('Гео-калькулятор'!$K$7:$K$13,MATCH($C324,'Гео-калькулятор'!$B$7:$B$13,0)),""))</f>
        <v/>
      </c>
      <c r="P324" s="38" t="str">
        <f aca="false">IF($E324="","",IFERROR(N324/O324,""))</f>
        <v/>
      </c>
      <c r="Q324" s="39" t="str">
        <f aca="false">IF($E324="","",IF($I324&lt;&gt;"",$I324,N($H324)*IFERROR(INDEX('Гео-калькулятор'!$E$7:$E$13,MATCH($C324,'Гео-калькулятор'!$B$7:$B$13,0)),0)))</f>
        <v/>
      </c>
      <c r="R324" s="38" t="str">
        <f aca="false">IF($E324="","",IFERROR(Q324/H324,""))</f>
        <v/>
      </c>
      <c r="S324" s="30" t="str">
        <f aca="false">IF($E324="","",IFERROR(E324/Q324,"—"))</f>
        <v/>
      </c>
      <c r="T324" s="30" t="str">
        <f aca="false">IF($E324="","",Q324*IFERROR(INDEX('Гео-калькулятор'!$D$7:$D$13,MATCH($C324,'Гео-калькулятор'!$B$7:$B$13,0)),0))</f>
        <v/>
      </c>
      <c r="U324" s="40" t="str">
        <f aca="false">IF($E324="","",T324-E324)</f>
        <v/>
      </c>
      <c r="V324" s="41" t="str">
        <f aca="false">IF($E324="","",IFERROR(U324/E324,""))</f>
        <v/>
      </c>
      <c r="W324" s="10" t="str">
        <f aca="false">IF($E324="","",IF($I324&lt;&gt;"","факт","прогноз"))</f>
        <v/>
      </c>
      <c r="X324" s="1"/>
      <c r="Y324" s="1"/>
      <c r="Z324" s="1"/>
      <c r="AA324" s="1"/>
      <c r="AB324" s="1"/>
      <c r="AC324" s="1"/>
      <c r="AD324" s="1"/>
    </row>
    <row r="325" customFormat="false" ht="18" hidden="false" customHeight="true" outlineLevel="0" collapsed="false">
      <c r="A325" s="1"/>
      <c r="B325" s="35"/>
      <c r="C325" s="8"/>
      <c r="D325" s="26"/>
      <c r="E325" s="27"/>
      <c r="F325" s="36"/>
      <c r="G325" s="36"/>
      <c r="H325" s="36"/>
      <c r="I325" s="36"/>
      <c r="J325" s="37" t="str">
        <f aca="false">IF($E325="","",IFERROR(G325/F325,""))</f>
        <v/>
      </c>
      <c r="K325" s="30" t="str">
        <f aca="false">IF($E325="","",IFERROR(E325/G325,""))</f>
        <v/>
      </c>
      <c r="L325" s="30" t="str">
        <f aca="false">IF($E325="","",IFERROR(E325/F325*1000,""))</f>
        <v/>
      </c>
      <c r="M325" s="37" t="str">
        <f aca="false">IF($E325="","",IFERROR(H325/G325,""))</f>
        <v/>
      </c>
      <c r="N325" s="30" t="str">
        <f aca="false">IF($E325="","",IFERROR(E325/H325,"—"))</f>
        <v/>
      </c>
      <c r="O325" s="30" t="str">
        <f aca="false">IF($E325="","",IFERROR(INDEX('Гео-калькулятор'!$K$7:$K$13,MATCH($C325,'Гео-калькулятор'!$B$7:$B$13,0)),""))</f>
        <v/>
      </c>
      <c r="P325" s="38" t="str">
        <f aca="false">IF($E325="","",IFERROR(N325/O325,""))</f>
        <v/>
      </c>
      <c r="Q325" s="39" t="str">
        <f aca="false">IF($E325="","",IF($I325&lt;&gt;"",$I325,N($H325)*IFERROR(INDEX('Гео-калькулятор'!$E$7:$E$13,MATCH($C325,'Гео-калькулятор'!$B$7:$B$13,0)),0)))</f>
        <v/>
      </c>
      <c r="R325" s="38" t="str">
        <f aca="false">IF($E325="","",IFERROR(Q325/H325,""))</f>
        <v/>
      </c>
      <c r="S325" s="30" t="str">
        <f aca="false">IF($E325="","",IFERROR(E325/Q325,"—"))</f>
        <v/>
      </c>
      <c r="T325" s="30" t="str">
        <f aca="false">IF($E325="","",Q325*IFERROR(INDEX('Гео-калькулятор'!$D$7:$D$13,MATCH($C325,'Гео-калькулятор'!$B$7:$B$13,0)),0))</f>
        <v/>
      </c>
      <c r="U325" s="40" t="str">
        <f aca="false">IF($E325="","",T325-E325)</f>
        <v/>
      </c>
      <c r="V325" s="41" t="str">
        <f aca="false">IF($E325="","",IFERROR(U325/E325,""))</f>
        <v/>
      </c>
      <c r="W325" s="10" t="str">
        <f aca="false">IF($E325="","",IF($I325&lt;&gt;"","факт","прогноз"))</f>
        <v/>
      </c>
      <c r="X325" s="1"/>
      <c r="Y325" s="1"/>
      <c r="Z325" s="1"/>
      <c r="AA325" s="1"/>
      <c r="AB325" s="1"/>
      <c r="AC325" s="1"/>
      <c r="AD325" s="1"/>
    </row>
    <row r="326" customFormat="false" ht="18" hidden="false" customHeight="true" outlineLevel="0" collapsed="false">
      <c r="A326" s="1"/>
      <c r="B326" s="35"/>
      <c r="C326" s="8"/>
      <c r="D326" s="26"/>
      <c r="E326" s="27"/>
      <c r="F326" s="36"/>
      <c r="G326" s="36"/>
      <c r="H326" s="36"/>
      <c r="I326" s="36"/>
      <c r="J326" s="37" t="str">
        <f aca="false">IF($E326="","",IFERROR(G326/F326,""))</f>
        <v/>
      </c>
      <c r="K326" s="30" t="str">
        <f aca="false">IF($E326="","",IFERROR(E326/G326,""))</f>
        <v/>
      </c>
      <c r="L326" s="30" t="str">
        <f aca="false">IF($E326="","",IFERROR(E326/F326*1000,""))</f>
        <v/>
      </c>
      <c r="M326" s="37" t="str">
        <f aca="false">IF($E326="","",IFERROR(H326/G326,""))</f>
        <v/>
      </c>
      <c r="N326" s="30" t="str">
        <f aca="false">IF($E326="","",IFERROR(E326/H326,"—"))</f>
        <v/>
      </c>
      <c r="O326" s="30" t="str">
        <f aca="false">IF($E326="","",IFERROR(INDEX('Гео-калькулятор'!$K$7:$K$13,MATCH($C326,'Гео-калькулятор'!$B$7:$B$13,0)),""))</f>
        <v/>
      </c>
      <c r="P326" s="38" t="str">
        <f aca="false">IF($E326="","",IFERROR(N326/O326,""))</f>
        <v/>
      </c>
      <c r="Q326" s="39" t="str">
        <f aca="false">IF($E326="","",IF($I326&lt;&gt;"",$I326,N($H326)*IFERROR(INDEX('Гео-калькулятор'!$E$7:$E$13,MATCH($C326,'Гео-калькулятор'!$B$7:$B$13,0)),0)))</f>
        <v/>
      </c>
      <c r="R326" s="38" t="str">
        <f aca="false">IF($E326="","",IFERROR(Q326/H326,""))</f>
        <v/>
      </c>
      <c r="S326" s="30" t="str">
        <f aca="false">IF($E326="","",IFERROR(E326/Q326,"—"))</f>
        <v/>
      </c>
      <c r="T326" s="30" t="str">
        <f aca="false">IF($E326="","",Q326*IFERROR(INDEX('Гео-калькулятор'!$D$7:$D$13,MATCH($C326,'Гео-калькулятор'!$B$7:$B$13,0)),0))</f>
        <v/>
      </c>
      <c r="U326" s="40" t="str">
        <f aca="false">IF($E326="","",T326-E326)</f>
        <v/>
      </c>
      <c r="V326" s="41" t="str">
        <f aca="false">IF($E326="","",IFERROR(U326/E326,""))</f>
        <v/>
      </c>
      <c r="W326" s="10" t="str">
        <f aca="false">IF($E326="","",IF($I326&lt;&gt;"","факт","прогноз"))</f>
        <v/>
      </c>
      <c r="X326" s="1"/>
      <c r="Y326" s="1"/>
      <c r="Z326" s="1"/>
      <c r="AA326" s="1"/>
      <c r="AB326" s="1"/>
      <c r="AC326" s="1"/>
      <c r="AD326" s="1"/>
    </row>
    <row r="327" customFormat="false" ht="18" hidden="false" customHeight="true" outlineLevel="0" collapsed="false">
      <c r="A327" s="1"/>
      <c r="B327" s="35"/>
      <c r="C327" s="8"/>
      <c r="D327" s="26"/>
      <c r="E327" s="27"/>
      <c r="F327" s="36"/>
      <c r="G327" s="36"/>
      <c r="H327" s="36"/>
      <c r="I327" s="36"/>
      <c r="J327" s="37" t="str">
        <f aca="false">IF($E327="","",IFERROR(G327/F327,""))</f>
        <v/>
      </c>
      <c r="K327" s="30" t="str">
        <f aca="false">IF($E327="","",IFERROR(E327/G327,""))</f>
        <v/>
      </c>
      <c r="L327" s="30" t="str">
        <f aca="false">IF($E327="","",IFERROR(E327/F327*1000,""))</f>
        <v/>
      </c>
      <c r="M327" s="37" t="str">
        <f aca="false">IF($E327="","",IFERROR(H327/G327,""))</f>
        <v/>
      </c>
      <c r="N327" s="30" t="str">
        <f aca="false">IF($E327="","",IFERROR(E327/H327,"—"))</f>
        <v/>
      </c>
      <c r="O327" s="30" t="str">
        <f aca="false">IF($E327="","",IFERROR(INDEX('Гео-калькулятор'!$K$7:$K$13,MATCH($C327,'Гео-калькулятор'!$B$7:$B$13,0)),""))</f>
        <v/>
      </c>
      <c r="P327" s="38" t="str">
        <f aca="false">IF($E327="","",IFERROR(N327/O327,""))</f>
        <v/>
      </c>
      <c r="Q327" s="39" t="str">
        <f aca="false">IF($E327="","",IF($I327&lt;&gt;"",$I327,N($H327)*IFERROR(INDEX('Гео-калькулятор'!$E$7:$E$13,MATCH($C327,'Гео-калькулятор'!$B$7:$B$13,0)),0)))</f>
        <v/>
      </c>
      <c r="R327" s="38" t="str">
        <f aca="false">IF($E327="","",IFERROR(Q327/H327,""))</f>
        <v/>
      </c>
      <c r="S327" s="30" t="str">
        <f aca="false">IF($E327="","",IFERROR(E327/Q327,"—"))</f>
        <v/>
      </c>
      <c r="T327" s="30" t="str">
        <f aca="false">IF($E327="","",Q327*IFERROR(INDEX('Гео-калькулятор'!$D$7:$D$13,MATCH($C327,'Гео-калькулятор'!$B$7:$B$13,0)),0))</f>
        <v/>
      </c>
      <c r="U327" s="40" t="str">
        <f aca="false">IF($E327="","",T327-E327)</f>
        <v/>
      </c>
      <c r="V327" s="41" t="str">
        <f aca="false">IF($E327="","",IFERROR(U327/E327,""))</f>
        <v/>
      </c>
      <c r="W327" s="10" t="str">
        <f aca="false">IF($E327="","",IF($I327&lt;&gt;"","факт","прогноз"))</f>
        <v/>
      </c>
      <c r="X327" s="1"/>
      <c r="Y327" s="1"/>
      <c r="Z327" s="1"/>
      <c r="AA327" s="1"/>
      <c r="AB327" s="1"/>
      <c r="AC327" s="1"/>
      <c r="AD327" s="1"/>
    </row>
    <row r="328" customFormat="false" ht="18" hidden="false" customHeight="true" outlineLevel="0" collapsed="false">
      <c r="A328" s="1"/>
      <c r="B328" s="35"/>
      <c r="C328" s="8"/>
      <c r="D328" s="26"/>
      <c r="E328" s="27"/>
      <c r="F328" s="36"/>
      <c r="G328" s="36"/>
      <c r="H328" s="36"/>
      <c r="I328" s="36"/>
      <c r="J328" s="37" t="str">
        <f aca="false">IF($E328="","",IFERROR(G328/F328,""))</f>
        <v/>
      </c>
      <c r="K328" s="30" t="str">
        <f aca="false">IF($E328="","",IFERROR(E328/G328,""))</f>
        <v/>
      </c>
      <c r="L328" s="30" t="str">
        <f aca="false">IF($E328="","",IFERROR(E328/F328*1000,""))</f>
        <v/>
      </c>
      <c r="M328" s="37" t="str">
        <f aca="false">IF($E328="","",IFERROR(H328/G328,""))</f>
        <v/>
      </c>
      <c r="N328" s="30" t="str">
        <f aca="false">IF($E328="","",IFERROR(E328/H328,"—"))</f>
        <v/>
      </c>
      <c r="O328" s="30" t="str">
        <f aca="false">IF($E328="","",IFERROR(INDEX('Гео-калькулятор'!$K$7:$K$13,MATCH($C328,'Гео-калькулятор'!$B$7:$B$13,0)),""))</f>
        <v/>
      </c>
      <c r="P328" s="38" t="str">
        <f aca="false">IF($E328="","",IFERROR(N328/O328,""))</f>
        <v/>
      </c>
      <c r="Q328" s="39" t="str">
        <f aca="false">IF($E328="","",IF($I328&lt;&gt;"",$I328,N($H328)*IFERROR(INDEX('Гео-калькулятор'!$E$7:$E$13,MATCH($C328,'Гео-калькулятор'!$B$7:$B$13,0)),0)))</f>
        <v/>
      </c>
      <c r="R328" s="38" t="str">
        <f aca="false">IF($E328="","",IFERROR(Q328/H328,""))</f>
        <v/>
      </c>
      <c r="S328" s="30" t="str">
        <f aca="false">IF($E328="","",IFERROR(E328/Q328,"—"))</f>
        <v/>
      </c>
      <c r="T328" s="30" t="str">
        <f aca="false">IF($E328="","",Q328*IFERROR(INDEX('Гео-калькулятор'!$D$7:$D$13,MATCH($C328,'Гео-калькулятор'!$B$7:$B$13,0)),0))</f>
        <v/>
      </c>
      <c r="U328" s="40" t="str">
        <f aca="false">IF($E328="","",T328-E328)</f>
        <v/>
      </c>
      <c r="V328" s="41" t="str">
        <f aca="false">IF($E328="","",IFERROR(U328/E328,""))</f>
        <v/>
      </c>
      <c r="W328" s="10" t="str">
        <f aca="false">IF($E328="","",IF($I328&lt;&gt;"","факт","прогноз"))</f>
        <v/>
      </c>
      <c r="X328" s="1"/>
      <c r="Y328" s="1"/>
      <c r="Z328" s="1"/>
      <c r="AA328" s="1"/>
      <c r="AB328" s="1"/>
      <c r="AC328" s="1"/>
      <c r="AD328" s="1"/>
    </row>
    <row r="329" customFormat="false" ht="18" hidden="false" customHeight="true" outlineLevel="0" collapsed="false">
      <c r="A329" s="1"/>
      <c r="B329" s="35"/>
      <c r="C329" s="8"/>
      <c r="D329" s="26"/>
      <c r="E329" s="27"/>
      <c r="F329" s="36"/>
      <c r="G329" s="36"/>
      <c r="H329" s="36"/>
      <c r="I329" s="36"/>
      <c r="J329" s="37" t="str">
        <f aca="false">IF($E329="","",IFERROR(G329/F329,""))</f>
        <v/>
      </c>
      <c r="K329" s="30" t="str">
        <f aca="false">IF($E329="","",IFERROR(E329/G329,""))</f>
        <v/>
      </c>
      <c r="L329" s="30" t="str">
        <f aca="false">IF($E329="","",IFERROR(E329/F329*1000,""))</f>
        <v/>
      </c>
      <c r="M329" s="37" t="str">
        <f aca="false">IF($E329="","",IFERROR(H329/G329,""))</f>
        <v/>
      </c>
      <c r="N329" s="30" t="str">
        <f aca="false">IF($E329="","",IFERROR(E329/H329,"—"))</f>
        <v/>
      </c>
      <c r="O329" s="30" t="str">
        <f aca="false">IF($E329="","",IFERROR(INDEX('Гео-калькулятор'!$K$7:$K$13,MATCH($C329,'Гео-калькулятор'!$B$7:$B$13,0)),""))</f>
        <v/>
      </c>
      <c r="P329" s="38" t="str">
        <f aca="false">IF($E329="","",IFERROR(N329/O329,""))</f>
        <v/>
      </c>
      <c r="Q329" s="39" t="str">
        <f aca="false">IF($E329="","",IF($I329&lt;&gt;"",$I329,N($H329)*IFERROR(INDEX('Гео-калькулятор'!$E$7:$E$13,MATCH($C329,'Гео-калькулятор'!$B$7:$B$13,0)),0)))</f>
        <v/>
      </c>
      <c r="R329" s="38" t="str">
        <f aca="false">IF($E329="","",IFERROR(Q329/H329,""))</f>
        <v/>
      </c>
      <c r="S329" s="30" t="str">
        <f aca="false">IF($E329="","",IFERROR(E329/Q329,"—"))</f>
        <v/>
      </c>
      <c r="T329" s="30" t="str">
        <f aca="false">IF($E329="","",Q329*IFERROR(INDEX('Гео-калькулятор'!$D$7:$D$13,MATCH($C329,'Гео-калькулятор'!$B$7:$B$13,0)),0))</f>
        <v/>
      </c>
      <c r="U329" s="40" t="str">
        <f aca="false">IF($E329="","",T329-E329)</f>
        <v/>
      </c>
      <c r="V329" s="41" t="str">
        <f aca="false">IF($E329="","",IFERROR(U329/E329,""))</f>
        <v/>
      </c>
      <c r="W329" s="10" t="str">
        <f aca="false">IF($E329="","",IF($I329&lt;&gt;"","факт","прогноз"))</f>
        <v/>
      </c>
      <c r="X329" s="1"/>
      <c r="Y329" s="1"/>
      <c r="Z329" s="1"/>
      <c r="AA329" s="1"/>
      <c r="AB329" s="1"/>
      <c r="AC329" s="1"/>
      <c r="AD329" s="1"/>
    </row>
    <row r="330" customFormat="false" ht="18" hidden="false" customHeight="true" outlineLevel="0" collapsed="false">
      <c r="A330" s="1"/>
      <c r="B330" s="35"/>
      <c r="C330" s="8"/>
      <c r="D330" s="26"/>
      <c r="E330" s="27"/>
      <c r="F330" s="36"/>
      <c r="G330" s="36"/>
      <c r="H330" s="36"/>
      <c r="I330" s="36"/>
      <c r="J330" s="37" t="str">
        <f aca="false">IF($E330="","",IFERROR(G330/F330,""))</f>
        <v/>
      </c>
      <c r="K330" s="30" t="str">
        <f aca="false">IF($E330="","",IFERROR(E330/G330,""))</f>
        <v/>
      </c>
      <c r="L330" s="30" t="str">
        <f aca="false">IF($E330="","",IFERROR(E330/F330*1000,""))</f>
        <v/>
      </c>
      <c r="M330" s="37" t="str">
        <f aca="false">IF($E330="","",IFERROR(H330/G330,""))</f>
        <v/>
      </c>
      <c r="N330" s="30" t="str">
        <f aca="false">IF($E330="","",IFERROR(E330/H330,"—"))</f>
        <v/>
      </c>
      <c r="O330" s="30" t="str">
        <f aca="false">IF($E330="","",IFERROR(INDEX('Гео-калькулятор'!$K$7:$K$13,MATCH($C330,'Гео-калькулятор'!$B$7:$B$13,0)),""))</f>
        <v/>
      </c>
      <c r="P330" s="38" t="str">
        <f aca="false">IF($E330="","",IFERROR(N330/O330,""))</f>
        <v/>
      </c>
      <c r="Q330" s="39" t="str">
        <f aca="false">IF($E330="","",IF($I330&lt;&gt;"",$I330,N($H330)*IFERROR(INDEX('Гео-калькулятор'!$E$7:$E$13,MATCH($C330,'Гео-калькулятор'!$B$7:$B$13,0)),0)))</f>
        <v/>
      </c>
      <c r="R330" s="38" t="str">
        <f aca="false">IF($E330="","",IFERROR(Q330/H330,""))</f>
        <v/>
      </c>
      <c r="S330" s="30" t="str">
        <f aca="false">IF($E330="","",IFERROR(E330/Q330,"—"))</f>
        <v/>
      </c>
      <c r="T330" s="30" t="str">
        <f aca="false">IF($E330="","",Q330*IFERROR(INDEX('Гео-калькулятор'!$D$7:$D$13,MATCH($C330,'Гео-калькулятор'!$B$7:$B$13,0)),0))</f>
        <v/>
      </c>
      <c r="U330" s="40" t="str">
        <f aca="false">IF($E330="","",T330-E330)</f>
        <v/>
      </c>
      <c r="V330" s="41" t="str">
        <f aca="false">IF($E330="","",IFERROR(U330/E330,""))</f>
        <v/>
      </c>
      <c r="W330" s="10" t="str">
        <f aca="false">IF($E330="","",IF($I330&lt;&gt;"","факт","прогноз"))</f>
        <v/>
      </c>
      <c r="X330" s="1"/>
      <c r="Y330" s="1"/>
      <c r="Z330" s="1"/>
      <c r="AA330" s="1"/>
      <c r="AB330" s="1"/>
      <c r="AC330" s="1"/>
      <c r="AD330" s="1"/>
    </row>
    <row r="331" customFormat="false" ht="18" hidden="false" customHeight="true" outlineLevel="0" collapsed="false">
      <c r="A331" s="1"/>
      <c r="B331" s="35"/>
      <c r="C331" s="8"/>
      <c r="D331" s="26"/>
      <c r="E331" s="27"/>
      <c r="F331" s="36"/>
      <c r="G331" s="36"/>
      <c r="H331" s="36"/>
      <c r="I331" s="36"/>
      <c r="J331" s="37" t="str">
        <f aca="false">IF($E331="","",IFERROR(G331/F331,""))</f>
        <v/>
      </c>
      <c r="K331" s="30" t="str">
        <f aca="false">IF($E331="","",IFERROR(E331/G331,""))</f>
        <v/>
      </c>
      <c r="L331" s="30" t="str">
        <f aca="false">IF($E331="","",IFERROR(E331/F331*1000,""))</f>
        <v/>
      </c>
      <c r="M331" s="37" t="str">
        <f aca="false">IF($E331="","",IFERROR(H331/G331,""))</f>
        <v/>
      </c>
      <c r="N331" s="30" t="str">
        <f aca="false">IF($E331="","",IFERROR(E331/H331,"—"))</f>
        <v/>
      </c>
      <c r="O331" s="30" t="str">
        <f aca="false">IF($E331="","",IFERROR(INDEX('Гео-калькулятор'!$K$7:$K$13,MATCH($C331,'Гео-калькулятор'!$B$7:$B$13,0)),""))</f>
        <v/>
      </c>
      <c r="P331" s="38" t="str">
        <f aca="false">IF($E331="","",IFERROR(N331/O331,""))</f>
        <v/>
      </c>
      <c r="Q331" s="39" t="str">
        <f aca="false">IF($E331="","",IF($I331&lt;&gt;"",$I331,N($H331)*IFERROR(INDEX('Гео-калькулятор'!$E$7:$E$13,MATCH($C331,'Гео-калькулятор'!$B$7:$B$13,0)),0)))</f>
        <v/>
      </c>
      <c r="R331" s="38" t="str">
        <f aca="false">IF($E331="","",IFERROR(Q331/H331,""))</f>
        <v/>
      </c>
      <c r="S331" s="30" t="str">
        <f aca="false">IF($E331="","",IFERROR(E331/Q331,"—"))</f>
        <v/>
      </c>
      <c r="T331" s="30" t="str">
        <f aca="false">IF($E331="","",Q331*IFERROR(INDEX('Гео-калькулятор'!$D$7:$D$13,MATCH($C331,'Гео-калькулятор'!$B$7:$B$13,0)),0))</f>
        <v/>
      </c>
      <c r="U331" s="40" t="str">
        <f aca="false">IF($E331="","",T331-E331)</f>
        <v/>
      </c>
      <c r="V331" s="41" t="str">
        <f aca="false">IF($E331="","",IFERROR(U331/E331,""))</f>
        <v/>
      </c>
      <c r="W331" s="10" t="str">
        <f aca="false">IF($E331="","",IF($I331&lt;&gt;"","факт","прогноз"))</f>
        <v/>
      </c>
      <c r="X331" s="1"/>
      <c r="Y331" s="1"/>
      <c r="Z331" s="1"/>
      <c r="AA331" s="1"/>
      <c r="AB331" s="1"/>
      <c r="AC331" s="1"/>
      <c r="AD331" s="1"/>
    </row>
    <row r="332" customFormat="false" ht="18" hidden="false" customHeight="true" outlineLevel="0" collapsed="false">
      <c r="A332" s="1"/>
      <c r="B332" s="35"/>
      <c r="C332" s="8"/>
      <c r="D332" s="26"/>
      <c r="E332" s="27"/>
      <c r="F332" s="36"/>
      <c r="G332" s="36"/>
      <c r="H332" s="36"/>
      <c r="I332" s="36"/>
      <c r="J332" s="37" t="str">
        <f aca="false">IF($E332="","",IFERROR(G332/F332,""))</f>
        <v/>
      </c>
      <c r="K332" s="30" t="str">
        <f aca="false">IF($E332="","",IFERROR(E332/G332,""))</f>
        <v/>
      </c>
      <c r="L332" s="30" t="str">
        <f aca="false">IF($E332="","",IFERROR(E332/F332*1000,""))</f>
        <v/>
      </c>
      <c r="M332" s="37" t="str">
        <f aca="false">IF($E332="","",IFERROR(H332/G332,""))</f>
        <v/>
      </c>
      <c r="N332" s="30" t="str">
        <f aca="false">IF($E332="","",IFERROR(E332/H332,"—"))</f>
        <v/>
      </c>
      <c r="O332" s="30" t="str">
        <f aca="false">IF($E332="","",IFERROR(INDEX('Гео-калькулятор'!$K$7:$K$13,MATCH($C332,'Гео-калькулятор'!$B$7:$B$13,0)),""))</f>
        <v/>
      </c>
      <c r="P332" s="38" t="str">
        <f aca="false">IF($E332="","",IFERROR(N332/O332,""))</f>
        <v/>
      </c>
      <c r="Q332" s="39" t="str">
        <f aca="false">IF($E332="","",IF($I332&lt;&gt;"",$I332,N($H332)*IFERROR(INDEX('Гео-калькулятор'!$E$7:$E$13,MATCH($C332,'Гео-калькулятор'!$B$7:$B$13,0)),0)))</f>
        <v/>
      </c>
      <c r="R332" s="38" t="str">
        <f aca="false">IF($E332="","",IFERROR(Q332/H332,""))</f>
        <v/>
      </c>
      <c r="S332" s="30" t="str">
        <f aca="false">IF($E332="","",IFERROR(E332/Q332,"—"))</f>
        <v/>
      </c>
      <c r="T332" s="30" t="str">
        <f aca="false">IF($E332="","",Q332*IFERROR(INDEX('Гео-калькулятор'!$D$7:$D$13,MATCH($C332,'Гео-калькулятор'!$B$7:$B$13,0)),0))</f>
        <v/>
      </c>
      <c r="U332" s="40" t="str">
        <f aca="false">IF($E332="","",T332-E332)</f>
        <v/>
      </c>
      <c r="V332" s="41" t="str">
        <f aca="false">IF($E332="","",IFERROR(U332/E332,""))</f>
        <v/>
      </c>
      <c r="W332" s="10" t="str">
        <f aca="false">IF($E332="","",IF($I332&lt;&gt;"","факт","прогноз"))</f>
        <v/>
      </c>
      <c r="X332" s="1"/>
      <c r="Y332" s="1"/>
      <c r="Z332" s="1"/>
      <c r="AA332" s="1"/>
      <c r="AB332" s="1"/>
      <c r="AC332" s="1"/>
      <c r="AD332" s="1"/>
    </row>
    <row r="333" customFormat="false" ht="18" hidden="false" customHeight="true" outlineLevel="0" collapsed="false">
      <c r="A333" s="1"/>
      <c r="B333" s="35"/>
      <c r="C333" s="8"/>
      <c r="D333" s="26"/>
      <c r="E333" s="27"/>
      <c r="F333" s="36"/>
      <c r="G333" s="36"/>
      <c r="H333" s="36"/>
      <c r="I333" s="36"/>
      <c r="J333" s="37" t="str">
        <f aca="false">IF($E333="","",IFERROR(G333/F333,""))</f>
        <v/>
      </c>
      <c r="K333" s="30" t="str">
        <f aca="false">IF($E333="","",IFERROR(E333/G333,""))</f>
        <v/>
      </c>
      <c r="L333" s="30" t="str">
        <f aca="false">IF($E333="","",IFERROR(E333/F333*1000,""))</f>
        <v/>
      </c>
      <c r="M333" s="37" t="str">
        <f aca="false">IF($E333="","",IFERROR(H333/G333,""))</f>
        <v/>
      </c>
      <c r="N333" s="30" t="str">
        <f aca="false">IF($E333="","",IFERROR(E333/H333,"—"))</f>
        <v/>
      </c>
      <c r="O333" s="30" t="str">
        <f aca="false">IF($E333="","",IFERROR(INDEX('Гео-калькулятор'!$K$7:$K$13,MATCH($C333,'Гео-калькулятор'!$B$7:$B$13,0)),""))</f>
        <v/>
      </c>
      <c r="P333" s="38" t="str">
        <f aca="false">IF($E333="","",IFERROR(N333/O333,""))</f>
        <v/>
      </c>
      <c r="Q333" s="39" t="str">
        <f aca="false">IF($E333="","",IF($I333&lt;&gt;"",$I333,N($H333)*IFERROR(INDEX('Гео-калькулятор'!$E$7:$E$13,MATCH($C333,'Гео-калькулятор'!$B$7:$B$13,0)),0)))</f>
        <v/>
      </c>
      <c r="R333" s="38" t="str">
        <f aca="false">IF($E333="","",IFERROR(Q333/H333,""))</f>
        <v/>
      </c>
      <c r="S333" s="30" t="str">
        <f aca="false">IF($E333="","",IFERROR(E333/Q333,"—"))</f>
        <v/>
      </c>
      <c r="T333" s="30" t="str">
        <f aca="false">IF($E333="","",Q333*IFERROR(INDEX('Гео-калькулятор'!$D$7:$D$13,MATCH($C333,'Гео-калькулятор'!$B$7:$B$13,0)),0))</f>
        <v/>
      </c>
      <c r="U333" s="40" t="str">
        <f aca="false">IF($E333="","",T333-E333)</f>
        <v/>
      </c>
      <c r="V333" s="41" t="str">
        <f aca="false">IF($E333="","",IFERROR(U333/E333,""))</f>
        <v/>
      </c>
      <c r="W333" s="10" t="str">
        <f aca="false">IF($E333="","",IF($I333&lt;&gt;"","факт","прогноз"))</f>
        <v/>
      </c>
      <c r="X333" s="1"/>
      <c r="Y333" s="1"/>
      <c r="Z333" s="1"/>
      <c r="AA333" s="1"/>
      <c r="AB333" s="1"/>
      <c r="AC333" s="1"/>
      <c r="AD333" s="1"/>
    </row>
    <row r="334" customFormat="false" ht="18" hidden="false" customHeight="true" outlineLevel="0" collapsed="false">
      <c r="A334" s="1"/>
      <c r="B334" s="35"/>
      <c r="C334" s="8"/>
      <c r="D334" s="26"/>
      <c r="E334" s="27"/>
      <c r="F334" s="36"/>
      <c r="G334" s="36"/>
      <c r="H334" s="36"/>
      <c r="I334" s="36"/>
      <c r="J334" s="37" t="str">
        <f aca="false">IF($E334="","",IFERROR(G334/F334,""))</f>
        <v/>
      </c>
      <c r="K334" s="30" t="str">
        <f aca="false">IF($E334="","",IFERROR(E334/G334,""))</f>
        <v/>
      </c>
      <c r="L334" s="30" t="str">
        <f aca="false">IF($E334="","",IFERROR(E334/F334*1000,""))</f>
        <v/>
      </c>
      <c r="M334" s="37" t="str">
        <f aca="false">IF($E334="","",IFERROR(H334/G334,""))</f>
        <v/>
      </c>
      <c r="N334" s="30" t="str">
        <f aca="false">IF($E334="","",IFERROR(E334/H334,"—"))</f>
        <v/>
      </c>
      <c r="O334" s="30" t="str">
        <f aca="false">IF($E334="","",IFERROR(INDEX('Гео-калькулятор'!$K$7:$K$13,MATCH($C334,'Гео-калькулятор'!$B$7:$B$13,0)),""))</f>
        <v/>
      </c>
      <c r="P334" s="38" t="str">
        <f aca="false">IF($E334="","",IFERROR(N334/O334,""))</f>
        <v/>
      </c>
      <c r="Q334" s="39" t="str">
        <f aca="false">IF($E334="","",IF($I334&lt;&gt;"",$I334,N($H334)*IFERROR(INDEX('Гео-калькулятор'!$E$7:$E$13,MATCH($C334,'Гео-калькулятор'!$B$7:$B$13,0)),0)))</f>
        <v/>
      </c>
      <c r="R334" s="38" t="str">
        <f aca="false">IF($E334="","",IFERROR(Q334/H334,""))</f>
        <v/>
      </c>
      <c r="S334" s="30" t="str">
        <f aca="false">IF($E334="","",IFERROR(E334/Q334,"—"))</f>
        <v/>
      </c>
      <c r="T334" s="30" t="str">
        <f aca="false">IF($E334="","",Q334*IFERROR(INDEX('Гео-калькулятор'!$D$7:$D$13,MATCH($C334,'Гео-калькулятор'!$B$7:$B$13,0)),0))</f>
        <v/>
      </c>
      <c r="U334" s="40" t="str">
        <f aca="false">IF($E334="","",T334-E334)</f>
        <v/>
      </c>
      <c r="V334" s="41" t="str">
        <f aca="false">IF($E334="","",IFERROR(U334/E334,""))</f>
        <v/>
      </c>
      <c r="W334" s="10" t="str">
        <f aca="false">IF($E334="","",IF($I334&lt;&gt;"","факт","прогноз"))</f>
        <v/>
      </c>
      <c r="X334" s="1"/>
      <c r="Y334" s="1"/>
      <c r="Z334" s="1"/>
      <c r="AA334" s="1"/>
      <c r="AB334" s="1"/>
      <c r="AC334" s="1"/>
      <c r="AD334" s="1"/>
    </row>
    <row r="335" customFormat="false" ht="18" hidden="false" customHeight="true" outlineLevel="0" collapsed="false">
      <c r="A335" s="1"/>
      <c r="B335" s="35"/>
      <c r="C335" s="8"/>
      <c r="D335" s="26"/>
      <c r="E335" s="27"/>
      <c r="F335" s="36"/>
      <c r="G335" s="36"/>
      <c r="H335" s="36"/>
      <c r="I335" s="36"/>
      <c r="J335" s="37" t="str">
        <f aca="false">IF($E335="","",IFERROR(G335/F335,""))</f>
        <v/>
      </c>
      <c r="K335" s="30" t="str">
        <f aca="false">IF($E335="","",IFERROR(E335/G335,""))</f>
        <v/>
      </c>
      <c r="L335" s="30" t="str">
        <f aca="false">IF($E335="","",IFERROR(E335/F335*1000,""))</f>
        <v/>
      </c>
      <c r="M335" s="37" t="str">
        <f aca="false">IF($E335="","",IFERROR(H335/G335,""))</f>
        <v/>
      </c>
      <c r="N335" s="30" t="str">
        <f aca="false">IF($E335="","",IFERROR(E335/H335,"—"))</f>
        <v/>
      </c>
      <c r="O335" s="30" t="str">
        <f aca="false">IF($E335="","",IFERROR(INDEX('Гео-калькулятор'!$K$7:$K$13,MATCH($C335,'Гео-калькулятор'!$B$7:$B$13,0)),""))</f>
        <v/>
      </c>
      <c r="P335" s="38" t="str">
        <f aca="false">IF($E335="","",IFERROR(N335/O335,""))</f>
        <v/>
      </c>
      <c r="Q335" s="39" t="str">
        <f aca="false">IF($E335="","",IF($I335&lt;&gt;"",$I335,N($H335)*IFERROR(INDEX('Гео-калькулятор'!$E$7:$E$13,MATCH($C335,'Гео-калькулятор'!$B$7:$B$13,0)),0)))</f>
        <v/>
      </c>
      <c r="R335" s="38" t="str">
        <f aca="false">IF($E335="","",IFERROR(Q335/H335,""))</f>
        <v/>
      </c>
      <c r="S335" s="30" t="str">
        <f aca="false">IF($E335="","",IFERROR(E335/Q335,"—"))</f>
        <v/>
      </c>
      <c r="T335" s="30" t="str">
        <f aca="false">IF($E335="","",Q335*IFERROR(INDEX('Гео-калькулятор'!$D$7:$D$13,MATCH($C335,'Гео-калькулятор'!$B$7:$B$13,0)),0))</f>
        <v/>
      </c>
      <c r="U335" s="40" t="str">
        <f aca="false">IF($E335="","",T335-E335)</f>
        <v/>
      </c>
      <c r="V335" s="41" t="str">
        <f aca="false">IF($E335="","",IFERROR(U335/E335,""))</f>
        <v/>
      </c>
      <c r="W335" s="10" t="str">
        <f aca="false">IF($E335="","",IF($I335&lt;&gt;"","факт","прогноз"))</f>
        <v/>
      </c>
      <c r="X335" s="1"/>
      <c r="Y335" s="1"/>
      <c r="Z335" s="1"/>
      <c r="AA335" s="1"/>
      <c r="AB335" s="1"/>
      <c r="AC335" s="1"/>
      <c r="AD335" s="1"/>
    </row>
    <row r="336" customFormat="false" ht="18" hidden="false" customHeight="true" outlineLevel="0" collapsed="false">
      <c r="A336" s="1"/>
      <c r="B336" s="35"/>
      <c r="C336" s="8"/>
      <c r="D336" s="26"/>
      <c r="E336" s="27"/>
      <c r="F336" s="36"/>
      <c r="G336" s="36"/>
      <c r="H336" s="36"/>
      <c r="I336" s="36"/>
      <c r="J336" s="37" t="str">
        <f aca="false">IF($E336="","",IFERROR(G336/F336,""))</f>
        <v/>
      </c>
      <c r="K336" s="30" t="str">
        <f aca="false">IF($E336="","",IFERROR(E336/G336,""))</f>
        <v/>
      </c>
      <c r="L336" s="30" t="str">
        <f aca="false">IF($E336="","",IFERROR(E336/F336*1000,""))</f>
        <v/>
      </c>
      <c r="M336" s="37" t="str">
        <f aca="false">IF($E336="","",IFERROR(H336/G336,""))</f>
        <v/>
      </c>
      <c r="N336" s="30" t="str">
        <f aca="false">IF($E336="","",IFERROR(E336/H336,"—"))</f>
        <v/>
      </c>
      <c r="O336" s="30" t="str">
        <f aca="false">IF($E336="","",IFERROR(INDEX('Гео-калькулятор'!$K$7:$K$13,MATCH($C336,'Гео-калькулятор'!$B$7:$B$13,0)),""))</f>
        <v/>
      </c>
      <c r="P336" s="38" t="str">
        <f aca="false">IF($E336="","",IFERROR(N336/O336,""))</f>
        <v/>
      </c>
      <c r="Q336" s="39" t="str">
        <f aca="false">IF($E336="","",IF($I336&lt;&gt;"",$I336,N($H336)*IFERROR(INDEX('Гео-калькулятор'!$E$7:$E$13,MATCH($C336,'Гео-калькулятор'!$B$7:$B$13,0)),0)))</f>
        <v/>
      </c>
      <c r="R336" s="38" t="str">
        <f aca="false">IF($E336="","",IFERROR(Q336/H336,""))</f>
        <v/>
      </c>
      <c r="S336" s="30" t="str">
        <f aca="false">IF($E336="","",IFERROR(E336/Q336,"—"))</f>
        <v/>
      </c>
      <c r="T336" s="30" t="str">
        <f aca="false">IF($E336="","",Q336*IFERROR(INDEX('Гео-калькулятор'!$D$7:$D$13,MATCH($C336,'Гео-калькулятор'!$B$7:$B$13,0)),0))</f>
        <v/>
      </c>
      <c r="U336" s="40" t="str">
        <f aca="false">IF($E336="","",T336-E336)</f>
        <v/>
      </c>
      <c r="V336" s="41" t="str">
        <f aca="false">IF($E336="","",IFERROR(U336/E336,""))</f>
        <v/>
      </c>
      <c r="W336" s="10" t="str">
        <f aca="false">IF($E336="","",IF($I336&lt;&gt;"","факт","прогноз"))</f>
        <v/>
      </c>
      <c r="X336" s="1"/>
      <c r="Y336" s="1"/>
      <c r="Z336" s="1"/>
      <c r="AA336" s="1"/>
      <c r="AB336" s="1"/>
      <c r="AC336" s="1"/>
      <c r="AD336" s="1"/>
    </row>
    <row r="337" customFormat="false" ht="18" hidden="false" customHeight="true" outlineLevel="0" collapsed="false">
      <c r="A337" s="1"/>
      <c r="B337" s="35"/>
      <c r="C337" s="8"/>
      <c r="D337" s="26"/>
      <c r="E337" s="27"/>
      <c r="F337" s="36"/>
      <c r="G337" s="36"/>
      <c r="H337" s="36"/>
      <c r="I337" s="36"/>
      <c r="J337" s="37" t="str">
        <f aca="false">IF($E337="","",IFERROR(G337/F337,""))</f>
        <v/>
      </c>
      <c r="K337" s="30" t="str">
        <f aca="false">IF($E337="","",IFERROR(E337/G337,""))</f>
        <v/>
      </c>
      <c r="L337" s="30" t="str">
        <f aca="false">IF($E337="","",IFERROR(E337/F337*1000,""))</f>
        <v/>
      </c>
      <c r="M337" s="37" t="str">
        <f aca="false">IF($E337="","",IFERROR(H337/G337,""))</f>
        <v/>
      </c>
      <c r="N337" s="30" t="str">
        <f aca="false">IF($E337="","",IFERROR(E337/H337,"—"))</f>
        <v/>
      </c>
      <c r="O337" s="30" t="str">
        <f aca="false">IF($E337="","",IFERROR(INDEX('Гео-калькулятор'!$K$7:$K$13,MATCH($C337,'Гео-калькулятор'!$B$7:$B$13,0)),""))</f>
        <v/>
      </c>
      <c r="P337" s="38" t="str">
        <f aca="false">IF($E337="","",IFERROR(N337/O337,""))</f>
        <v/>
      </c>
      <c r="Q337" s="39" t="str">
        <f aca="false">IF($E337="","",IF($I337&lt;&gt;"",$I337,N($H337)*IFERROR(INDEX('Гео-калькулятор'!$E$7:$E$13,MATCH($C337,'Гео-калькулятор'!$B$7:$B$13,0)),0)))</f>
        <v/>
      </c>
      <c r="R337" s="38" t="str">
        <f aca="false">IF($E337="","",IFERROR(Q337/H337,""))</f>
        <v/>
      </c>
      <c r="S337" s="30" t="str">
        <f aca="false">IF($E337="","",IFERROR(E337/Q337,"—"))</f>
        <v/>
      </c>
      <c r="T337" s="30" t="str">
        <f aca="false">IF($E337="","",Q337*IFERROR(INDEX('Гео-калькулятор'!$D$7:$D$13,MATCH($C337,'Гео-калькулятор'!$B$7:$B$13,0)),0))</f>
        <v/>
      </c>
      <c r="U337" s="40" t="str">
        <f aca="false">IF($E337="","",T337-E337)</f>
        <v/>
      </c>
      <c r="V337" s="41" t="str">
        <f aca="false">IF($E337="","",IFERROR(U337/E337,""))</f>
        <v/>
      </c>
      <c r="W337" s="10" t="str">
        <f aca="false">IF($E337="","",IF($I337&lt;&gt;"","факт","прогноз"))</f>
        <v/>
      </c>
      <c r="X337" s="1"/>
      <c r="Y337" s="1"/>
      <c r="Z337" s="1"/>
      <c r="AA337" s="1"/>
      <c r="AB337" s="1"/>
      <c r="AC337" s="1"/>
      <c r="AD337" s="1"/>
    </row>
    <row r="338" customFormat="false" ht="18" hidden="false" customHeight="true" outlineLevel="0" collapsed="false">
      <c r="A338" s="1"/>
      <c r="B338" s="35"/>
      <c r="C338" s="8"/>
      <c r="D338" s="26"/>
      <c r="E338" s="27"/>
      <c r="F338" s="36"/>
      <c r="G338" s="36"/>
      <c r="H338" s="36"/>
      <c r="I338" s="36"/>
      <c r="J338" s="37" t="str">
        <f aca="false">IF($E338="","",IFERROR(G338/F338,""))</f>
        <v/>
      </c>
      <c r="K338" s="30" t="str">
        <f aca="false">IF($E338="","",IFERROR(E338/G338,""))</f>
        <v/>
      </c>
      <c r="L338" s="30" t="str">
        <f aca="false">IF($E338="","",IFERROR(E338/F338*1000,""))</f>
        <v/>
      </c>
      <c r="M338" s="37" t="str">
        <f aca="false">IF($E338="","",IFERROR(H338/G338,""))</f>
        <v/>
      </c>
      <c r="N338" s="30" t="str">
        <f aca="false">IF($E338="","",IFERROR(E338/H338,"—"))</f>
        <v/>
      </c>
      <c r="O338" s="30" t="str">
        <f aca="false">IF($E338="","",IFERROR(INDEX('Гео-калькулятор'!$K$7:$K$13,MATCH($C338,'Гео-калькулятор'!$B$7:$B$13,0)),""))</f>
        <v/>
      </c>
      <c r="P338" s="38" t="str">
        <f aca="false">IF($E338="","",IFERROR(N338/O338,""))</f>
        <v/>
      </c>
      <c r="Q338" s="39" t="str">
        <f aca="false">IF($E338="","",IF($I338&lt;&gt;"",$I338,N($H338)*IFERROR(INDEX('Гео-калькулятор'!$E$7:$E$13,MATCH($C338,'Гео-калькулятор'!$B$7:$B$13,0)),0)))</f>
        <v/>
      </c>
      <c r="R338" s="38" t="str">
        <f aca="false">IF($E338="","",IFERROR(Q338/H338,""))</f>
        <v/>
      </c>
      <c r="S338" s="30" t="str">
        <f aca="false">IF($E338="","",IFERROR(E338/Q338,"—"))</f>
        <v/>
      </c>
      <c r="T338" s="30" t="str">
        <f aca="false">IF($E338="","",Q338*IFERROR(INDEX('Гео-калькулятор'!$D$7:$D$13,MATCH($C338,'Гео-калькулятор'!$B$7:$B$13,0)),0))</f>
        <v/>
      </c>
      <c r="U338" s="40" t="str">
        <f aca="false">IF($E338="","",T338-E338)</f>
        <v/>
      </c>
      <c r="V338" s="41" t="str">
        <f aca="false">IF($E338="","",IFERROR(U338/E338,""))</f>
        <v/>
      </c>
      <c r="W338" s="10" t="str">
        <f aca="false">IF($E338="","",IF($I338&lt;&gt;"","факт","прогноз"))</f>
        <v/>
      </c>
      <c r="X338" s="1"/>
      <c r="Y338" s="1"/>
      <c r="Z338" s="1"/>
      <c r="AA338" s="1"/>
      <c r="AB338" s="1"/>
      <c r="AC338" s="1"/>
      <c r="AD338" s="1"/>
    </row>
    <row r="339" customFormat="false" ht="18" hidden="false" customHeight="true" outlineLevel="0" collapsed="false">
      <c r="A339" s="1"/>
      <c r="B339" s="35"/>
      <c r="C339" s="8"/>
      <c r="D339" s="26"/>
      <c r="E339" s="27"/>
      <c r="F339" s="36"/>
      <c r="G339" s="36"/>
      <c r="H339" s="36"/>
      <c r="I339" s="36"/>
      <c r="J339" s="37" t="str">
        <f aca="false">IF($E339="","",IFERROR(G339/F339,""))</f>
        <v/>
      </c>
      <c r="K339" s="30" t="str">
        <f aca="false">IF($E339="","",IFERROR(E339/G339,""))</f>
        <v/>
      </c>
      <c r="L339" s="30" t="str">
        <f aca="false">IF($E339="","",IFERROR(E339/F339*1000,""))</f>
        <v/>
      </c>
      <c r="M339" s="37" t="str">
        <f aca="false">IF($E339="","",IFERROR(H339/G339,""))</f>
        <v/>
      </c>
      <c r="N339" s="30" t="str">
        <f aca="false">IF($E339="","",IFERROR(E339/H339,"—"))</f>
        <v/>
      </c>
      <c r="O339" s="30" t="str">
        <f aca="false">IF($E339="","",IFERROR(INDEX('Гео-калькулятор'!$K$7:$K$13,MATCH($C339,'Гео-калькулятор'!$B$7:$B$13,0)),""))</f>
        <v/>
      </c>
      <c r="P339" s="38" t="str">
        <f aca="false">IF($E339="","",IFERROR(N339/O339,""))</f>
        <v/>
      </c>
      <c r="Q339" s="39" t="str">
        <f aca="false">IF($E339="","",IF($I339&lt;&gt;"",$I339,N($H339)*IFERROR(INDEX('Гео-калькулятор'!$E$7:$E$13,MATCH($C339,'Гео-калькулятор'!$B$7:$B$13,0)),0)))</f>
        <v/>
      </c>
      <c r="R339" s="38" t="str">
        <f aca="false">IF($E339="","",IFERROR(Q339/H339,""))</f>
        <v/>
      </c>
      <c r="S339" s="30" t="str">
        <f aca="false">IF($E339="","",IFERROR(E339/Q339,"—"))</f>
        <v/>
      </c>
      <c r="T339" s="30" t="str">
        <f aca="false">IF($E339="","",Q339*IFERROR(INDEX('Гео-калькулятор'!$D$7:$D$13,MATCH($C339,'Гео-калькулятор'!$B$7:$B$13,0)),0))</f>
        <v/>
      </c>
      <c r="U339" s="40" t="str">
        <f aca="false">IF($E339="","",T339-E339)</f>
        <v/>
      </c>
      <c r="V339" s="41" t="str">
        <f aca="false">IF($E339="","",IFERROR(U339/E339,""))</f>
        <v/>
      </c>
      <c r="W339" s="10" t="str">
        <f aca="false">IF($E339="","",IF($I339&lt;&gt;"","факт","прогноз"))</f>
        <v/>
      </c>
      <c r="X339" s="1"/>
      <c r="Y339" s="1"/>
      <c r="Z339" s="1"/>
      <c r="AA339" s="1"/>
      <c r="AB339" s="1"/>
      <c r="AC339" s="1"/>
      <c r="AD339" s="1"/>
    </row>
    <row r="340" customFormat="false" ht="18" hidden="false" customHeight="true" outlineLevel="0" collapsed="false">
      <c r="A340" s="1"/>
      <c r="B340" s="35"/>
      <c r="C340" s="8"/>
      <c r="D340" s="26"/>
      <c r="E340" s="27"/>
      <c r="F340" s="36"/>
      <c r="G340" s="36"/>
      <c r="H340" s="36"/>
      <c r="I340" s="36"/>
      <c r="J340" s="37" t="str">
        <f aca="false">IF($E340="","",IFERROR(G340/F340,""))</f>
        <v/>
      </c>
      <c r="K340" s="30" t="str">
        <f aca="false">IF($E340="","",IFERROR(E340/G340,""))</f>
        <v/>
      </c>
      <c r="L340" s="30" t="str">
        <f aca="false">IF($E340="","",IFERROR(E340/F340*1000,""))</f>
        <v/>
      </c>
      <c r="M340" s="37" t="str">
        <f aca="false">IF($E340="","",IFERROR(H340/G340,""))</f>
        <v/>
      </c>
      <c r="N340" s="30" t="str">
        <f aca="false">IF($E340="","",IFERROR(E340/H340,"—"))</f>
        <v/>
      </c>
      <c r="O340" s="30" t="str">
        <f aca="false">IF($E340="","",IFERROR(INDEX('Гео-калькулятор'!$K$7:$K$13,MATCH($C340,'Гео-калькулятор'!$B$7:$B$13,0)),""))</f>
        <v/>
      </c>
      <c r="P340" s="38" t="str">
        <f aca="false">IF($E340="","",IFERROR(N340/O340,""))</f>
        <v/>
      </c>
      <c r="Q340" s="39" t="str">
        <f aca="false">IF($E340="","",IF($I340&lt;&gt;"",$I340,N($H340)*IFERROR(INDEX('Гео-калькулятор'!$E$7:$E$13,MATCH($C340,'Гео-калькулятор'!$B$7:$B$13,0)),0)))</f>
        <v/>
      </c>
      <c r="R340" s="38" t="str">
        <f aca="false">IF($E340="","",IFERROR(Q340/H340,""))</f>
        <v/>
      </c>
      <c r="S340" s="30" t="str">
        <f aca="false">IF($E340="","",IFERROR(E340/Q340,"—"))</f>
        <v/>
      </c>
      <c r="T340" s="30" t="str">
        <f aca="false">IF($E340="","",Q340*IFERROR(INDEX('Гео-калькулятор'!$D$7:$D$13,MATCH($C340,'Гео-калькулятор'!$B$7:$B$13,0)),0))</f>
        <v/>
      </c>
      <c r="U340" s="40" t="str">
        <f aca="false">IF($E340="","",T340-E340)</f>
        <v/>
      </c>
      <c r="V340" s="41" t="str">
        <f aca="false">IF($E340="","",IFERROR(U340/E340,""))</f>
        <v/>
      </c>
      <c r="W340" s="10" t="str">
        <f aca="false">IF($E340="","",IF($I340&lt;&gt;"","факт","прогноз"))</f>
        <v/>
      </c>
      <c r="X340" s="1"/>
      <c r="Y340" s="1"/>
      <c r="Z340" s="1"/>
      <c r="AA340" s="1"/>
      <c r="AB340" s="1"/>
      <c r="AC340" s="1"/>
      <c r="AD340" s="1"/>
    </row>
    <row r="341" customFormat="false" ht="18" hidden="false" customHeight="true" outlineLevel="0" collapsed="false">
      <c r="A341" s="1"/>
      <c r="B341" s="35"/>
      <c r="C341" s="8"/>
      <c r="D341" s="26"/>
      <c r="E341" s="27"/>
      <c r="F341" s="36"/>
      <c r="G341" s="36"/>
      <c r="H341" s="36"/>
      <c r="I341" s="36"/>
      <c r="J341" s="37" t="str">
        <f aca="false">IF($E341="","",IFERROR(G341/F341,""))</f>
        <v/>
      </c>
      <c r="K341" s="30" t="str">
        <f aca="false">IF($E341="","",IFERROR(E341/G341,""))</f>
        <v/>
      </c>
      <c r="L341" s="30" t="str">
        <f aca="false">IF($E341="","",IFERROR(E341/F341*1000,""))</f>
        <v/>
      </c>
      <c r="M341" s="37" t="str">
        <f aca="false">IF($E341="","",IFERROR(H341/G341,""))</f>
        <v/>
      </c>
      <c r="N341" s="30" t="str">
        <f aca="false">IF($E341="","",IFERROR(E341/H341,"—"))</f>
        <v/>
      </c>
      <c r="O341" s="30" t="str">
        <f aca="false">IF($E341="","",IFERROR(INDEX('Гео-калькулятор'!$K$7:$K$13,MATCH($C341,'Гео-калькулятор'!$B$7:$B$13,0)),""))</f>
        <v/>
      </c>
      <c r="P341" s="38" t="str">
        <f aca="false">IF($E341="","",IFERROR(N341/O341,""))</f>
        <v/>
      </c>
      <c r="Q341" s="39" t="str">
        <f aca="false">IF($E341="","",IF($I341&lt;&gt;"",$I341,N($H341)*IFERROR(INDEX('Гео-калькулятор'!$E$7:$E$13,MATCH($C341,'Гео-калькулятор'!$B$7:$B$13,0)),0)))</f>
        <v/>
      </c>
      <c r="R341" s="38" t="str">
        <f aca="false">IF($E341="","",IFERROR(Q341/H341,""))</f>
        <v/>
      </c>
      <c r="S341" s="30" t="str">
        <f aca="false">IF($E341="","",IFERROR(E341/Q341,"—"))</f>
        <v/>
      </c>
      <c r="T341" s="30" t="str">
        <f aca="false">IF($E341="","",Q341*IFERROR(INDEX('Гео-калькулятор'!$D$7:$D$13,MATCH($C341,'Гео-калькулятор'!$B$7:$B$13,0)),0))</f>
        <v/>
      </c>
      <c r="U341" s="40" t="str">
        <f aca="false">IF($E341="","",T341-E341)</f>
        <v/>
      </c>
      <c r="V341" s="41" t="str">
        <f aca="false">IF($E341="","",IFERROR(U341/E341,""))</f>
        <v/>
      </c>
      <c r="W341" s="10" t="str">
        <f aca="false">IF($E341="","",IF($I341&lt;&gt;"","факт","прогноз"))</f>
        <v/>
      </c>
      <c r="X341" s="1"/>
      <c r="Y341" s="1"/>
      <c r="Z341" s="1"/>
      <c r="AA341" s="1"/>
      <c r="AB341" s="1"/>
      <c r="AC341" s="1"/>
      <c r="AD341" s="1"/>
    </row>
    <row r="342" customFormat="false" ht="18" hidden="false" customHeight="true" outlineLevel="0" collapsed="false">
      <c r="A342" s="1"/>
      <c r="B342" s="35"/>
      <c r="C342" s="8"/>
      <c r="D342" s="26"/>
      <c r="E342" s="27"/>
      <c r="F342" s="36"/>
      <c r="G342" s="36"/>
      <c r="H342" s="36"/>
      <c r="I342" s="36"/>
      <c r="J342" s="37" t="str">
        <f aca="false">IF($E342="","",IFERROR(G342/F342,""))</f>
        <v/>
      </c>
      <c r="K342" s="30" t="str">
        <f aca="false">IF($E342="","",IFERROR(E342/G342,""))</f>
        <v/>
      </c>
      <c r="L342" s="30" t="str">
        <f aca="false">IF($E342="","",IFERROR(E342/F342*1000,""))</f>
        <v/>
      </c>
      <c r="M342" s="37" t="str">
        <f aca="false">IF($E342="","",IFERROR(H342/G342,""))</f>
        <v/>
      </c>
      <c r="N342" s="30" t="str">
        <f aca="false">IF($E342="","",IFERROR(E342/H342,"—"))</f>
        <v/>
      </c>
      <c r="O342" s="30" t="str">
        <f aca="false">IF($E342="","",IFERROR(INDEX('Гео-калькулятор'!$K$7:$K$13,MATCH($C342,'Гео-калькулятор'!$B$7:$B$13,0)),""))</f>
        <v/>
      </c>
      <c r="P342" s="38" t="str">
        <f aca="false">IF($E342="","",IFERROR(N342/O342,""))</f>
        <v/>
      </c>
      <c r="Q342" s="39" t="str">
        <f aca="false">IF($E342="","",IF($I342&lt;&gt;"",$I342,N($H342)*IFERROR(INDEX('Гео-калькулятор'!$E$7:$E$13,MATCH($C342,'Гео-калькулятор'!$B$7:$B$13,0)),0)))</f>
        <v/>
      </c>
      <c r="R342" s="38" t="str">
        <f aca="false">IF($E342="","",IFERROR(Q342/H342,""))</f>
        <v/>
      </c>
      <c r="S342" s="30" t="str">
        <f aca="false">IF($E342="","",IFERROR(E342/Q342,"—"))</f>
        <v/>
      </c>
      <c r="T342" s="30" t="str">
        <f aca="false">IF($E342="","",Q342*IFERROR(INDEX('Гео-калькулятор'!$D$7:$D$13,MATCH($C342,'Гео-калькулятор'!$B$7:$B$13,0)),0))</f>
        <v/>
      </c>
      <c r="U342" s="40" t="str">
        <f aca="false">IF($E342="","",T342-E342)</f>
        <v/>
      </c>
      <c r="V342" s="41" t="str">
        <f aca="false">IF($E342="","",IFERROR(U342/E342,""))</f>
        <v/>
      </c>
      <c r="W342" s="10" t="str">
        <f aca="false">IF($E342="","",IF($I342&lt;&gt;"","факт","прогноз"))</f>
        <v/>
      </c>
      <c r="X342" s="1"/>
      <c r="Y342" s="1"/>
      <c r="Z342" s="1"/>
      <c r="AA342" s="1"/>
      <c r="AB342" s="1"/>
      <c r="AC342" s="1"/>
      <c r="AD342" s="1"/>
    </row>
    <row r="343" customFormat="false" ht="18" hidden="false" customHeight="true" outlineLevel="0" collapsed="false">
      <c r="A343" s="1"/>
      <c r="B343" s="35"/>
      <c r="C343" s="8"/>
      <c r="D343" s="26"/>
      <c r="E343" s="27"/>
      <c r="F343" s="36"/>
      <c r="G343" s="36"/>
      <c r="H343" s="36"/>
      <c r="I343" s="36"/>
      <c r="J343" s="37" t="str">
        <f aca="false">IF($E343="","",IFERROR(G343/F343,""))</f>
        <v/>
      </c>
      <c r="K343" s="30" t="str">
        <f aca="false">IF($E343="","",IFERROR(E343/G343,""))</f>
        <v/>
      </c>
      <c r="L343" s="30" t="str">
        <f aca="false">IF($E343="","",IFERROR(E343/F343*1000,""))</f>
        <v/>
      </c>
      <c r="M343" s="37" t="str">
        <f aca="false">IF($E343="","",IFERROR(H343/G343,""))</f>
        <v/>
      </c>
      <c r="N343" s="30" t="str">
        <f aca="false">IF($E343="","",IFERROR(E343/H343,"—"))</f>
        <v/>
      </c>
      <c r="O343" s="30" t="str">
        <f aca="false">IF($E343="","",IFERROR(INDEX('Гео-калькулятор'!$K$7:$K$13,MATCH($C343,'Гео-калькулятор'!$B$7:$B$13,0)),""))</f>
        <v/>
      </c>
      <c r="P343" s="38" t="str">
        <f aca="false">IF($E343="","",IFERROR(N343/O343,""))</f>
        <v/>
      </c>
      <c r="Q343" s="39" t="str">
        <f aca="false">IF($E343="","",IF($I343&lt;&gt;"",$I343,N($H343)*IFERROR(INDEX('Гео-калькулятор'!$E$7:$E$13,MATCH($C343,'Гео-калькулятор'!$B$7:$B$13,0)),0)))</f>
        <v/>
      </c>
      <c r="R343" s="38" t="str">
        <f aca="false">IF($E343="","",IFERROR(Q343/H343,""))</f>
        <v/>
      </c>
      <c r="S343" s="30" t="str">
        <f aca="false">IF($E343="","",IFERROR(E343/Q343,"—"))</f>
        <v/>
      </c>
      <c r="T343" s="30" t="str">
        <f aca="false">IF($E343="","",Q343*IFERROR(INDEX('Гео-калькулятор'!$D$7:$D$13,MATCH($C343,'Гео-калькулятор'!$B$7:$B$13,0)),0))</f>
        <v/>
      </c>
      <c r="U343" s="40" t="str">
        <f aca="false">IF($E343="","",T343-E343)</f>
        <v/>
      </c>
      <c r="V343" s="41" t="str">
        <f aca="false">IF($E343="","",IFERROR(U343/E343,""))</f>
        <v/>
      </c>
      <c r="W343" s="10" t="str">
        <f aca="false">IF($E343="","",IF($I343&lt;&gt;"","факт","прогноз"))</f>
        <v/>
      </c>
      <c r="X343" s="1"/>
      <c r="Y343" s="1"/>
      <c r="Z343" s="1"/>
      <c r="AA343" s="1"/>
      <c r="AB343" s="1"/>
      <c r="AC343" s="1"/>
      <c r="AD343" s="1"/>
    </row>
    <row r="344" customFormat="false" ht="18" hidden="false" customHeight="true" outlineLevel="0" collapsed="false">
      <c r="A344" s="1"/>
      <c r="B344" s="35"/>
      <c r="C344" s="8"/>
      <c r="D344" s="26"/>
      <c r="E344" s="27"/>
      <c r="F344" s="36"/>
      <c r="G344" s="36"/>
      <c r="H344" s="36"/>
      <c r="I344" s="36"/>
      <c r="J344" s="37" t="str">
        <f aca="false">IF($E344="","",IFERROR(G344/F344,""))</f>
        <v/>
      </c>
      <c r="K344" s="30" t="str">
        <f aca="false">IF($E344="","",IFERROR(E344/G344,""))</f>
        <v/>
      </c>
      <c r="L344" s="30" t="str">
        <f aca="false">IF($E344="","",IFERROR(E344/F344*1000,""))</f>
        <v/>
      </c>
      <c r="M344" s="37" t="str">
        <f aca="false">IF($E344="","",IFERROR(H344/G344,""))</f>
        <v/>
      </c>
      <c r="N344" s="30" t="str">
        <f aca="false">IF($E344="","",IFERROR(E344/H344,"—"))</f>
        <v/>
      </c>
      <c r="O344" s="30" t="str">
        <f aca="false">IF($E344="","",IFERROR(INDEX('Гео-калькулятор'!$K$7:$K$13,MATCH($C344,'Гео-калькулятор'!$B$7:$B$13,0)),""))</f>
        <v/>
      </c>
      <c r="P344" s="38" t="str">
        <f aca="false">IF($E344="","",IFERROR(N344/O344,""))</f>
        <v/>
      </c>
      <c r="Q344" s="39" t="str">
        <f aca="false">IF($E344="","",IF($I344&lt;&gt;"",$I344,N($H344)*IFERROR(INDEX('Гео-калькулятор'!$E$7:$E$13,MATCH($C344,'Гео-калькулятор'!$B$7:$B$13,0)),0)))</f>
        <v/>
      </c>
      <c r="R344" s="38" t="str">
        <f aca="false">IF($E344="","",IFERROR(Q344/H344,""))</f>
        <v/>
      </c>
      <c r="S344" s="30" t="str">
        <f aca="false">IF($E344="","",IFERROR(E344/Q344,"—"))</f>
        <v/>
      </c>
      <c r="T344" s="30" t="str">
        <f aca="false">IF($E344="","",Q344*IFERROR(INDEX('Гео-калькулятор'!$D$7:$D$13,MATCH($C344,'Гео-калькулятор'!$B$7:$B$13,0)),0))</f>
        <v/>
      </c>
      <c r="U344" s="40" t="str">
        <f aca="false">IF($E344="","",T344-E344)</f>
        <v/>
      </c>
      <c r="V344" s="41" t="str">
        <f aca="false">IF($E344="","",IFERROR(U344/E344,""))</f>
        <v/>
      </c>
      <c r="W344" s="10" t="str">
        <f aca="false">IF($E344="","",IF($I344&lt;&gt;"","факт","прогноз"))</f>
        <v/>
      </c>
      <c r="X344" s="1"/>
      <c r="Y344" s="1"/>
      <c r="Z344" s="1"/>
      <c r="AA344" s="1"/>
      <c r="AB344" s="1"/>
      <c r="AC344" s="1"/>
      <c r="AD344" s="1"/>
    </row>
    <row r="345" customFormat="false" ht="18" hidden="false" customHeight="true" outlineLevel="0" collapsed="false">
      <c r="A345" s="1"/>
      <c r="B345" s="35"/>
      <c r="C345" s="8"/>
      <c r="D345" s="26"/>
      <c r="E345" s="27"/>
      <c r="F345" s="36"/>
      <c r="G345" s="36"/>
      <c r="H345" s="36"/>
      <c r="I345" s="36"/>
      <c r="J345" s="37" t="str">
        <f aca="false">IF($E345="","",IFERROR(G345/F345,""))</f>
        <v/>
      </c>
      <c r="K345" s="30" t="str">
        <f aca="false">IF($E345="","",IFERROR(E345/G345,""))</f>
        <v/>
      </c>
      <c r="L345" s="30" t="str">
        <f aca="false">IF($E345="","",IFERROR(E345/F345*1000,""))</f>
        <v/>
      </c>
      <c r="M345" s="37" t="str">
        <f aca="false">IF($E345="","",IFERROR(H345/G345,""))</f>
        <v/>
      </c>
      <c r="N345" s="30" t="str">
        <f aca="false">IF($E345="","",IFERROR(E345/H345,"—"))</f>
        <v/>
      </c>
      <c r="O345" s="30" t="str">
        <f aca="false">IF($E345="","",IFERROR(INDEX('Гео-калькулятор'!$K$7:$K$13,MATCH($C345,'Гео-калькулятор'!$B$7:$B$13,0)),""))</f>
        <v/>
      </c>
      <c r="P345" s="38" t="str">
        <f aca="false">IF($E345="","",IFERROR(N345/O345,""))</f>
        <v/>
      </c>
      <c r="Q345" s="39" t="str">
        <f aca="false">IF($E345="","",IF($I345&lt;&gt;"",$I345,N($H345)*IFERROR(INDEX('Гео-калькулятор'!$E$7:$E$13,MATCH($C345,'Гео-калькулятор'!$B$7:$B$13,0)),0)))</f>
        <v/>
      </c>
      <c r="R345" s="38" t="str">
        <f aca="false">IF($E345="","",IFERROR(Q345/H345,""))</f>
        <v/>
      </c>
      <c r="S345" s="30" t="str">
        <f aca="false">IF($E345="","",IFERROR(E345/Q345,"—"))</f>
        <v/>
      </c>
      <c r="T345" s="30" t="str">
        <f aca="false">IF($E345="","",Q345*IFERROR(INDEX('Гео-калькулятор'!$D$7:$D$13,MATCH($C345,'Гео-калькулятор'!$B$7:$B$13,0)),0))</f>
        <v/>
      </c>
      <c r="U345" s="40" t="str">
        <f aca="false">IF($E345="","",T345-E345)</f>
        <v/>
      </c>
      <c r="V345" s="41" t="str">
        <f aca="false">IF($E345="","",IFERROR(U345/E345,""))</f>
        <v/>
      </c>
      <c r="W345" s="10" t="str">
        <f aca="false">IF($E345="","",IF($I345&lt;&gt;"","факт","прогноз"))</f>
        <v/>
      </c>
      <c r="X345" s="1"/>
      <c r="Y345" s="1"/>
      <c r="Z345" s="1"/>
      <c r="AA345" s="1"/>
      <c r="AB345" s="1"/>
      <c r="AC345" s="1"/>
      <c r="AD345" s="1"/>
    </row>
    <row r="346" customFormat="false" ht="18" hidden="false" customHeight="true" outlineLevel="0" collapsed="false">
      <c r="A346" s="1"/>
      <c r="B346" s="35"/>
      <c r="C346" s="8"/>
      <c r="D346" s="26"/>
      <c r="E346" s="27"/>
      <c r="F346" s="36"/>
      <c r="G346" s="36"/>
      <c r="H346" s="36"/>
      <c r="I346" s="36"/>
      <c r="J346" s="37" t="str">
        <f aca="false">IF($E346="","",IFERROR(G346/F346,""))</f>
        <v/>
      </c>
      <c r="K346" s="30" t="str">
        <f aca="false">IF($E346="","",IFERROR(E346/G346,""))</f>
        <v/>
      </c>
      <c r="L346" s="30" t="str">
        <f aca="false">IF($E346="","",IFERROR(E346/F346*1000,""))</f>
        <v/>
      </c>
      <c r="M346" s="37" t="str">
        <f aca="false">IF($E346="","",IFERROR(H346/G346,""))</f>
        <v/>
      </c>
      <c r="N346" s="30" t="str">
        <f aca="false">IF($E346="","",IFERROR(E346/H346,"—"))</f>
        <v/>
      </c>
      <c r="O346" s="30" t="str">
        <f aca="false">IF($E346="","",IFERROR(INDEX('Гео-калькулятор'!$K$7:$K$13,MATCH($C346,'Гео-калькулятор'!$B$7:$B$13,0)),""))</f>
        <v/>
      </c>
      <c r="P346" s="38" t="str">
        <f aca="false">IF($E346="","",IFERROR(N346/O346,""))</f>
        <v/>
      </c>
      <c r="Q346" s="39" t="str">
        <f aca="false">IF($E346="","",IF($I346&lt;&gt;"",$I346,N($H346)*IFERROR(INDEX('Гео-калькулятор'!$E$7:$E$13,MATCH($C346,'Гео-калькулятор'!$B$7:$B$13,0)),0)))</f>
        <v/>
      </c>
      <c r="R346" s="38" t="str">
        <f aca="false">IF($E346="","",IFERROR(Q346/H346,""))</f>
        <v/>
      </c>
      <c r="S346" s="30" t="str">
        <f aca="false">IF($E346="","",IFERROR(E346/Q346,"—"))</f>
        <v/>
      </c>
      <c r="T346" s="30" t="str">
        <f aca="false">IF($E346="","",Q346*IFERROR(INDEX('Гео-калькулятор'!$D$7:$D$13,MATCH($C346,'Гео-калькулятор'!$B$7:$B$13,0)),0))</f>
        <v/>
      </c>
      <c r="U346" s="40" t="str">
        <f aca="false">IF($E346="","",T346-E346)</f>
        <v/>
      </c>
      <c r="V346" s="41" t="str">
        <f aca="false">IF($E346="","",IFERROR(U346/E346,""))</f>
        <v/>
      </c>
      <c r="W346" s="10" t="str">
        <f aca="false">IF($E346="","",IF($I346&lt;&gt;"","факт","прогноз"))</f>
        <v/>
      </c>
      <c r="X346" s="1"/>
      <c r="Y346" s="1"/>
      <c r="Z346" s="1"/>
      <c r="AA346" s="1"/>
      <c r="AB346" s="1"/>
      <c r="AC346" s="1"/>
      <c r="AD346" s="1"/>
    </row>
    <row r="347" customFormat="false" ht="18" hidden="false" customHeight="true" outlineLevel="0" collapsed="false">
      <c r="A347" s="1"/>
      <c r="B347" s="35"/>
      <c r="C347" s="8"/>
      <c r="D347" s="26"/>
      <c r="E347" s="27"/>
      <c r="F347" s="36"/>
      <c r="G347" s="36"/>
      <c r="H347" s="36"/>
      <c r="I347" s="36"/>
      <c r="J347" s="37" t="str">
        <f aca="false">IF($E347="","",IFERROR(G347/F347,""))</f>
        <v/>
      </c>
      <c r="K347" s="30" t="str">
        <f aca="false">IF($E347="","",IFERROR(E347/G347,""))</f>
        <v/>
      </c>
      <c r="L347" s="30" t="str">
        <f aca="false">IF($E347="","",IFERROR(E347/F347*1000,""))</f>
        <v/>
      </c>
      <c r="M347" s="37" t="str">
        <f aca="false">IF($E347="","",IFERROR(H347/G347,""))</f>
        <v/>
      </c>
      <c r="N347" s="30" t="str">
        <f aca="false">IF($E347="","",IFERROR(E347/H347,"—"))</f>
        <v/>
      </c>
      <c r="O347" s="30" t="str">
        <f aca="false">IF($E347="","",IFERROR(INDEX('Гео-калькулятор'!$K$7:$K$13,MATCH($C347,'Гео-калькулятор'!$B$7:$B$13,0)),""))</f>
        <v/>
      </c>
      <c r="P347" s="38" t="str">
        <f aca="false">IF($E347="","",IFERROR(N347/O347,""))</f>
        <v/>
      </c>
      <c r="Q347" s="39" t="str">
        <f aca="false">IF($E347="","",IF($I347&lt;&gt;"",$I347,N($H347)*IFERROR(INDEX('Гео-калькулятор'!$E$7:$E$13,MATCH($C347,'Гео-калькулятор'!$B$7:$B$13,0)),0)))</f>
        <v/>
      </c>
      <c r="R347" s="38" t="str">
        <f aca="false">IF($E347="","",IFERROR(Q347/H347,""))</f>
        <v/>
      </c>
      <c r="S347" s="30" t="str">
        <f aca="false">IF($E347="","",IFERROR(E347/Q347,"—"))</f>
        <v/>
      </c>
      <c r="T347" s="30" t="str">
        <f aca="false">IF($E347="","",Q347*IFERROR(INDEX('Гео-калькулятор'!$D$7:$D$13,MATCH($C347,'Гео-калькулятор'!$B$7:$B$13,0)),0))</f>
        <v/>
      </c>
      <c r="U347" s="40" t="str">
        <f aca="false">IF($E347="","",T347-E347)</f>
        <v/>
      </c>
      <c r="V347" s="41" t="str">
        <f aca="false">IF($E347="","",IFERROR(U347/E347,""))</f>
        <v/>
      </c>
      <c r="W347" s="10" t="str">
        <f aca="false">IF($E347="","",IF($I347&lt;&gt;"","факт","прогноз"))</f>
        <v/>
      </c>
      <c r="X347" s="1"/>
      <c r="Y347" s="1"/>
      <c r="Z347" s="1"/>
      <c r="AA347" s="1"/>
      <c r="AB347" s="1"/>
      <c r="AC347" s="1"/>
      <c r="AD347" s="1"/>
    </row>
    <row r="348" customFormat="false" ht="18" hidden="false" customHeight="true" outlineLevel="0" collapsed="false">
      <c r="A348" s="1"/>
      <c r="B348" s="35"/>
      <c r="C348" s="8"/>
      <c r="D348" s="26"/>
      <c r="E348" s="27"/>
      <c r="F348" s="36"/>
      <c r="G348" s="36"/>
      <c r="H348" s="36"/>
      <c r="I348" s="36"/>
      <c r="J348" s="37" t="str">
        <f aca="false">IF($E348="","",IFERROR(G348/F348,""))</f>
        <v/>
      </c>
      <c r="K348" s="30" t="str">
        <f aca="false">IF($E348="","",IFERROR(E348/G348,""))</f>
        <v/>
      </c>
      <c r="L348" s="30" t="str">
        <f aca="false">IF($E348="","",IFERROR(E348/F348*1000,""))</f>
        <v/>
      </c>
      <c r="M348" s="37" t="str">
        <f aca="false">IF($E348="","",IFERROR(H348/G348,""))</f>
        <v/>
      </c>
      <c r="N348" s="30" t="str">
        <f aca="false">IF($E348="","",IFERROR(E348/H348,"—"))</f>
        <v/>
      </c>
      <c r="O348" s="30" t="str">
        <f aca="false">IF($E348="","",IFERROR(INDEX('Гео-калькулятор'!$K$7:$K$13,MATCH($C348,'Гео-калькулятор'!$B$7:$B$13,0)),""))</f>
        <v/>
      </c>
      <c r="P348" s="38" t="str">
        <f aca="false">IF($E348="","",IFERROR(N348/O348,""))</f>
        <v/>
      </c>
      <c r="Q348" s="39" t="str">
        <f aca="false">IF($E348="","",IF($I348&lt;&gt;"",$I348,N($H348)*IFERROR(INDEX('Гео-калькулятор'!$E$7:$E$13,MATCH($C348,'Гео-калькулятор'!$B$7:$B$13,0)),0)))</f>
        <v/>
      </c>
      <c r="R348" s="38" t="str">
        <f aca="false">IF($E348="","",IFERROR(Q348/H348,""))</f>
        <v/>
      </c>
      <c r="S348" s="30" t="str">
        <f aca="false">IF($E348="","",IFERROR(E348/Q348,"—"))</f>
        <v/>
      </c>
      <c r="T348" s="30" t="str">
        <f aca="false">IF($E348="","",Q348*IFERROR(INDEX('Гео-калькулятор'!$D$7:$D$13,MATCH($C348,'Гео-калькулятор'!$B$7:$B$13,0)),0))</f>
        <v/>
      </c>
      <c r="U348" s="40" t="str">
        <f aca="false">IF($E348="","",T348-E348)</f>
        <v/>
      </c>
      <c r="V348" s="41" t="str">
        <f aca="false">IF($E348="","",IFERROR(U348/E348,""))</f>
        <v/>
      </c>
      <c r="W348" s="10" t="str">
        <f aca="false">IF($E348="","",IF($I348&lt;&gt;"","факт","прогноз"))</f>
        <v/>
      </c>
      <c r="X348" s="1"/>
      <c r="Y348" s="1"/>
      <c r="Z348" s="1"/>
      <c r="AA348" s="1"/>
      <c r="AB348" s="1"/>
      <c r="AC348" s="1"/>
      <c r="AD348" s="1"/>
    </row>
    <row r="349" customFormat="false" ht="18" hidden="false" customHeight="true" outlineLevel="0" collapsed="false">
      <c r="A349" s="1"/>
      <c r="B349" s="35"/>
      <c r="C349" s="8"/>
      <c r="D349" s="26"/>
      <c r="E349" s="27"/>
      <c r="F349" s="36"/>
      <c r="G349" s="36"/>
      <c r="H349" s="36"/>
      <c r="I349" s="36"/>
      <c r="J349" s="37" t="str">
        <f aca="false">IF($E349="","",IFERROR(G349/F349,""))</f>
        <v/>
      </c>
      <c r="K349" s="30" t="str">
        <f aca="false">IF($E349="","",IFERROR(E349/G349,""))</f>
        <v/>
      </c>
      <c r="L349" s="30" t="str">
        <f aca="false">IF($E349="","",IFERROR(E349/F349*1000,""))</f>
        <v/>
      </c>
      <c r="M349" s="37" t="str">
        <f aca="false">IF($E349="","",IFERROR(H349/G349,""))</f>
        <v/>
      </c>
      <c r="N349" s="30" t="str">
        <f aca="false">IF($E349="","",IFERROR(E349/H349,"—"))</f>
        <v/>
      </c>
      <c r="O349" s="30" t="str">
        <f aca="false">IF($E349="","",IFERROR(INDEX('Гео-калькулятор'!$K$7:$K$13,MATCH($C349,'Гео-калькулятор'!$B$7:$B$13,0)),""))</f>
        <v/>
      </c>
      <c r="P349" s="38" t="str">
        <f aca="false">IF($E349="","",IFERROR(N349/O349,""))</f>
        <v/>
      </c>
      <c r="Q349" s="39" t="str">
        <f aca="false">IF($E349="","",IF($I349&lt;&gt;"",$I349,N($H349)*IFERROR(INDEX('Гео-калькулятор'!$E$7:$E$13,MATCH($C349,'Гео-калькулятор'!$B$7:$B$13,0)),0)))</f>
        <v/>
      </c>
      <c r="R349" s="38" t="str">
        <f aca="false">IF($E349="","",IFERROR(Q349/H349,""))</f>
        <v/>
      </c>
      <c r="S349" s="30" t="str">
        <f aca="false">IF($E349="","",IFERROR(E349/Q349,"—"))</f>
        <v/>
      </c>
      <c r="T349" s="30" t="str">
        <f aca="false">IF($E349="","",Q349*IFERROR(INDEX('Гео-калькулятор'!$D$7:$D$13,MATCH($C349,'Гео-калькулятор'!$B$7:$B$13,0)),0))</f>
        <v/>
      </c>
      <c r="U349" s="40" t="str">
        <f aca="false">IF($E349="","",T349-E349)</f>
        <v/>
      </c>
      <c r="V349" s="41" t="str">
        <f aca="false">IF($E349="","",IFERROR(U349/E349,""))</f>
        <v/>
      </c>
      <c r="W349" s="10" t="str">
        <f aca="false">IF($E349="","",IF($I349&lt;&gt;"","факт","прогноз"))</f>
        <v/>
      </c>
      <c r="X349" s="1"/>
      <c r="Y349" s="1"/>
      <c r="Z349" s="1"/>
      <c r="AA349" s="1"/>
      <c r="AB349" s="1"/>
      <c r="AC349" s="1"/>
      <c r="AD349" s="1"/>
    </row>
    <row r="350" customFormat="false" ht="18" hidden="false" customHeight="true" outlineLevel="0" collapsed="false">
      <c r="A350" s="1"/>
      <c r="B350" s="35"/>
      <c r="C350" s="8"/>
      <c r="D350" s="26"/>
      <c r="E350" s="27"/>
      <c r="F350" s="36"/>
      <c r="G350" s="36"/>
      <c r="H350" s="36"/>
      <c r="I350" s="36"/>
      <c r="J350" s="37" t="str">
        <f aca="false">IF($E350="","",IFERROR(G350/F350,""))</f>
        <v/>
      </c>
      <c r="K350" s="30" t="str">
        <f aca="false">IF($E350="","",IFERROR(E350/G350,""))</f>
        <v/>
      </c>
      <c r="L350" s="30" t="str">
        <f aca="false">IF($E350="","",IFERROR(E350/F350*1000,""))</f>
        <v/>
      </c>
      <c r="M350" s="37" t="str">
        <f aca="false">IF($E350="","",IFERROR(H350/G350,""))</f>
        <v/>
      </c>
      <c r="N350" s="30" t="str">
        <f aca="false">IF($E350="","",IFERROR(E350/H350,"—"))</f>
        <v/>
      </c>
      <c r="O350" s="30" t="str">
        <f aca="false">IF($E350="","",IFERROR(INDEX('Гео-калькулятор'!$K$7:$K$13,MATCH($C350,'Гео-калькулятор'!$B$7:$B$13,0)),""))</f>
        <v/>
      </c>
      <c r="P350" s="38" t="str">
        <f aca="false">IF($E350="","",IFERROR(N350/O350,""))</f>
        <v/>
      </c>
      <c r="Q350" s="39" t="str">
        <f aca="false">IF($E350="","",IF($I350&lt;&gt;"",$I350,N($H350)*IFERROR(INDEX('Гео-калькулятор'!$E$7:$E$13,MATCH($C350,'Гео-калькулятор'!$B$7:$B$13,0)),0)))</f>
        <v/>
      </c>
      <c r="R350" s="38" t="str">
        <f aca="false">IF($E350="","",IFERROR(Q350/H350,""))</f>
        <v/>
      </c>
      <c r="S350" s="30" t="str">
        <f aca="false">IF($E350="","",IFERROR(E350/Q350,"—"))</f>
        <v/>
      </c>
      <c r="T350" s="30" t="str">
        <f aca="false">IF($E350="","",Q350*IFERROR(INDEX('Гео-калькулятор'!$D$7:$D$13,MATCH($C350,'Гео-калькулятор'!$B$7:$B$13,0)),0))</f>
        <v/>
      </c>
      <c r="U350" s="40" t="str">
        <f aca="false">IF($E350="","",T350-E350)</f>
        <v/>
      </c>
      <c r="V350" s="41" t="str">
        <f aca="false">IF($E350="","",IFERROR(U350/E350,""))</f>
        <v/>
      </c>
      <c r="W350" s="10" t="str">
        <f aca="false">IF($E350="","",IF($I350&lt;&gt;"","факт","прогноз"))</f>
        <v/>
      </c>
      <c r="X350" s="1"/>
      <c r="Y350" s="1"/>
      <c r="Z350" s="1"/>
      <c r="AA350" s="1"/>
      <c r="AB350" s="1"/>
      <c r="AC350" s="1"/>
      <c r="AD350" s="1"/>
    </row>
    <row r="351" customFormat="false" ht="18" hidden="false" customHeight="true" outlineLevel="0" collapsed="false">
      <c r="A351" s="1"/>
      <c r="B351" s="35"/>
      <c r="C351" s="8"/>
      <c r="D351" s="26"/>
      <c r="E351" s="27"/>
      <c r="F351" s="36"/>
      <c r="G351" s="36"/>
      <c r="H351" s="36"/>
      <c r="I351" s="36"/>
      <c r="J351" s="37" t="str">
        <f aca="false">IF($E351="","",IFERROR(G351/F351,""))</f>
        <v/>
      </c>
      <c r="K351" s="30" t="str">
        <f aca="false">IF($E351="","",IFERROR(E351/G351,""))</f>
        <v/>
      </c>
      <c r="L351" s="30" t="str">
        <f aca="false">IF($E351="","",IFERROR(E351/F351*1000,""))</f>
        <v/>
      </c>
      <c r="M351" s="37" t="str">
        <f aca="false">IF($E351="","",IFERROR(H351/G351,""))</f>
        <v/>
      </c>
      <c r="N351" s="30" t="str">
        <f aca="false">IF($E351="","",IFERROR(E351/H351,"—"))</f>
        <v/>
      </c>
      <c r="O351" s="30" t="str">
        <f aca="false">IF($E351="","",IFERROR(INDEX('Гео-калькулятор'!$K$7:$K$13,MATCH($C351,'Гео-калькулятор'!$B$7:$B$13,0)),""))</f>
        <v/>
      </c>
      <c r="P351" s="38" t="str">
        <f aca="false">IF($E351="","",IFERROR(N351/O351,""))</f>
        <v/>
      </c>
      <c r="Q351" s="39" t="str">
        <f aca="false">IF($E351="","",IF($I351&lt;&gt;"",$I351,N($H351)*IFERROR(INDEX('Гео-калькулятор'!$E$7:$E$13,MATCH($C351,'Гео-калькулятор'!$B$7:$B$13,0)),0)))</f>
        <v/>
      </c>
      <c r="R351" s="38" t="str">
        <f aca="false">IF($E351="","",IFERROR(Q351/H351,""))</f>
        <v/>
      </c>
      <c r="S351" s="30" t="str">
        <f aca="false">IF($E351="","",IFERROR(E351/Q351,"—"))</f>
        <v/>
      </c>
      <c r="T351" s="30" t="str">
        <f aca="false">IF($E351="","",Q351*IFERROR(INDEX('Гео-калькулятор'!$D$7:$D$13,MATCH($C351,'Гео-калькулятор'!$B$7:$B$13,0)),0))</f>
        <v/>
      </c>
      <c r="U351" s="40" t="str">
        <f aca="false">IF($E351="","",T351-E351)</f>
        <v/>
      </c>
      <c r="V351" s="41" t="str">
        <f aca="false">IF($E351="","",IFERROR(U351/E351,""))</f>
        <v/>
      </c>
      <c r="W351" s="10" t="str">
        <f aca="false">IF($E351="","",IF($I351&lt;&gt;"","факт","прогноз"))</f>
        <v/>
      </c>
      <c r="X351" s="1"/>
      <c r="Y351" s="1"/>
      <c r="Z351" s="1"/>
      <c r="AA351" s="1"/>
      <c r="AB351" s="1"/>
      <c r="AC351" s="1"/>
      <c r="AD351" s="1"/>
    </row>
    <row r="352" customFormat="false" ht="18" hidden="false" customHeight="true" outlineLevel="0" collapsed="false">
      <c r="A352" s="1"/>
      <c r="B352" s="35"/>
      <c r="C352" s="8"/>
      <c r="D352" s="26"/>
      <c r="E352" s="27"/>
      <c r="F352" s="36"/>
      <c r="G352" s="36"/>
      <c r="H352" s="36"/>
      <c r="I352" s="36"/>
      <c r="J352" s="37" t="str">
        <f aca="false">IF($E352="","",IFERROR(G352/F352,""))</f>
        <v/>
      </c>
      <c r="K352" s="30" t="str">
        <f aca="false">IF($E352="","",IFERROR(E352/G352,""))</f>
        <v/>
      </c>
      <c r="L352" s="30" t="str">
        <f aca="false">IF($E352="","",IFERROR(E352/F352*1000,""))</f>
        <v/>
      </c>
      <c r="M352" s="37" t="str">
        <f aca="false">IF($E352="","",IFERROR(H352/G352,""))</f>
        <v/>
      </c>
      <c r="N352" s="30" t="str">
        <f aca="false">IF($E352="","",IFERROR(E352/H352,"—"))</f>
        <v/>
      </c>
      <c r="O352" s="30" t="str">
        <f aca="false">IF($E352="","",IFERROR(INDEX('Гео-калькулятор'!$K$7:$K$13,MATCH($C352,'Гео-калькулятор'!$B$7:$B$13,0)),""))</f>
        <v/>
      </c>
      <c r="P352" s="38" t="str">
        <f aca="false">IF($E352="","",IFERROR(N352/O352,""))</f>
        <v/>
      </c>
      <c r="Q352" s="39" t="str">
        <f aca="false">IF($E352="","",IF($I352&lt;&gt;"",$I352,N($H352)*IFERROR(INDEX('Гео-калькулятор'!$E$7:$E$13,MATCH($C352,'Гео-калькулятор'!$B$7:$B$13,0)),0)))</f>
        <v/>
      </c>
      <c r="R352" s="38" t="str">
        <f aca="false">IF($E352="","",IFERROR(Q352/H352,""))</f>
        <v/>
      </c>
      <c r="S352" s="30" t="str">
        <f aca="false">IF($E352="","",IFERROR(E352/Q352,"—"))</f>
        <v/>
      </c>
      <c r="T352" s="30" t="str">
        <f aca="false">IF($E352="","",Q352*IFERROR(INDEX('Гео-калькулятор'!$D$7:$D$13,MATCH($C352,'Гео-калькулятор'!$B$7:$B$13,0)),0))</f>
        <v/>
      </c>
      <c r="U352" s="40" t="str">
        <f aca="false">IF($E352="","",T352-E352)</f>
        <v/>
      </c>
      <c r="V352" s="41" t="str">
        <f aca="false">IF($E352="","",IFERROR(U352/E352,""))</f>
        <v/>
      </c>
      <c r="W352" s="10" t="str">
        <f aca="false">IF($E352="","",IF($I352&lt;&gt;"","факт","прогноз"))</f>
        <v/>
      </c>
      <c r="X352" s="1"/>
      <c r="Y352" s="1"/>
      <c r="Z352" s="1"/>
      <c r="AA352" s="1"/>
      <c r="AB352" s="1"/>
      <c r="AC352" s="1"/>
      <c r="AD352" s="1"/>
    </row>
    <row r="353" customFormat="false" ht="18" hidden="false" customHeight="true" outlineLevel="0" collapsed="false">
      <c r="A353" s="1"/>
      <c r="B353" s="35"/>
      <c r="C353" s="8"/>
      <c r="D353" s="26"/>
      <c r="E353" s="27"/>
      <c r="F353" s="36"/>
      <c r="G353" s="36"/>
      <c r="H353" s="36"/>
      <c r="I353" s="36"/>
      <c r="J353" s="37" t="str">
        <f aca="false">IF($E353="","",IFERROR(G353/F353,""))</f>
        <v/>
      </c>
      <c r="K353" s="30" t="str">
        <f aca="false">IF($E353="","",IFERROR(E353/G353,""))</f>
        <v/>
      </c>
      <c r="L353" s="30" t="str">
        <f aca="false">IF($E353="","",IFERROR(E353/F353*1000,""))</f>
        <v/>
      </c>
      <c r="M353" s="37" t="str">
        <f aca="false">IF($E353="","",IFERROR(H353/G353,""))</f>
        <v/>
      </c>
      <c r="N353" s="30" t="str">
        <f aca="false">IF($E353="","",IFERROR(E353/H353,"—"))</f>
        <v/>
      </c>
      <c r="O353" s="30" t="str">
        <f aca="false">IF($E353="","",IFERROR(INDEX('Гео-калькулятор'!$K$7:$K$13,MATCH($C353,'Гео-калькулятор'!$B$7:$B$13,0)),""))</f>
        <v/>
      </c>
      <c r="P353" s="38" t="str">
        <f aca="false">IF($E353="","",IFERROR(N353/O353,""))</f>
        <v/>
      </c>
      <c r="Q353" s="39" t="str">
        <f aca="false">IF($E353="","",IF($I353&lt;&gt;"",$I353,N($H353)*IFERROR(INDEX('Гео-калькулятор'!$E$7:$E$13,MATCH($C353,'Гео-калькулятор'!$B$7:$B$13,0)),0)))</f>
        <v/>
      </c>
      <c r="R353" s="38" t="str">
        <f aca="false">IF($E353="","",IFERROR(Q353/H353,""))</f>
        <v/>
      </c>
      <c r="S353" s="30" t="str">
        <f aca="false">IF($E353="","",IFERROR(E353/Q353,"—"))</f>
        <v/>
      </c>
      <c r="T353" s="30" t="str">
        <f aca="false">IF($E353="","",Q353*IFERROR(INDEX('Гео-калькулятор'!$D$7:$D$13,MATCH($C353,'Гео-калькулятор'!$B$7:$B$13,0)),0))</f>
        <v/>
      </c>
      <c r="U353" s="40" t="str">
        <f aca="false">IF($E353="","",T353-E353)</f>
        <v/>
      </c>
      <c r="V353" s="41" t="str">
        <f aca="false">IF($E353="","",IFERROR(U353/E353,""))</f>
        <v/>
      </c>
      <c r="W353" s="10" t="str">
        <f aca="false">IF($E353="","",IF($I353&lt;&gt;"","факт","прогноз"))</f>
        <v/>
      </c>
      <c r="X353" s="1"/>
      <c r="Y353" s="1"/>
      <c r="Z353" s="1"/>
      <c r="AA353" s="1"/>
      <c r="AB353" s="1"/>
      <c r="AC353" s="1"/>
      <c r="AD353" s="1"/>
    </row>
    <row r="354" customFormat="false" ht="18" hidden="false" customHeight="true" outlineLevel="0" collapsed="false">
      <c r="A354" s="1"/>
      <c r="B354" s="35"/>
      <c r="C354" s="8"/>
      <c r="D354" s="26"/>
      <c r="E354" s="27"/>
      <c r="F354" s="36"/>
      <c r="G354" s="36"/>
      <c r="H354" s="36"/>
      <c r="I354" s="36"/>
      <c r="J354" s="37" t="str">
        <f aca="false">IF($E354="","",IFERROR(G354/F354,""))</f>
        <v/>
      </c>
      <c r="K354" s="30" t="str">
        <f aca="false">IF($E354="","",IFERROR(E354/G354,""))</f>
        <v/>
      </c>
      <c r="L354" s="30" t="str">
        <f aca="false">IF($E354="","",IFERROR(E354/F354*1000,""))</f>
        <v/>
      </c>
      <c r="M354" s="37" t="str">
        <f aca="false">IF($E354="","",IFERROR(H354/G354,""))</f>
        <v/>
      </c>
      <c r="N354" s="30" t="str">
        <f aca="false">IF($E354="","",IFERROR(E354/H354,"—"))</f>
        <v/>
      </c>
      <c r="O354" s="30" t="str">
        <f aca="false">IF($E354="","",IFERROR(INDEX('Гео-калькулятор'!$K$7:$K$13,MATCH($C354,'Гео-калькулятор'!$B$7:$B$13,0)),""))</f>
        <v/>
      </c>
      <c r="P354" s="38" t="str">
        <f aca="false">IF($E354="","",IFERROR(N354/O354,""))</f>
        <v/>
      </c>
      <c r="Q354" s="39" t="str">
        <f aca="false">IF($E354="","",IF($I354&lt;&gt;"",$I354,N($H354)*IFERROR(INDEX('Гео-калькулятор'!$E$7:$E$13,MATCH($C354,'Гео-калькулятор'!$B$7:$B$13,0)),0)))</f>
        <v/>
      </c>
      <c r="R354" s="38" t="str">
        <f aca="false">IF($E354="","",IFERROR(Q354/H354,""))</f>
        <v/>
      </c>
      <c r="S354" s="30" t="str">
        <f aca="false">IF($E354="","",IFERROR(E354/Q354,"—"))</f>
        <v/>
      </c>
      <c r="T354" s="30" t="str">
        <f aca="false">IF($E354="","",Q354*IFERROR(INDEX('Гео-калькулятор'!$D$7:$D$13,MATCH($C354,'Гео-калькулятор'!$B$7:$B$13,0)),0))</f>
        <v/>
      </c>
      <c r="U354" s="40" t="str">
        <f aca="false">IF($E354="","",T354-E354)</f>
        <v/>
      </c>
      <c r="V354" s="41" t="str">
        <f aca="false">IF($E354="","",IFERROR(U354/E354,""))</f>
        <v/>
      </c>
      <c r="W354" s="10" t="str">
        <f aca="false">IF($E354="","",IF($I354&lt;&gt;"","факт","прогноз"))</f>
        <v/>
      </c>
      <c r="X354" s="1"/>
      <c r="Y354" s="1"/>
      <c r="Z354" s="1"/>
      <c r="AA354" s="1"/>
      <c r="AB354" s="1"/>
      <c r="AC354" s="1"/>
      <c r="AD354" s="1"/>
    </row>
    <row r="355" customFormat="false" ht="18" hidden="false" customHeight="true" outlineLevel="0" collapsed="false">
      <c r="A355" s="1"/>
      <c r="B355" s="35"/>
      <c r="C355" s="8"/>
      <c r="D355" s="26"/>
      <c r="E355" s="27"/>
      <c r="F355" s="36"/>
      <c r="G355" s="36"/>
      <c r="H355" s="36"/>
      <c r="I355" s="36"/>
      <c r="J355" s="37" t="str">
        <f aca="false">IF($E355="","",IFERROR(G355/F355,""))</f>
        <v/>
      </c>
      <c r="K355" s="30" t="str">
        <f aca="false">IF($E355="","",IFERROR(E355/G355,""))</f>
        <v/>
      </c>
      <c r="L355" s="30" t="str">
        <f aca="false">IF($E355="","",IFERROR(E355/F355*1000,""))</f>
        <v/>
      </c>
      <c r="M355" s="37" t="str">
        <f aca="false">IF($E355="","",IFERROR(H355/G355,""))</f>
        <v/>
      </c>
      <c r="N355" s="30" t="str">
        <f aca="false">IF($E355="","",IFERROR(E355/H355,"—"))</f>
        <v/>
      </c>
      <c r="O355" s="30" t="str">
        <f aca="false">IF($E355="","",IFERROR(INDEX('Гео-калькулятор'!$K$7:$K$13,MATCH($C355,'Гео-калькулятор'!$B$7:$B$13,0)),""))</f>
        <v/>
      </c>
      <c r="P355" s="38" t="str">
        <f aca="false">IF($E355="","",IFERROR(N355/O355,""))</f>
        <v/>
      </c>
      <c r="Q355" s="39" t="str">
        <f aca="false">IF($E355="","",IF($I355&lt;&gt;"",$I355,N($H355)*IFERROR(INDEX('Гео-калькулятор'!$E$7:$E$13,MATCH($C355,'Гео-калькулятор'!$B$7:$B$13,0)),0)))</f>
        <v/>
      </c>
      <c r="R355" s="38" t="str">
        <f aca="false">IF($E355="","",IFERROR(Q355/H355,""))</f>
        <v/>
      </c>
      <c r="S355" s="30" t="str">
        <f aca="false">IF($E355="","",IFERROR(E355/Q355,"—"))</f>
        <v/>
      </c>
      <c r="T355" s="30" t="str">
        <f aca="false">IF($E355="","",Q355*IFERROR(INDEX('Гео-калькулятор'!$D$7:$D$13,MATCH($C355,'Гео-калькулятор'!$B$7:$B$13,0)),0))</f>
        <v/>
      </c>
      <c r="U355" s="40" t="str">
        <f aca="false">IF($E355="","",T355-E355)</f>
        <v/>
      </c>
      <c r="V355" s="41" t="str">
        <f aca="false">IF($E355="","",IFERROR(U355/E355,""))</f>
        <v/>
      </c>
      <c r="W355" s="10" t="str">
        <f aca="false">IF($E355="","",IF($I355&lt;&gt;"","факт","прогноз"))</f>
        <v/>
      </c>
      <c r="X355" s="1"/>
      <c r="Y355" s="1"/>
      <c r="Z355" s="1"/>
      <c r="AA355" s="1"/>
      <c r="AB355" s="1"/>
      <c r="AC355" s="1"/>
      <c r="AD355" s="1"/>
    </row>
    <row r="356" customFormat="false" ht="18" hidden="false" customHeight="true" outlineLevel="0" collapsed="false">
      <c r="A356" s="1"/>
      <c r="B356" s="35"/>
      <c r="C356" s="8"/>
      <c r="D356" s="26"/>
      <c r="E356" s="27"/>
      <c r="F356" s="36"/>
      <c r="G356" s="36"/>
      <c r="H356" s="36"/>
      <c r="I356" s="36"/>
      <c r="J356" s="37" t="str">
        <f aca="false">IF($E356="","",IFERROR(G356/F356,""))</f>
        <v/>
      </c>
      <c r="K356" s="30" t="str">
        <f aca="false">IF($E356="","",IFERROR(E356/G356,""))</f>
        <v/>
      </c>
      <c r="L356" s="30" t="str">
        <f aca="false">IF($E356="","",IFERROR(E356/F356*1000,""))</f>
        <v/>
      </c>
      <c r="M356" s="37" t="str">
        <f aca="false">IF($E356="","",IFERROR(H356/G356,""))</f>
        <v/>
      </c>
      <c r="N356" s="30" t="str">
        <f aca="false">IF($E356="","",IFERROR(E356/H356,"—"))</f>
        <v/>
      </c>
      <c r="O356" s="30" t="str">
        <f aca="false">IF($E356="","",IFERROR(INDEX('Гео-калькулятор'!$K$7:$K$13,MATCH($C356,'Гео-калькулятор'!$B$7:$B$13,0)),""))</f>
        <v/>
      </c>
      <c r="P356" s="38" t="str">
        <f aca="false">IF($E356="","",IFERROR(N356/O356,""))</f>
        <v/>
      </c>
      <c r="Q356" s="39" t="str">
        <f aca="false">IF($E356="","",IF($I356&lt;&gt;"",$I356,N($H356)*IFERROR(INDEX('Гео-калькулятор'!$E$7:$E$13,MATCH($C356,'Гео-калькулятор'!$B$7:$B$13,0)),0)))</f>
        <v/>
      </c>
      <c r="R356" s="38" t="str">
        <f aca="false">IF($E356="","",IFERROR(Q356/H356,""))</f>
        <v/>
      </c>
      <c r="S356" s="30" t="str">
        <f aca="false">IF($E356="","",IFERROR(E356/Q356,"—"))</f>
        <v/>
      </c>
      <c r="T356" s="30" t="str">
        <f aca="false">IF($E356="","",Q356*IFERROR(INDEX('Гео-калькулятор'!$D$7:$D$13,MATCH($C356,'Гео-калькулятор'!$B$7:$B$13,0)),0))</f>
        <v/>
      </c>
      <c r="U356" s="40" t="str">
        <f aca="false">IF($E356="","",T356-E356)</f>
        <v/>
      </c>
      <c r="V356" s="41" t="str">
        <f aca="false">IF($E356="","",IFERROR(U356/E356,""))</f>
        <v/>
      </c>
      <c r="W356" s="10" t="str">
        <f aca="false">IF($E356="","",IF($I356&lt;&gt;"","факт","прогноз"))</f>
        <v/>
      </c>
      <c r="X356" s="1"/>
      <c r="Y356" s="1"/>
      <c r="Z356" s="1"/>
      <c r="AA356" s="1"/>
      <c r="AB356" s="1"/>
      <c r="AC356" s="1"/>
      <c r="AD356" s="1"/>
    </row>
    <row r="357" customFormat="false" ht="18" hidden="false" customHeight="true" outlineLevel="0" collapsed="false">
      <c r="A357" s="1"/>
      <c r="B357" s="35"/>
      <c r="C357" s="8"/>
      <c r="D357" s="26"/>
      <c r="E357" s="27"/>
      <c r="F357" s="36"/>
      <c r="G357" s="36"/>
      <c r="H357" s="36"/>
      <c r="I357" s="36"/>
      <c r="J357" s="37" t="str">
        <f aca="false">IF($E357="","",IFERROR(G357/F357,""))</f>
        <v/>
      </c>
      <c r="K357" s="30" t="str">
        <f aca="false">IF($E357="","",IFERROR(E357/G357,""))</f>
        <v/>
      </c>
      <c r="L357" s="30" t="str">
        <f aca="false">IF($E357="","",IFERROR(E357/F357*1000,""))</f>
        <v/>
      </c>
      <c r="M357" s="37" t="str">
        <f aca="false">IF($E357="","",IFERROR(H357/G357,""))</f>
        <v/>
      </c>
      <c r="N357" s="30" t="str">
        <f aca="false">IF($E357="","",IFERROR(E357/H357,"—"))</f>
        <v/>
      </c>
      <c r="O357" s="30" t="str">
        <f aca="false">IF($E357="","",IFERROR(INDEX('Гео-калькулятор'!$K$7:$K$13,MATCH($C357,'Гео-калькулятор'!$B$7:$B$13,0)),""))</f>
        <v/>
      </c>
      <c r="P357" s="38" t="str">
        <f aca="false">IF($E357="","",IFERROR(N357/O357,""))</f>
        <v/>
      </c>
      <c r="Q357" s="39" t="str">
        <f aca="false">IF($E357="","",IF($I357&lt;&gt;"",$I357,N($H357)*IFERROR(INDEX('Гео-калькулятор'!$E$7:$E$13,MATCH($C357,'Гео-калькулятор'!$B$7:$B$13,0)),0)))</f>
        <v/>
      </c>
      <c r="R357" s="38" t="str">
        <f aca="false">IF($E357="","",IFERROR(Q357/H357,""))</f>
        <v/>
      </c>
      <c r="S357" s="30" t="str">
        <f aca="false">IF($E357="","",IFERROR(E357/Q357,"—"))</f>
        <v/>
      </c>
      <c r="T357" s="30" t="str">
        <f aca="false">IF($E357="","",Q357*IFERROR(INDEX('Гео-калькулятор'!$D$7:$D$13,MATCH($C357,'Гео-калькулятор'!$B$7:$B$13,0)),0))</f>
        <v/>
      </c>
      <c r="U357" s="40" t="str">
        <f aca="false">IF($E357="","",T357-E357)</f>
        <v/>
      </c>
      <c r="V357" s="41" t="str">
        <f aca="false">IF($E357="","",IFERROR(U357/E357,""))</f>
        <v/>
      </c>
      <c r="W357" s="10" t="str">
        <f aca="false">IF($E357="","",IF($I357&lt;&gt;"","факт","прогноз"))</f>
        <v/>
      </c>
      <c r="X357" s="1"/>
      <c r="Y357" s="1"/>
      <c r="Z357" s="1"/>
      <c r="AA357" s="1"/>
      <c r="AB357" s="1"/>
      <c r="AC357" s="1"/>
      <c r="AD357" s="1"/>
    </row>
    <row r="358" customFormat="false" ht="18" hidden="false" customHeight="true" outlineLevel="0" collapsed="false">
      <c r="A358" s="1"/>
      <c r="B358" s="35"/>
      <c r="C358" s="8"/>
      <c r="D358" s="26"/>
      <c r="E358" s="27"/>
      <c r="F358" s="36"/>
      <c r="G358" s="36"/>
      <c r="H358" s="36"/>
      <c r="I358" s="36"/>
      <c r="J358" s="37" t="str">
        <f aca="false">IF($E358="","",IFERROR(G358/F358,""))</f>
        <v/>
      </c>
      <c r="K358" s="30" t="str">
        <f aca="false">IF($E358="","",IFERROR(E358/G358,""))</f>
        <v/>
      </c>
      <c r="L358" s="30" t="str">
        <f aca="false">IF($E358="","",IFERROR(E358/F358*1000,""))</f>
        <v/>
      </c>
      <c r="M358" s="37" t="str">
        <f aca="false">IF($E358="","",IFERROR(H358/G358,""))</f>
        <v/>
      </c>
      <c r="N358" s="30" t="str">
        <f aca="false">IF($E358="","",IFERROR(E358/H358,"—"))</f>
        <v/>
      </c>
      <c r="O358" s="30" t="str">
        <f aca="false">IF($E358="","",IFERROR(INDEX('Гео-калькулятор'!$K$7:$K$13,MATCH($C358,'Гео-калькулятор'!$B$7:$B$13,0)),""))</f>
        <v/>
      </c>
      <c r="P358" s="38" t="str">
        <f aca="false">IF($E358="","",IFERROR(N358/O358,""))</f>
        <v/>
      </c>
      <c r="Q358" s="39" t="str">
        <f aca="false">IF($E358="","",IF($I358&lt;&gt;"",$I358,N($H358)*IFERROR(INDEX('Гео-калькулятор'!$E$7:$E$13,MATCH($C358,'Гео-калькулятор'!$B$7:$B$13,0)),0)))</f>
        <v/>
      </c>
      <c r="R358" s="38" t="str">
        <f aca="false">IF($E358="","",IFERROR(Q358/H358,""))</f>
        <v/>
      </c>
      <c r="S358" s="30" t="str">
        <f aca="false">IF($E358="","",IFERROR(E358/Q358,"—"))</f>
        <v/>
      </c>
      <c r="T358" s="30" t="str">
        <f aca="false">IF($E358="","",Q358*IFERROR(INDEX('Гео-калькулятор'!$D$7:$D$13,MATCH($C358,'Гео-калькулятор'!$B$7:$B$13,0)),0))</f>
        <v/>
      </c>
      <c r="U358" s="40" t="str">
        <f aca="false">IF($E358="","",T358-E358)</f>
        <v/>
      </c>
      <c r="V358" s="41" t="str">
        <f aca="false">IF($E358="","",IFERROR(U358/E358,""))</f>
        <v/>
      </c>
      <c r="W358" s="10" t="str">
        <f aca="false">IF($E358="","",IF($I358&lt;&gt;"","факт","прогноз"))</f>
        <v/>
      </c>
      <c r="X358" s="1"/>
      <c r="Y358" s="1"/>
      <c r="Z358" s="1"/>
      <c r="AA358" s="1"/>
      <c r="AB358" s="1"/>
      <c r="AC358" s="1"/>
      <c r="AD358" s="1"/>
    </row>
    <row r="359" customFormat="false" ht="18" hidden="false" customHeight="true" outlineLevel="0" collapsed="false">
      <c r="A359" s="1"/>
      <c r="B359" s="35"/>
      <c r="C359" s="8"/>
      <c r="D359" s="26"/>
      <c r="E359" s="27"/>
      <c r="F359" s="36"/>
      <c r="G359" s="36"/>
      <c r="H359" s="36"/>
      <c r="I359" s="36"/>
      <c r="J359" s="37" t="str">
        <f aca="false">IF($E359="","",IFERROR(G359/F359,""))</f>
        <v/>
      </c>
      <c r="K359" s="30" t="str">
        <f aca="false">IF($E359="","",IFERROR(E359/G359,""))</f>
        <v/>
      </c>
      <c r="L359" s="30" t="str">
        <f aca="false">IF($E359="","",IFERROR(E359/F359*1000,""))</f>
        <v/>
      </c>
      <c r="M359" s="37" t="str">
        <f aca="false">IF($E359="","",IFERROR(H359/G359,""))</f>
        <v/>
      </c>
      <c r="N359" s="30" t="str">
        <f aca="false">IF($E359="","",IFERROR(E359/H359,"—"))</f>
        <v/>
      </c>
      <c r="O359" s="30" t="str">
        <f aca="false">IF($E359="","",IFERROR(INDEX('Гео-калькулятор'!$K$7:$K$13,MATCH($C359,'Гео-калькулятор'!$B$7:$B$13,0)),""))</f>
        <v/>
      </c>
      <c r="P359" s="38" t="str">
        <f aca="false">IF($E359="","",IFERROR(N359/O359,""))</f>
        <v/>
      </c>
      <c r="Q359" s="39" t="str">
        <f aca="false">IF($E359="","",IF($I359&lt;&gt;"",$I359,N($H359)*IFERROR(INDEX('Гео-калькулятор'!$E$7:$E$13,MATCH($C359,'Гео-калькулятор'!$B$7:$B$13,0)),0)))</f>
        <v/>
      </c>
      <c r="R359" s="38" t="str">
        <f aca="false">IF($E359="","",IFERROR(Q359/H359,""))</f>
        <v/>
      </c>
      <c r="S359" s="30" t="str">
        <f aca="false">IF($E359="","",IFERROR(E359/Q359,"—"))</f>
        <v/>
      </c>
      <c r="T359" s="30" t="str">
        <f aca="false">IF($E359="","",Q359*IFERROR(INDEX('Гео-калькулятор'!$D$7:$D$13,MATCH($C359,'Гео-калькулятор'!$B$7:$B$13,0)),0))</f>
        <v/>
      </c>
      <c r="U359" s="40" t="str">
        <f aca="false">IF($E359="","",T359-E359)</f>
        <v/>
      </c>
      <c r="V359" s="41" t="str">
        <f aca="false">IF($E359="","",IFERROR(U359/E359,""))</f>
        <v/>
      </c>
      <c r="W359" s="10" t="str">
        <f aca="false">IF($E359="","",IF($I359&lt;&gt;"","факт","прогноз"))</f>
        <v/>
      </c>
      <c r="X359" s="1"/>
      <c r="Y359" s="1"/>
      <c r="Z359" s="1"/>
      <c r="AA359" s="1"/>
      <c r="AB359" s="1"/>
      <c r="AC359" s="1"/>
      <c r="AD359" s="1"/>
    </row>
    <row r="360" customFormat="false" ht="18" hidden="false" customHeight="true" outlineLevel="0" collapsed="false">
      <c r="A360" s="1"/>
      <c r="B360" s="35"/>
      <c r="C360" s="8"/>
      <c r="D360" s="26"/>
      <c r="E360" s="27"/>
      <c r="F360" s="36"/>
      <c r="G360" s="36"/>
      <c r="H360" s="36"/>
      <c r="I360" s="36"/>
      <c r="J360" s="37" t="str">
        <f aca="false">IF($E360="","",IFERROR(G360/F360,""))</f>
        <v/>
      </c>
      <c r="K360" s="30" t="str">
        <f aca="false">IF($E360="","",IFERROR(E360/G360,""))</f>
        <v/>
      </c>
      <c r="L360" s="30" t="str">
        <f aca="false">IF($E360="","",IFERROR(E360/F360*1000,""))</f>
        <v/>
      </c>
      <c r="M360" s="37" t="str">
        <f aca="false">IF($E360="","",IFERROR(H360/G360,""))</f>
        <v/>
      </c>
      <c r="N360" s="30" t="str">
        <f aca="false">IF($E360="","",IFERROR(E360/H360,"—"))</f>
        <v/>
      </c>
      <c r="O360" s="30" t="str">
        <f aca="false">IF($E360="","",IFERROR(INDEX('Гео-калькулятор'!$K$7:$K$13,MATCH($C360,'Гео-калькулятор'!$B$7:$B$13,0)),""))</f>
        <v/>
      </c>
      <c r="P360" s="38" t="str">
        <f aca="false">IF($E360="","",IFERROR(N360/O360,""))</f>
        <v/>
      </c>
      <c r="Q360" s="39" t="str">
        <f aca="false">IF($E360="","",IF($I360&lt;&gt;"",$I360,N($H360)*IFERROR(INDEX('Гео-калькулятор'!$E$7:$E$13,MATCH($C360,'Гео-калькулятор'!$B$7:$B$13,0)),0)))</f>
        <v/>
      </c>
      <c r="R360" s="38" t="str">
        <f aca="false">IF($E360="","",IFERROR(Q360/H360,""))</f>
        <v/>
      </c>
      <c r="S360" s="30" t="str">
        <f aca="false">IF($E360="","",IFERROR(E360/Q360,"—"))</f>
        <v/>
      </c>
      <c r="T360" s="30" t="str">
        <f aca="false">IF($E360="","",Q360*IFERROR(INDEX('Гео-калькулятор'!$D$7:$D$13,MATCH($C360,'Гео-калькулятор'!$B$7:$B$13,0)),0))</f>
        <v/>
      </c>
      <c r="U360" s="40" t="str">
        <f aca="false">IF($E360="","",T360-E360)</f>
        <v/>
      </c>
      <c r="V360" s="41" t="str">
        <f aca="false">IF($E360="","",IFERROR(U360/E360,""))</f>
        <v/>
      </c>
      <c r="W360" s="10" t="str">
        <f aca="false">IF($E360="","",IF($I360&lt;&gt;"","факт","прогноз"))</f>
        <v/>
      </c>
      <c r="X360" s="1"/>
      <c r="Y360" s="1"/>
      <c r="Z360" s="1"/>
      <c r="AA360" s="1"/>
      <c r="AB360" s="1"/>
      <c r="AC360" s="1"/>
      <c r="AD360" s="1"/>
    </row>
    <row r="361" customFormat="false" ht="18" hidden="false" customHeight="true" outlineLevel="0" collapsed="false">
      <c r="A361" s="1"/>
      <c r="B361" s="35"/>
      <c r="C361" s="8"/>
      <c r="D361" s="26"/>
      <c r="E361" s="27"/>
      <c r="F361" s="36"/>
      <c r="G361" s="36"/>
      <c r="H361" s="36"/>
      <c r="I361" s="36"/>
      <c r="J361" s="37" t="str">
        <f aca="false">IF($E361="","",IFERROR(G361/F361,""))</f>
        <v/>
      </c>
      <c r="K361" s="30" t="str">
        <f aca="false">IF($E361="","",IFERROR(E361/G361,""))</f>
        <v/>
      </c>
      <c r="L361" s="30" t="str">
        <f aca="false">IF($E361="","",IFERROR(E361/F361*1000,""))</f>
        <v/>
      </c>
      <c r="M361" s="37" t="str">
        <f aca="false">IF($E361="","",IFERROR(H361/G361,""))</f>
        <v/>
      </c>
      <c r="N361" s="30" t="str">
        <f aca="false">IF($E361="","",IFERROR(E361/H361,"—"))</f>
        <v/>
      </c>
      <c r="O361" s="30" t="str">
        <f aca="false">IF($E361="","",IFERROR(INDEX('Гео-калькулятор'!$K$7:$K$13,MATCH($C361,'Гео-калькулятор'!$B$7:$B$13,0)),""))</f>
        <v/>
      </c>
      <c r="P361" s="38" t="str">
        <f aca="false">IF($E361="","",IFERROR(N361/O361,""))</f>
        <v/>
      </c>
      <c r="Q361" s="39" t="str">
        <f aca="false">IF($E361="","",IF($I361&lt;&gt;"",$I361,N($H361)*IFERROR(INDEX('Гео-калькулятор'!$E$7:$E$13,MATCH($C361,'Гео-калькулятор'!$B$7:$B$13,0)),0)))</f>
        <v/>
      </c>
      <c r="R361" s="38" t="str">
        <f aca="false">IF($E361="","",IFERROR(Q361/H361,""))</f>
        <v/>
      </c>
      <c r="S361" s="30" t="str">
        <f aca="false">IF($E361="","",IFERROR(E361/Q361,"—"))</f>
        <v/>
      </c>
      <c r="T361" s="30" t="str">
        <f aca="false">IF($E361="","",Q361*IFERROR(INDEX('Гео-калькулятор'!$D$7:$D$13,MATCH($C361,'Гео-калькулятор'!$B$7:$B$13,0)),0))</f>
        <v/>
      </c>
      <c r="U361" s="40" t="str">
        <f aca="false">IF($E361="","",T361-E361)</f>
        <v/>
      </c>
      <c r="V361" s="41" t="str">
        <f aca="false">IF($E361="","",IFERROR(U361/E361,""))</f>
        <v/>
      </c>
      <c r="W361" s="10" t="str">
        <f aca="false">IF($E361="","",IF($I361&lt;&gt;"","факт","прогноз"))</f>
        <v/>
      </c>
      <c r="X361" s="1"/>
      <c r="Y361" s="1"/>
      <c r="Z361" s="1"/>
      <c r="AA361" s="1"/>
      <c r="AB361" s="1"/>
      <c r="AC361" s="1"/>
      <c r="AD361" s="1"/>
    </row>
    <row r="362" customFormat="false" ht="18" hidden="false" customHeight="true" outlineLevel="0" collapsed="false">
      <c r="A362" s="1"/>
      <c r="B362" s="35"/>
      <c r="C362" s="8"/>
      <c r="D362" s="26"/>
      <c r="E362" s="27"/>
      <c r="F362" s="36"/>
      <c r="G362" s="36"/>
      <c r="H362" s="36"/>
      <c r="I362" s="36"/>
      <c r="J362" s="37" t="str">
        <f aca="false">IF($E362="","",IFERROR(G362/F362,""))</f>
        <v/>
      </c>
      <c r="K362" s="30" t="str">
        <f aca="false">IF($E362="","",IFERROR(E362/G362,""))</f>
        <v/>
      </c>
      <c r="L362" s="30" t="str">
        <f aca="false">IF($E362="","",IFERROR(E362/F362*1000,""))</f>
        <v/>
      </c>
      <c r="M362" s="37" t="str">
        <f aca="false">IF($E362="","",IFERROR(H362/G362,""))</f>
        <v/>
      </c>
      <c r="N362" s="30" t="str">
        <f aca="false">IF($E362="","",IFERROR(E362/H362,"—"))</f>
        <v/>
      </c>
      <c r="O362" s="30" t="str">
        <f aca="false">IF($E362="","",IFERROR(INDEX('Гео-калькулятор'!$K$7:$K$13,MATCH($C362,'Гео-калькулятор'!$B$7:$B$13,0)),""))</f>
        <v/>
      </c>
      <c r="P362" s="38" t="str">
        <f aca="false">IF($E362="","",IFERROR(N362/O362,""))</f>
        <v/>
      </c>
      <c r="Q362" s="39" t="str">
        <f aca="false">IF($E362="","",IF($I362&lt;&gt;"",$I362,N($H362)*IFERROR(INDEX('Гео-калькулятор'!$E$7:$E$13,MATCH($C362,'Гео-калькулятор'!$B$7:$B$13,0)),0)))</f>
        <v/>
      </c>
      <c r="R362" s="38" t="str">
        <f aca="false">IF($E362="","",IFERROR(Q362/H362,""))</f>
        <v/>
      </c>
      <c r="S362" s="30" t="str">
        <f aca="false">IF($E362="","",IFERROR(E362/Q362,"—"))</f>
        <v/>
      </c>
      <c r="T362" s="30" t="str">
        <f aca="false">IF($E362="","",Q362*IFERROR(INDEX('Гео-калькулятор'!$D$7:$D$13,MATCH($C362,'Гео-калькулятор'!$B$7:$B$13,0)),0))</f>
        <v/>
      </c>
      <c r="U362" s="40" t="str">
        <f aca="false">IF($E362="","",T362-E362)</f>
        <v/>
      </c>
      <c r="V362" s="41" t="str">
        <f aca="false">IF($E362="","",IFERROR(U362/E362,""))</f>
        <v/>
      </c>
      <c r="W362" s="10" t="str">
        <f aca="false">IF($E362="","",IF($I362&lt;&gt;"","факт","прогноз"))</f>
        <v/>
      </c>
      <c r="X362" s="1"/>
      <c r="Y362" s="1"/>
      <c r="Z362" s="1"/>
      <c r="AA362" s="1"/>
      <c r="AB362" s="1"/>
      <c r="AC362" s="1"/>
      <c r="AD362" s="1"/>
    </row>
    <row r="363" customFormat="false" ht="18" hidden="false" customHeight="true" outlineLevel="0" collapsed="false">
      <c r="A363" s="1"/>
      <c r="B363" s="35"/>
      <c r="C363" s="8"/>
      <c r="D363" s="26"/>
      <c r="E363" s="27"/>
      <c r="F363" s="36"/>
      <c r="G363" s="36"/>
      <c r="H363" s="36"/>
      <c r="I363" s="36"/>
      <c r="J363" s="37" t="str">
        <f aca="false">IF($E363="","",IFERROR(G363/F363,""))</f>
        <v/>
      </c>
      <c r="K363" s="30" t="str">
        <f aca="false">IF($E363="","",IFERROR(E363/G363,""))</f>
        <v/>
      </c>
      <c r="L363" s="30" t="str">
        <f aca="false">IF($E363="","",IFERROR(E363/F363*1000,""))</f>
        <v/>
      </c>
      <c r="M363" s="37" t="str">
        <f aca="false">IF($E363="","",IFERROR(H363/G363,""))</f>
        <v/>
      </c>
      <c r="N363" s="30" t="str">
        <f aca="false">IF($E363="","",IFERROR(E363/H363,"—"))</f>
        <v/>
      </c>
      <c r="O363" s="30" t="str">
        <f aca="false">IF($E363="","",IFERROR(INDEX('Гео-калькулятор'!$K$7:$K$13,MATCH($C363,'Гео-калькулятор'!$B$7:$B$13,0)),""))</f>
        <v/>
      </c>
      <c r="P363" s="38" t="str">
        <f aca="false">IF($E363="","",IFERROR(N363/O363,""))</f>
        <v/>
      </c>
      <c r="Q363" s="39" t="str">
        <f aca="false">IF($E363="","",IF($I363&lt;&gt;"",$I363,N($H363)*IFERROR(INDEX('Гео-калькулятор'!$E$7:$E$13,MATCH($C363,'Гео-калькулятор'!$B$7:$B$13,0)),0)))</f>
        <v/>
      </c>
      <c r="R363" s="38" t="str">
        <f aca="false">IF($E363="","",IFERROR(Q363/H363,""))</f>
        <v/>
      </c>
      <c r="S363" s="30" t="str">
        <f aca="false">IF($E363="","",IFERROR(E363/Q363,"—"))</f>
        <v/>
      </c>
      <c r="T363" s="30" t="str">
        <f aca="false">IF($E363="","",Q363*IFERROR(INDEX('Гео-калькулятор'!$D$7:$D$13,MATCH($C363,'Гео-калькулятор'!$B$7:$B$13,0)),0))</f>
        <v/>
      </c>
      <c r="U363" s="40" t="str">
        <f aca="false">IF($E363="","",T363-E363)</f>
        <v/>
      </c>
      <c r="V363" s="41" t="str">
        <f aca="false">IF($E363="","",IFERROR(U363/E363,""))</f>
        <v/>
      </c>
      <c r="W363" s="10" t="str">
        <f aca="false">IF($E363="","",IF($I363&lt;&gt;"","факт","прогноз"))</f>
        <v/>
      </c>
      <c r="X363" s="1"/>
      <c r="Y363" s="1"/>
      <c r="Z363" s="1"/>
      <c r="AA363" s="1"/>
      <c r="AB363" s="1"/>
      <c r="AC363" s="1"/>
      <c r="AD363" s="1"/>
    </row>
    <row r="364" customFormat="false" ht="18" hidden="false" customHeight="true" outlineLevel="0" collapsed="false">
      <c r="A364" s="1"/>
      <c r="B364" s="35"/>
      <c r="C364" s="8"/>
      <c r="D364" s="26"/>
      <c r="E364" s="27"/>
      <c r="F364" s="36"/>
      <c r="G364" s="36"/>
      <c r="H364" s="36"/>
      <c r="I364" s="36"/>
      <c r="J364" s="37" t="str">
        <f aca="false">IF($E364="","",IFERROR(G364/F364,""))</f>
        <v/>
      </c>
      <c r="K364" s="30" t="str">
        <f aca="false">IF($E364="","",IFERROR(E364/G364,""))</f>
        <v/>
      </c>
      <c r="L364" s="30" t="str">
        <f aca="false">IF($E364="","",IFERROR(E364/F364*1000,""))</f>
        <v/>
      </c>
      <c r="M364" s="37" t="str">
        <f aca="false">IF($E364="","",IFERROR(H364/G364,""))</f>
        <v/>
      </c>
      <c r="N364" s="30" t="str">
        <f aca="false">IF($E364="","",IFERROR(E364/H364,"—"))</f>
        <v/>
      </c>
      <c r="O364" s="30" t="str">
        <f aca="false">IF($E364="","",IFERROR(INDEX('Гео-калькулятор'!$K$7:$K$13,MATCH($C364,'Гео-калькулятор'!$B$7:$B$13,0)),""))</f>
        <v/>
      </c>
      <c r="P364" s="38" t="str">
        <f aca="false">IF($E364="","",IFERROR(N364/O364,""))</f>
        <v/>
      </c>
      <c r="Q364" s="39" t="str">
        <f aca="false">IF($E364="","",IF($I364&lt;&gt;"",$I364,N($H364)*IFERROR(INDEX('Гео-калькулятор'!$E$7:$E$13,MATCH($C364,'Гео-калькулятор'!$B$7:$B$13,0)),0)))</f>
        <v/>
      </c>
      <c r="R364" s="38" t="str">
        <f aca="false">IF($E364="","",IFERROR(Q364/H364,""))</f>
        <v/>
      </c>
      <c r="S364" s="30" t="str">
        <f aca="false">IF($E364="","",IFERROR(E364/Q364,"—"))</f>
        <v/>
      </c>
      <c r="T364" s="30" t="str">
        <f aca="false">IF($E364="","",Q364*IFERROR(INDEX('Гео-калькулятор'!$D$7:$D$13,MATCH($C364,'Гео-калькулятор'!$B$7:$B$13,0)),0))</f>
        <v/>
      </c>
      <c r="U364" s="40" t="str">
        <f aca="false">IF($E364="","",T364-E364)</f>
        <v/>
      </c>
      <c r="V364" s="41" t="str">
        <f aca="false">IF($E364="","",IFERROR(U364/E364,""))</f>
        <v/>
      </c>
      <c r="W364" s="10" t="str">
        <f aca="false">IF($E364="","",IF($I364&lt;&gt;"","факт","прогноз"))</f>
        <v/>
      </c>
      <c r="X364" s="1"/>
      <c r="Y364" s="1"/>
      <c r="Z364" s="1"/>
      <c r="AA364" s="1"/>
      <c r="AB364" s="1"/>
      <c r="AC364" s="1"/>
      <c r="AD364" s="1"/>
    </row>
    <row r="365" customFormat="false" ht="18" hidden="false" customHeight="true" outlineLevel="0" collapsed="false">
      <c r="A365" s="1"/>
      <c r="B365" s="35"/>
      <c r="C365" s="8"/>
      <c r="D365" s="26"/>
      <c r="E365" s="27"/>
      <c r="F365" s="36"/>
      <c r="G365" s="36"/>
      <c r="H365" s="36"/>
      <c r="I365" s="36"/>
      <c r="J365" s="37" t="str">
        <f aca="false">IF($E365="","",IFERROR(G365/F365,""))</f>
        <v/>
      </c>
      <c r="K365" s="30" t="str">
        <f aca="false">IF($E365="","",IFERROR(E365/G365,""))</f>
        <v/>
      </c>
      <c r="L365" s="30" t="str">
        <f aca="false">IF($E365="","",IFERROR(E365/F365*1000,""))</f>
        <v/>
      </c>
      <c r="M365" s="37" t="str">
        <f aca="false">IF($E365="","",IFERROR(H365/G365,""))</f>
        <v/>
      </c>
      <c r="N365" s="30" t="str">
        <f aca="false">IF($E365="","",IFERROR(E365/H365,"—"))</f>
        <v/>
      </c>
      <c r="O365" s="30" t="str">
        <f aca="false">IF($E365="","",IFERROR(INDEX('Гео-калькулятор'!$K$7:$K$13,MATCH($C365,'Гео-калькулятор'!$B$7:$B$13,0)),""))</f>
        <v/>
      </c>
      <c r="P365" s="38" t="str">
        <f aca="false">IF($E365="","",IFERROR(N365/O365,""))</f>
        <v/>
      </c>
      <c r="Q365" s="39" t="str">
        <f aca="false">IF($E365="","",IF($I365&lt;&gt;"",$I365,N($H365)*IFERROR(INDEX('Гео-калькулятор'!$E$7:$E$13,MATCH($C365,'Гео-калькулятор'!$B$7:$B$13,0)),0)))</f>
        <v/>
      </c>
      <c r="R365" s="38" t="str">
        <f aca="false">IF($E365="","",IFERROR(Q365/H365,""))</f>
        <v/>
      </c>
      <c r="S365" s="30" t="str">
        <f aca="false">IF($E365="","",IFERROR(E365/Q365,"—"))</f>
        <v/>
      </c>
      <c r="T365" s="30" t="str">
        <f aca="false">IF($E365="","",Q365*IFERROR(INDEX('Гео-калькулятор'!$D$7:$D$13,MATCH($C365,'Гео-калькулятор'!$B$7:$B$13,0)),0))</f>
        <v/>
      </c>
      <c r="U365" s="40" t="str">
        <f aca="false">IF($E365="","",T365-E365)</f>
        <v/>
      </c>
      <c r="V365" s="41" t="str">
        <f aca="false">IF($E365="","",IFERROR(U365/E365,""))</f>
        <v/>
      </c>
      <c r="W365" s="10" t="str">
        <f aca="false">IF($E365="","",IF($I365&lt;&gt;"","факт","прогноз"))</f>
        <v/>
      </c>
      <c r="X365" s="1"/>
      <c r="Y365" s="1"/>
      <c r="Z365" s="1"/>
      <c r="AA365" s="1"/>
      <c r="AB365" s="1"/>
      <c r="AC365" s="1"/>
      <c r="AD365" s="1"/>
    </row>
    <row r="366" customFormat="false" ht="18" hidden="false" customHeight="true" outlineLevel="0" collapsed="false">
      <c r="A366" s="1"/>
      <c r="B366" s="35"/>
      <c r="C366" s="8"/>
      <c r="D366" s="26"/>
      <c r="E366" s="27"/>
      <c r="F366" s="36"/>
      <c r="G366" s="36"/>
      <c r="H366" s="36"/>
      <c r="I366" s="36"/>
      <c r="J366" s="37" t="str">
        <f aca="false">IF($E366="","",IFERROR(G366/F366,""))</f>
        <v/>
      </c>
      <c r="K366" s="30" t="str">
        <f aca="false">IF($E366="","",IFERROR(E366/G366,""))</f>
        <v/>
      </c>
      <c r="L366" s="30" t="str">
        <f aca="false">IF($E366="","",IFERROR(E366/F366*1000,""))</f>
        <v/>
      </c>
      <c r="M366" s="37" t="str">
        <f aca="false">IF($E366="","",IFERROR(H366/G366,""))</f>
        <v/>
      </c>
      <c r="N366" s="30" t="str">
        <f aca="false">IF($E366="","",IFERROR(E366/H366,"—"))</f>
        <v/>
      </c>
      <c r="O366" s="30" t="str">
        <f aca="false">IF($E366="","",IFERROR(INDEX('Гео-калькулятор'!$K$7:$K$13,MATCH($C366,'Гео-калькулятор'!$B$7:$B$13,0)),""))</f>
        <v/>
      </c>
      <c r="P366" s="38" t="str">
        <f aca="false">IF($E366="","",IFERROR(N366/O366,""))</f>
        <v/>
      </c>
      <c r="Q366" s="39" t="str">
        <f aca="false">IF($E366="","",IF($I366&lt;&gt;"",$I366,N($H366)*IFERROR(INDEX('Гео-калькулятор'!$E$7:$E$13,MATCH($C366,'Гео-калькулятор'!$B$7:$B$13,0)),0)))</f>
        <v/>
      </c>
      <c r="R366" s="38" t="str">
        <f aca="false">IF($E366="","",IFERROR(Q366/H366,""))</f>
        <v/>
      </c>
      <c r="S366" s="30" t="str">
        <f aca="false">IF($E366="","",IFERROR(E366/Q366,"—"))</f>
        <v/>
      </c>
      <c r="T366" s="30" t="str">
        <f aca="false">IF($E366="","",Q366*IFERROR(INDEX('Гео-калькулятор'!$D$7:$D$13,MATCH($C366,'Гео-калькулятор'!$B$7:$B$13,0)),0))</f>
        <v/>
      </c>
      <c r="U366" s="40" t="str">
        <f aca="false">IF($E366="","",T366-E366)</f>
        <v/>
      </c>
      <c r="V366" s="41" t="str">
        <f aca="false">IF($E366="","",IFERROR(U366/E366,""))</f>
        <v/>
      </c>
      <c r="W366" s="10" t="str">
        <f aca="false">IF($E366="","",IF($I366&lt;&gt;"","факт","прогноз"))</f>
        <v/>
      </c>
      <c r="X366" s="1"/>
      <c r="Y366" s="1"/>
      <c r="Z366" s="1"/>
      <c r="AA366" s="1"/>
      <c r="AB366" s="1"/>
      <c r="AC366" s="1"/>
      <c r="AD366" s="1"/>
    </row>
    <row r="367" customFormat="false" ht="18" hidden="false" customHeight="true" outlineLevel="0" collapsed="false">
      <c r="A367" s="1"/>
      <c r="B367" s="35"/>
      <c r="C367" s="8"/>
      <c r="D367" s="26"/>
      <c r="E367" s="27"/>
      <c r="F367" s="36"/>
      <c r="G367" s="36"/>
      <c r="H367" s="36"/>
      <c r="I367" s="36"/>
      <c r="J367" s="37" t="str">
        <f aca="false">IF($E367="","",IFERROR(G367/F367,""))</f>
        <v/>
      </c>
      <c r="K367" s="30" t="str">
        <f aca="false">IF($E367="","",IFERROR(E367/G367,""))</f>
        <v/>
      </c>
      <c r="L367" s="30" t="str">
        <f aca="false">IF($E367="","",IFERROR(E367/F367*1000,""))</f>
        <v/>
      </c>
      <c r="M367" s="37" t="str">
        <f aca="false">IF($E367="","",IFERROR(H367/G367,""))</f>
        <v/>
      </c>
      <c r="N367" s="30" t="str">
        <f aca="false">IF($E367="","",IFERROR(E367/H367,"—"))</f>
        <v/>
      </c>
      <c r="O367" s="30" t="str">
        <f aca="false">IF($E367="","",IFERROR(INDEX('Гео-калькулятор'!$K$7:$K$13,MATCH($C367,'Гео-калькулятор'!$B$7:$B$13,0)),""))</f>
        <v/>
      </c>
      <c r="P367" s="38" t="str">
        <f aca="false">IF($E367="","",IFERROR(N367/O367,""))</f>
        <v/>
      </c>
      <c r="Q367" s="39" t="str">
        <f aca="false">IF($E367="","",IF($I367&lt;&gt;"",$I367,N($H367)*IFERROR(INDEX('Гео-калькулятор'!$E$7:$E$13,MATCH($C367,'Гео-калькулятор'!$B$7:$B$13,0)),0)))</f>
        <v/>
      </c>
      <c r="R367" s="38" t="str">
        <f aca="false">IF($E367="","",IFERROR(Q367/H367,""))</f>
        <v/>
      </c>
      <c r="S367" s="30" t="str">
        <f aca="false">IF($E367="","",IFERROR(E367/Q367,"—"))</f>
        <v/>
      </c>
      <c r="T367" s="30" t="str">
        <f aca="false">IF($E367="","",Q367*IFERROR(INDEX('Гео-калькулятор'!$D$7:$D$13,MATCH($C367,'Гео-калькулятор'!$B$7:$B$13,0)),0))</f>
        <v/>
      </c>
      <c r="U367" s="40" t="str">
        <f aca="false">IF($E367="","",T367-E367)</f>
        <v/>
      </c>
      <c r="V367" s="41" t="str">
        <f aca="false">IF($E367="","",IFERROR(U367/E367,""))</f>
        <v/>
      </c>
      <c r="W367" s="10" t="str">
        <f aca="false">IF($E367="","",IF($I367&lt;&gt;"","факт","прогноз"))</f>
        <v/>
      </c>
      <c r="X367" s="1"/>
      <c r="Y367" s="1"/>
      <c r="Z367" s="1"/>
      <c r="AA367" s="1"/>
      <c r="AB367" s="1"/>
      <c r="AC367" s="1"/>
      <c r="AD367" s="1"/>
    </row>
    <row r="368" customFormat="false" ht="18" hidden="false" customHeight="true" outlineLevel="0" collapsed="false">
      <c r="A368" s="1"/>
      <c r="B368" s="35"/>
      <c r="C368" s="8"/>
      <c r="D368" s="26"/>
      <c r="E368" s="27"/>
      <c r="F368" s="36"/>
      <c r="G368" s="36"/>
      <c r="H368" s="36"/>
      <c r="I368" s="36"/>
      <c r="J368" s="37" t="str">
        <f aca="false">IF($E368="","",IFERROR(G368/F368,""))</f>
        <v/>
      </c>
      <c r="K368" s="30" t="str">
        <f aca="false">IF($E368="","",IFERROR(E368/G368,""))</f>
        <v/>
      </c>
      <c r="L368" s="30" t="str">
        <f aca="false">IF($E368="","",IFERROR(E368/F368*1000,""))</f>
        <v/>
      </c>
      <c r="M368" s="37" t="str">
        <f aca="false">IF($E368="","",IFERROR(H368/G368,""))</f>
        <v/>
      </c>
      <c r="N368" s="30" t="str">
        <f aca="false">IF($E368="","",IFERROR(E368/H368,"—"))</f>
        <v/>
      </c>
      <c r="O368" s="30" t="str">
        <f aca="false">IF($E368="","",IFERROR(INDEX('Гео-калькулятор'!$K$7:$K$13,MATCH($C368,'Гео-калькулятор'!$B$7:$B$13,0)),""))</f>
        <v/>
      </c>
      <c r="P368" s="38" t="str">
        <f aca="false">IF($E368="","",IFERROR(N368/O368,""))</f>
        <v/>
      </c>
      <c r="Q368" s="39" t="str">
        <f aca="false">IF($E368="","",IF($I368&lt;&gt;"",$I368,N($H368)*IFERROR(INDEX('Гео-калькулятор'!$E$7:$E$13,MATCH($C368,'Гео-калькулятор'!$B$7:$B$13,0)),0)))</f>
        <v/>
      </c>
      <c r="R368" s="38" t="str">
        <f aca="false">IF($E368="","",IFERROR(Q368/H368,""))</f>
        <v/>
      </c>
      <c r="S368" s="30" t="str">
        <f aca="false">IF($E368="","",IFERROR(E368/Q368,"—"))</f>
        <v/>
      </c>
      <c r="T368" s="30" t="str">
        <f aca="false">IF($E368="","",Q368*IFERROR(INDEX('Гео-калькулятор'!$D$7:$D$13,MATCH($C368,'Гео-калькулятор'!$B$7:$B$13,0)),0))</f>
        <v/>
      </c>
      <c r="U368" s="40" t="str">
        <f aca="false">IF($E368="","",T368-E368)</f>
        <v/>
      </c>
      <c r="V368" s="41" t="str">
        <f aca="false">IF($E368="","",IFERROR(U368/E368,""))</f>
        <v/>
      </c>
      <c r="W368" s="10" t="str">
        <f aca="false">IF($E368="","",IF($I368&lt;&gt;"","факт","прогноз"))</f>
        <v/>
      </c>
      <c r="X368" s="1"/>
      <c r="Y368" s="1"/>
      <c r="Z368" s="1"/>
      <c r="AA368" s="1"/>
      <c r="AB368" s="1"/>
      <c r="AC368" s="1"/>
      <c r="AD368" s="1"/>
    </row>
    <row r="369" customFormat="false" ht="18" hidden="false" customHeight="true" outlineLevel="0" collapsed="false">
      <c r="A369" s="1"/>
      <c r="B369" s="35"/>
      <c r="C369" s="8"/>
      <c r="D369" s="26"/>
      <c r="E369" s="27"/>
      <c r="F369" s="36"/>
      <c r="G369" s="36"/>
      <c r="H369" s="36"/>
      <c r="I369" s="36"/>
      <c r="J369" s="37" t="str">
        <f aca="false">IF($E369="","",IFERROR(G369/F369,""))</f>
        <v/>
      </c>
      <c r="K369" s="30" t="str">
        <f aca="false">IF($E369="","",IFERROR(E369/G369,""))</f>
        <v/>
      </c>
      <c r="L369" s="30" t="str">
        <f aca="false">IF($E369="","",IFERROR(E369/F369*1000,""))</f>
        <v/>
      </c>
      <c r="M369" s="37" t="str">
        <f aca="false">IF($E369="","",IFERROR(H369/G369,""))</f>
        <v/>
      </c>
      <c r="N369" s="30" t="str">
        <f aca="false">IF($E369="","",IFERROR(E369/H369,"—"))</f>
        <v/>
      </c>
      <c r="O369" s="30" t="str">
        <f aca="false">IF($E369="","",IFERROR(INDEX('Гео-калькулятор'!$K$7:$K$13,MATCH($C369,'Гео-калькулятор'!$B$7:$B$13,0)),""))</f>
        <v/>
      </c>
      <c r="P369" s="38" t="str">
        <f aca="false">IF($E369="","",IFERROR(N369/O369,""))</f>
        <v/>
      </c>
      <c r="Q369" s="39" t="str">
        <f aca="false">IF($E369="","",IF($I369&lt;&gt;"",$I369,N($H369)*IFERROR(INDEX('Гео-калькулятор'!$E$7:$E$13,MATCH($C369,'Гео-калькулятор'!$B$7:$B$13,0)),0)))</f>
        <v/>
      </c>
      <c r="R369" s="38" t="str">
        <f aca="false">IF($E369="","",IFERROR(Q369/H369,""))</f>
        <v/>
      </c>
      <c r="S369" s="30" t="str">
        <f aca="false">IF($E369="","",IFERROR(E369/Q369,"—"))</f>
        <v/>
      </c>
      <c r="T369" s="30" t="str">
        <f aca="false">IF($E369="","",Q369*IFERROR(INDEX('Гео-калькулятор'!$D$7:$D$13,MATCH($C369,'Гео-калькулятор'!$B$7:$B$13,0)),0))</f>
        <v/>
      </c>
      <c r="U369" s="40" t="str">
        <f aca="false">IF($E369="","",T369-E369)</f>
        <v/>
      </c>
      <c r="V369" s="41" t="str">
        <f aca="false">IF($E369="","",IFERROR(U369/E369,""))</f>
        <v/>
      </c>
      <c r="W369" s="10" t="str">
        <f aca="false">IF($E369="","",IF($I369&lt;&gt;"","факт","прогноз"))</f>
        <v/>
      </c>
      <c r="X369" s="1"/>
      <c r="Y369" s="1"/>
      <c r="Z369" s="1"/>
      <c r="AA369" s="1"/>
      <c r="AB369" s="1"/>
      <c r="AC369" s="1"/>
      <c r="AD369" s="1"/>
    </row>
    <row r="370" customFormat="false" ht="18" hidden="false" customHeight="true" outlineLevel="0" collapsed="false">
      <c r="A370" s="1"/>
      <c r="B370" s="35"/>
      <c r="C370" s="8"/>
      <c r="D370" s="26"/>
      <c r="E370" s="27"/>
      <c r="F370" s="36"/>
      <c r="G370" s="36"/>
      <c r="H370" s="36"/>
      <c r="I370" s="36"/>
      <c r="J370" s="37" t="str">
        <f aca="false">IF($E370="","",IFERROR(G370/F370,""))</f>
        <v/>
      </c>
      <c r="K370" s="30" t="str">
        <f aca="false">IF($E370="","",IFERROR(E370/G370,""))</f>
        <v/>
      </c>
      <c r="L370" s="30" t="str">
        <f aca="false">IF($E370="","",IFERROR(E370/F370*1000,""))</f>
        <v/>
      </c>
      <c r="M370" s="37" t="str">
        <f aca="false">IF($E370="","",IFERROR(H370/G370,""))</f>
        <v/>
      </c>
      <c r="N370" s="30" t="str">
        <f aca="false">IF($E370="","",IFERROR(E370/H370,"—"))</f>
        <v/>
      </c>
      <c r="O370" s="30" t="str">
        <f aca="false">IF($E370="","",IFERROR(INDEX('Гео-калькулятор'!$K$7:$K$13,MATCH($C370,'Гео-калькулятор'!$B$7:$B$13,0)),""))</f>
        <v/>
      </c>
      <c r="P370" s="38" t="str">
        <f aca="false">IF($E370="","",IFERROR(N370/O370,""))</f>
        <v/>
      </c>
      <c r="Q370" s="39" t="str">
        <f aca="false">IF($E370="","",IF($I370&lt;&gt;"",$I370,N($H370)*IFERROR(INDEX('Гео-калькулятор'!$E$7:$E$13,MATCH($C370,'Гео-калькулятор'!$B$7:$B$13,0)),0)))</f>
        <v/>
      </c>
      <c r="R370" s="38" t="str">
        <f aca="false">IF($E370="","",IFERROR(Q370/H370,""))</f>
        <v/>
      </c>
      <c r="S370" s="30" t="str">
        <f aca="false">IF($E370="","",IFERROR(E370/Q370,"—"))</f>
        <v/>
      </c>
      <c r="T370" s="30" t="str">
        <f aca="false">IF($E370="","",Q370*IFERROR(INDEX('Гео-калькулятор'!$D$7:$D$13,MATCH($C370,'Гео-калькулятор'!$B$7:$B$13,0)),0))</f>
        <v/>
      </c>
      <c r="U370" s="40" t="str">
        <f aca="false">IF($E370="","",T370-E370)</f>
        <v/>
      </c>
      <c r="V370" s="41" t="str">
        <f aca="false">IF($E370="","",IFERROR(U370/E370,""))</f>
        <v/>
      </c>
      <c r="W370" s="10" t="str">
        <f aca="false">IF($E370="","",IF($I370&lt;&gt;"","факт","прогноз"))</f>
        <v/>
      </c>
      <c r="X370" s="1"/>
      <c r="Y370" s="1"/>
      <c r="Z370" s="1"/>
      <c r="AA370" s="1"/>
      <c r="AB370" s="1"/>
      <c r="AC370" s="1"/>
      <c r="AD370" s="1"/>
    </row>
    <row r="371" customFormat="false" ht="18" hidden="false" customHeight="true" outlineLevel="0" collapsed="false">
      <c r="A371" s="1"/>
      <c r="B371" s="35"/>
      <c r="C371" s="8"/>
      <c r="D371" s="26"/>
      <c r="E371" s="27"/>
      <c r="F371" s="36"/>
      <c r="G371" s="36"/>
      <c r="H371" s="36"/>
      <c r="I371" s="36"/>
      <c r="J371" s="37" t="str">
        <f aca="false">IF($E371="","",IFERROR(G371/F371,""))</f>
        <v/>
      </c>
      <c r="K371" s="30" t="str">
        <f aca="false">IF($E371="","",IFERROR(E371/G371,""))</f>
        <v/>
      </c>
      <c r="L371" s="30" t="str">
        <f aca="false">IF($E371="","",IFERROR(E371/F371*1000,""))</f>
        <v/>
      </c>
      <c r="M371" s="37" t="str">
        <f aca="false">IF($E371="","",IFERROR(H371/G371,""))</f>
        <v/>
      </c>
      <c r="N371" s="30" t="str">
        <f aca="false">IF($E371="","",IFERROR(E371/H371,"—"))</f>
        <v/>
      </c>
      <c r="O371" s="30" t="str">
        <f aca="false">IF($E371="","",IFERROR(INDEX('Гео-калькулятор'!$K$7:$K$13,MATCH($C371,'Гео-калькулятор'!$B$7:$B$13,0)),""))</f>
        <v/>
      </c>
      <c r="P371" s="38" t="str">
        <f aca="false">IF($E371="","",IFERROR(N371/O371,""))</f>
        <v/>
      </c>
      <c r="Q371" s="39" t="str">
        <f aca="false">IF($E371="","",IF($I371&lt;&gt;"",$I371,N($H371)*IFERROR(INDEX('Гео-калькулятор'!$E$7:$E$13,MATCH($C371,'Гео-калькулятор'!$B$7:$B$13,0)),0)))</f>
        <v/>
      </c>
      <c r="R371" s="38" t="str">
        <f aca="false">IF($E371="","",IFERROR(Q371/H371,""))</f>
        <v/>
      </c>
      <c r="S371" s="30" t="str">
        <f aca="false">IF($E371="","",IFERROR(E371/Q371,"—"))</f>
        <v/>
      </c>
      <c r="T371" s="30" t="str">
        <f aca="false">IF($E371="","",Q371*IFERROR(INDEX('Гео-калькулятор'!$D$7:$D$13,MATCH($C371,'Гео-калькулятор'!$B$7:$B$13,0)),0))</f>
        <v/>
      </c>
      <c r="U371" s="40" t="str">
        <f aca="false">IF($E371="","",T371-E371)</f>
        <v/>
      </c>
      <c r="V371" s="41" t="str">
        <f aca="false">IF($E371="","",IFERROR(U371/E371,""))</f>
        <v/>
      </c>
      <c r="W371" s="10" t="str">
        <f aca="false">IF($E371="","",IF($I371&lt;&gt;"","факт","прогноз"))</f>
        <v/>
      </c>
      <c r="X371" s="1"/>
      <c r="Y371" s="1"/>
      <c r="Z371" s="1"/>
      <c r="AA371" s="1"/>
      <c r="AB371" s="1"/>
      <c r="AC371" s="1"/>
      <c r="AD371" s="1"/>
    </row>
    <row r="372" customFormat="false" ht="18" hidden="false" customHeight="true" outlineLevel="0" collapsed="false">
      <c r="A372" s="1"/>
      <c r="B372" s="35"/>
      <c r="C372" s="8"/>
      <c r="D372" s="26"/>
      <c r="E372" s="27"/>
      <c r="F372" s="36"/>
      <c r="G372" s="36"/>
      <c r="H372" s="36"/>
      <c r="I372" s="36"/>
      <c r="J372" s="37" t="str">
        <f aca="false">IF($E372="","",IFERROR(G372/F372,""))</f>
        <v/>
      </c>
      <c r="K372" s="30" t="str">
        <f aca="false">IF($E372="","",IFERROR(E372/G372,""))</f>
        <v/>
      </c>
      <c r="L372" s="30" t="str">
        <f aca="false">IF($E372="","",IFERROR(E372/F372*1000,""))</f>
        <v/>
      </c>
      <c r="M372" s="37" t="str">
        <f aca="false">IF($E372="","",IFERROR(H372/G372,""))</f>
        <v/>
      </c>
      <c r="N372" s="30" t="str">
        <f aca="false">IF($E372="","",IFERROR(E372/H372,"—"))</f>
        <v/>
      </c>
      <c r="O372" s="30" t="str">
        <f aca="false">IF($E372="","",IFERROR(INDEX('Гео-калькулятор'!$K$7:$K$13,MATCH($C372,'Гео-калькулятор'!$B$7:$B$13,0)),""))</f>
        <v/>
      </c>
      <c r="P372" s="38" t="str">
        <f aca="false">IF($E372="","",IFERROR(N372/O372,""))</f>
        <v/>
      </c>
      <c r="Q372" s="39" t="str">
        <f aca="false">IF($E372="","",IF($I372&lt;&gt;"",$I372,N($H372)*IFERROR(INDEX('Гео-калькулятор'!$E$7:$E$13,MATCH($C372,'Гео-калькулятор'!$B$7:$B$13,0)),0)))</f>
        <v/>
      </c>
      <c r="R372" s="38" t="str">
        <f aca="false">IF($E372="","",IFERROR(Q372/H372,""))</f>
        <v/>
      </c>
      <c r="S372" s="30" t="str">
        <f aca="false">IF($E372="","",IFERROR(E372/Q372,"—"))</f>
        <v/>
      </c>
      <c r="T372" s="30" t="str">
        <f aca="false">IF($E372="","",Q372*IFERROR(INDEX('Гео-калькулятор'!$D$7:$D$13,MATCH($C372,'Гео-калькулятор'!$B$7:$B$13,0)),0))</f>
        <v/>
      </c>
      <c r="U372" s="40" t="str">
        <f aca="false">IF($E372="","",T372-E372)</f>
        <v/>
      </c>
      <c r="V372" s="41" t="str">
        <f aca="false">IF($E372="","",IFERROR(U372/E372,""))</f>
        <v/>
      </c>
      <c r="W372" s="10" t="str">
        <f aca="false">IF($E372="","",IF($I372&lt;&gt;"","факт","прогноз"))</f>
        <v/>
      </c>
      <c r="X372" s="1"/>
      <c r="Y372" s="1"/>
      <c r="Z372" s="1"/>
      <c r="AA372" s="1"/>
      <c r="AB372" s="1"/>
      <c r="AC372" s="1"/>
      <c r="AD372" s="1"/>
    </row>
    <row r="373" customFormat="false" ht="18" hidden="false" customHeight="true" outlineLevel="0" collapsed="false">
      <c r="A373" s="1"/>
      <c r="B373" s="35"/>
      <c r="C373" s="8"/>
      <c r="D373" s="26"/>
      <c r="E373" s="27"/>
      <c r="F373" s="36"/>
      <c r="G373" s="36"/>
      <c r="H373" s="36"/>
      <c r="I373" s="36"/>
      <c r="J373" s="37" t="str">
        <f aca="false">IF($E373="","",IFERROR(G373/F373,""))</f>
        <v/>
      </c>
      <c r="K373" s="30" t="str">
        <f aca="false">IF($E373="","",IFERROR(E373/G373,""))</f>
        <v/>
      </c>
      <c r="L373" s="30" t="str">
        <f aca="false">IF($E373="","",IFERROR(E373/F373*1000,""))</f>
        <v/>
      </c>
      <c r="M373" s="37" t="str">
        <f aca="false">IF($E373="","",IFERROR(H373/G373,""))</f>
        <v/>
      </c>
      <c r="N373" s="30" t="str">
        <f aca="false">IF($E373="","",IFERROR(E373/H373,"—"))</f>
        <v/>
      </c>
      <c r="O373" s="30" t="str">
        <f aca="false">IF($E373="","",IFERROR(INDEX('Гео-калькулятор'!$K$7:$K$13,MATCH($C373,'Гео-калькулятор'!$B$7:$B$13,0)),""))</f>
        <v/>
      </c>
      <c r="P373" s="38" t="str">
        <f aca="false">IF($E373="","",IFERROR(N373/O373,""))</f>
        <v/>
      </c>
      <c r="Q373" s="39" t="str">
        <f aca="false">IF($E373="","",IF($I373&lt;&gt;"",$I373,N($H373)*IFERROR(INDEX('Гео-калькулятор'!$E$7:$E$13,MATCH($C373,'Гео-калькулятор'!$B$7:$B$13,0)),0)))</f>
        <v/>
      </c>
      <c r="R373" s="38" t="str">
        <f aca="false">IF($E373="","",IFERROR(Q373/H373,""))</f>
        <v/>
      </c>
      <c r="S373" s="30" t="str">
        <f aca="false">IF($E373="","",IFERROR(E373/Q373,"—"))</f>
        <v/>
      </c>
      <c r="T373" s="30" t="str">
        <f aca="false">IF($E373="","",Q373*IFERROR(INDEX('Гео-калькулятор'!$D$7:$D$13,MATCH($C373,'Гео-калькулятор'!$B$7:$B$13,0)),0))</f>
        <v/>
      </c>
      <c r="U373" s="40" t="str">
        <f aca="false">IF($E373="","",T373-E373)</f>
        <v/>
      </c>
      <c r="V373" s="41" t="str">
        <f aca="false">IF($E373="","",IFERROR(U373/E373,""))</f>
        <v/>
      </c>
      <c r="W373" s="10" t="str">
        <f aca="false">IF($E373="","",IF($I373&lt;&gt;"","факт","прогноз"))</f>
        <v/>
      </c>
      <c r="X373" s="1"/>
      <c r="Y373" s="1"/>
      <c r="Z373" s="1"/>
      <c r="AA373" s="1"/>
      <c r="AB373" s="1"/>
      <c r="AC373" s="1"/>
      <c r="AD373" s="1"/>
    </row>
    <row r="374" customFormat="false" ht="18" hidden="false" customHeight="true" outlineLevel="0" collapsed="false">
      <c r="A374" s="1"/>
      <c r="B374" s="35"/>
      <c r="C374" s="8"/>
      <c r="D374" s="26"/>
      <c r="E374" s="27"/>
      <c r="F374" s="36"/>
      <c r="G374" s="36"/>
      <c r="H374" s="36"/>
      <c r="I374" s="36"/>
      <c r="J374" s="37" t="str">
        <f aca="false">IF($E374="","",IFERROR(G374/F374,""))</f>
        <v/>
      </c>
      <c r="K374" s="30" t="str">
        <f aca="false">IF($E374="","",IFERROR(E374/G374,""))</f>
        <v/>
      </c>
      <c r="L374" s="30" t="str">
        <f aca="false">IF($E374="","",IFERROR(E374/F374*1000,""))</f>
        <v/>
      </c>
      <c r="M374" s="37" t="str">
        <f aca="false">IF($E374="","",IFERROR(H374/G374,""))</f>
        <v/>
      </c>
      <c r="N374" s="30" t="str">
        <f aca="false">IF($E374="","",IFERROR(E374/H374,"—"))</f>
        <v/>
      </c>
      <c r="O374" s="30" t="str">
        <f aca="false">IF($E374="","",IFERROR(INDEX('Гео-калькулятор'!$K$7:$K$13,MATCH($C374,'Гео-калькулятор'!$B$7:$B$13,0)),""))</f>
        <v/>
      </c>
      <c r="P374" s="38" t="str">
        <f aca="false">IF($E374="","",IFERROR(N374/O374,""))</f>
        <v/>
      </c>
      <c r="Q374" s="39" t="str">
        <f aca="false">IF($E374="","",IF($I374&lt;&gt;"",$I374,N($H374)*IFERROR(INDEX('Гео-калькулятор'!$E$7:$E$13,MATCH($C374,'Гео-калькулятор'!$B$7:$B$13,0)),0)))</f>
        <v/>
      </c>
      <c r="R374" s="38" t="str">
        <f aca="false">IF($E374="","",IFERROR(Q374/H374,""))</f>
        <v/>
      </c>
      <c r="S374" s="30" t="str">
        <f aca="false">IF($E374="","",IFERROR(E374/Q374,"—"))</f>
        <v/>
      </c>
      <c r="T374" s="30" t="str">
        <f aca="false">IF($E374="","",Q374*IFERROR(INDEX('Гео-калькулятор'!$D$7:$D$13,MATCH($C374,'Гео-калькулятор'!$B$7:$B$13,0)),0))</f>
        <v/>
      </c>
      <c r="U374" s="40" t="str">
        <f aca="false">IF($E374="","",T374-E374)</f>
        <v/>
      </c>
      <c r="V374" s="41" t="str">
        <f aca="false">IF($E374="","",IFERROR(U374/E374,""))</f>
        <v/>
      </c>
      <c r="W374" s="10" t="str">
        <f aca="false">IF($E374="","",IF($I374&lt;&gt;"","факт","прогноз"))</f>
        <v/>
      </c>
      <c r="X374" s="1"/>
      <c r="Y374" s="1"/>
      <c r="Z374" s="1"/>
      <c r="AA374" s="1"/>
      <c r="AB374" s="1"/>
      <c r="AC374" s="1"/>
      <c r="AD374" s="1"/>
    </row>
    <row r="375" customFormat="false" ht="18" hidden="false" customHeight="true" outlineLevel="0" collapsed="false">
      <c r="A375" s="1"/>
      <c r="B375" s="35"/>
      <c r="C375" s="8"/>
      <c r="D375" s="26"/>
      <c r="E375" s="27"/>
      <c r="F375" s="36"/>
      <c r="G375" s="36"/>
      <c r="H375" s="36"/>
      <c r="I375" s="36"/>
      <c r="J375" s="37" t="str">
        <f aca="false">IF($E375="","",IFERROR(G375/F375,""))</f>
        <v/>
      </c>
      <c r="K375" s="30" t="str">
        <f aca="false">IF($E375="","",IFERROR(E375/G375,""))</f>
        <v/>
      </c>
      <c r="L375" s="30" t="str">
        <f aca="false">IF($E375="","",IFERROR(E375/F375*1000,""))</f>
        <v/>
      </c>
      <c r="M375" s="37" t="str">
        <f aca="false">IF($E375="","",IFERROR(H375/G375,""))</f>
        <v/>
      </c>
      <c r="N375" s="30" t="str">
        <f aca="false">IF($E375="","",IFERROR(E375/H375,"—"))</f>
        <v/>
      </c>
      <c r="O375" s="30" t="str">
        <f aca="false">IF($E375="","",IFERROR(INDEX('Гео-калькулятор'!$K$7:$K$13,MATCH($C375,'Гео-калькулятор'!$B$7:$B$13,0)),""))</f>
        <v/>
      </c>
      <c r="P375" s="38" t="str">
        <f aca="false">IF($E375="","",IFERROR(N375/O375,""))</f>
        <v/>
      </c>
      <c r="Q375" s="39" t="str">
        <f aca="false">IF($E375="","",IF($I375&lt;&gt;"",$I375,N($H375)*IFERROR(INDEX('Гео-калькулятор'!$E$7:$E$13,MATCH($C375,'Гео-калькулятор'!$B$7:$B$13,0)),0)))</f>
        <v/>
      </c>
      <c r="R375" s="38" t="str">
        <f aca="false">IF($E375="","",IFERROR(Q375/H375,""))</f>
        <v/>
      </c>
      <c r="S375" s="30" t="str">
        <f aca="false">IF($E375="","",IFERROR(E375/Q375,"—"))</f>
        <v/>
      </c>
      <c r="T375" s="30" t="str">
        <f aca="false">IF($E375="","",Q375*IFERROR(INDEX('Гео-калькулятор'!$D$7:$D$13,MATCH($C375,'Гео-калькулятор'!$B$7:$B$13,0)),0))</f>
        <v/>
      </c>
      <c r="U375" s="40" t="str">
        <f aca="false">IF($E375="","",T375-E375)</f>
        <v/>
      </c>
      <c r="V375" s="41" t="str">
        <f aca="false">IF($E375="","",IFERROR(U375/E375,""))</f>
        <v/>
      </c>
      <c r="W375" s="10" t="str">
        <f aca="false">IF($E375="","",IF($I375&lt;&gt;"","факт","прогноз"))</f>
        <v/>
      </c>
      <c r="X375" s="1"/>
      <c r="Y375" s="1"/>
      <c r="Z375" s="1"/>
      <c r="AA375" s="1"/>
      <c r="AB375" s="1"/>
      <c r="AC375" s="1"/>
      <c r="AD375" s="1"/>
    </row>
    <row r="376" customFormat="false" ht="18" hidden="false" customHeight="true" outlineLevel="0" collapsed="false">
      <c r="A376" s="1"/>
      <c r="B376" s="35"/>
      <c r="C376" s="8"/>
      <c r="D376" s="26"/>
      <c r="E376" s="27"/>
      <c r="F376" s="36"/>
      <c r="G376" s="36"/>
      <c r="H376" s="36"/>
      <c r="I376" s="36"/>
      <c r="J376" s="37" t="str">
        <f aca="false">IF($E376="","",IFERROR(G376/F376,""))</f>
        <v/>
      </c>
      <c r="K376" s="30" t="str">
        <f aca="false">IF($E376="","",IFERROR(E376/G376,""))</f>
        <v/>
      </c>
      <c r="L376" s="30" t="str">
        <f aca="false">IF($E376="","",IFERROR(E376/F376*1000,""))</f>
        <v/>
      </c>
      <c r="M376" s="37" t="str">
        <f aca="false">IF($E376="","",IFERROR(H376/G376,""))</f>
        <v/>
      </c>
      <c r="N376" s="30" t="str">
        <f aca="false">IF($E376="","",IFERROR(E376/H376,"—"))</f>
        <v/>
      </c>
      <c r="O376" s="30" t="str">
        <f aca="false">IF($E376="","",IFERROR(INDEX('Гео-калькулятор'!$K$7:$K$13,MATCH($C376,'Гео-калькулятор'!$B$7:$B$13,0)),""))</f>
        <v/>
      </c>
      <c r="P376" s="38" t="str">
        <f aca="false">IF($E376="","",IFERROR(N376/O376,""))</f>
        <v/>
      </c>
      <c r="Q376" s="39" t="str">
        <f aca="false">IF($E376="","",IF($I376&lt;&gt;"",$I376,N($H376)*IFERROR(INDEX('Гео-калькулятор'!$E$7:$E$13,MATCH($C376,'Гео-калькулятор'!$B$7:$B$13,0)),0)))</f>
        <v/>
      </c>
      <c r="R376" s="38" t="str">
        <f aca="false">IF($E376="","",IFERROR(Q376/H376,""))</f>
        <v/>
      </c>
      <c r="S376" s="30" t="str">
        <f aca="false">IF($E376="","",IFERROR(E376/Q376,"—"))</f>
        <v/>
      </c>
      <c r="T376" s="30" t="str">
        <f aca="false">IF($E376="","",Q376*IFERROR(INDEX('Гео-калькулятор'!$D$7:$D$13,MATCH($C376,'Гео-калькулятор'!$B$7:$B$13,0)),0))</f>
        <v/>
      </c>
      <c r="U376" s="40" t="str">
        <f aca="false">IF($E376="","",T376-E376)</f>
        <v/>
      </c>
      <c r="V376" s="41" t="str">
        <f aca="false">IF($E376="","",IFERROR(U376/E376,""))</f>
        <v/>
      </c>
      <c r="W376" s="10" t="str">
        <f aca="false">IF($E376="","",IF($I376&lt;&gt;"","факт","прогноз"))</f>
        <v/>
      </c>
      <c r="X376" s="1"/>
      <c r="Y376" s="1"/>
      <c r="Z376" s="1"/>
      <c r="AA376" s="1"/>
      <c r="AB376" s="1"/>
      <c r="AC376" s="1"/>
      <c r="AD376" s="1"/>
    </row>
    <row r="377" customFormat="false" ht="18" hidden="false" customHeight="true" outlineLevel="0" collapsed="false">
      <c r="A377" s="1"/>
      <c r="B377" s="35"/>
      <c r="C377" s="8"/>
      <c r="D377" s="26"/>
      <c r="E377" s="27"/>
      <c r="F377" s="36"/>
      <c r="G377" s="36"/>
      <c r="H377" s="36"/>
      <c r="I377" s="36"/>
      <c r="J377" s="37" t="str">
        <f aca="false">IF($E377="","",IFERROR(G377/F377,""))</f>
        <v/>
      </c>
      <c r="K377" s="30" t="str">
        <f aca="false">IF($E377="","",IFERROR(E377/G377,""))</f>
        <v/>
      </c>
      <c r="L377" s="30" t="str">
        <f aca="false">IF($E377="","",IFERROR(E377/F377*1000,""))</f>
        <v/>
      </c>
      <c r="M377" s="37" t="str">
        <f aca="false">IF($E377="","",IFERROR(H377/G377,""))</f>
        <v/>
      </c>
      <c r="N377" s="30" t="str">
        <f aca="false">IF($E377="","",IFERROR(E377/H377,"—"))</f>
        <v/>
      </c>
      <c r="O377" s="30" t="str">
        <f aca="false">IF($E377="","",IFERROR(INDEX('Гео-калькулятор'!$K$7:$K$13,MATCH($C377,'Гео-калькулятор'!$B$7:$B$13,0)),""))</f>
        <v/>
      </c>
      <c r="P377" s="38" t="str">
        <f aca="false">IF($E377="","",IFERROR(N377/O377,""))</f>
        <v/>
      </c>
      <c r="Q377" s="39" t="str">
        <f aca="false">IF($E377="","",IF($I377&lt;&gt;"",$I377,N($H377)*IFERROR(INDEX('Гео-калькулятор'!$E$7:$E$13,MATCH($C377,'Гео-калькулятор'!$B$7:$B$13,0)),0)))</f>
        <v/>
      </c>
      <c r="R377" s="38" t="str">
        <f aca="false">IF($E377="","",IFERROR(Q377/H377,""))</f>
        <v/>
      </c>
      <c r="S377" s="30" t="str">
        <f aca="false">IF($E377="","",IFERROR(E377/Q377,"—"))</f>
        <v/>
      </c>
      <c r="T377" s="30" t="str">
        <f aca="false">IF($E377="","",Q377*IFERROR(INDEX('Гео-калькулятор'!$D$7:$D$13,MATCH($C377,'Гео-калькулятор'!$B$7:$B$13,0)),0))</f>
        <v/>
      </c>
      <c r="U377" s="40" t="str">
        <f aca="false">IF($E377="","",T377-E377)</f>
        <v/>
      </c>
      <c r="V377" s="41" t="str">
        <f aca="false">IF($E377="","",IFERROR(U377/E377,""))</f>
        <v/>
      </c>
      <c r="W377" s="10" t="str">
        <f aca="false">IF($E377="","",IF($I377&lt;&gt;"","факт","прогноз"))</f>
        <v/>
      </c>
      <c r="X377" s="1"/>
      <c r="Y377" s="1"/>
      <c r="Z377" s="1"/>
      <c r="AA377" s="1"/>
      <c r="AB377" s="1"/>
      <c r="AC377" s="1"/>
      <c r="AD377" s="1"/>
    </row>
    <row r="378" customFormat="false" ht="18" hidden="false" customHeight="true" outlineLevel="0" collapsed="false">
      <c r="A378" s="1"/>
      <c r="B378" s="35"/>
      <c r="C378" s="8"/>
      <c r="D378" s="26"/>
      <c r="E378" s="27"/>
      <c r="F378" s="36"/>
      <c r="G378" s="36"/>
      <c r="H378" s="36"/>
      <c r="I378" s="36"/>
      <c r="J378" s="37" t="str">
        <f aca="false">IF($E378="","",IFERROR(G378/F378,""))</f>
        <v/>
      </c>
      <c r="K378" s="30" t="str">
        <f aca="false">IF($E378="","",IFERROR(E378/G378,""))</f>
        <v/>
      </c>
      <c r="L378" s="30" t="str">
        <f aca="false">IF($E378="","",IFERROR(E378/F378*1000,""))</f>
        <v/>
      </c>
      <c r="M378" s="37" t="str">
        <f aca="false">IF($E378="","",IFERROR(H378/G378,""))</f>
        <v/>
      </c>
      <c r="N378" s="30" t="str">
        <f aca="false">IF($E378="","",IFERROR(E378/H378,"—"))</f>
        <v/>
      </c>
      <c r="O378" s="30" t="str">
        <f aca="false">IF($E378="","",IFERROR(INDEX('Гео-калькулятор'!$K$7:$K$13,MATCH($C378,'Гео-калькулятор'!$B$7:$B$13,0)),""))</f>
        <v/>
      </c>
      <c r="P378" s="38" t="str">
        <f aca="false">IF($E378="","",IFERROR(N378/O378,""))</f>
        <v/>
      </c>
      <c r="Q378" s="39" t="str">
        <f aca="false">IF($E378="","",IF($I378&lt;&gt;"",$I378,N($H378)*IFERROR(INDEX('Гео-калькулятор'!$E$7:$E$13,MATCH($C378,'Гео-калькулятор'!$B$7:$B$13,0)),0)))</f>
        <v/>
      </c>
      <c r="R378" s="38" t="str">
        <f aca="false">IF($E378="","",IFERROR(Q378/H378,""))</f>
        <v/>
      </c>
      <c r="S378" s="30" t="str">
        <f aca="false">IF($E378="","",IFERROR(E378/Q378,"—"))</f>
        <v/>
      </c>
      <c r="T378" s="30" t="str">
        <f aca="false">IF($E378="","",Q378*IFERROR(INDEX('Гео-калькулятор'!$D$7:$D$13,MATCH($C378,'Гео-калькулятор'!$B$7:$B$13,0)),0))</f>
        <v/>
      </c>
      <c r="U378" s="40" t="str">
        <f aca="false">IF($E378="","",T378-E378)</f>
        <v/>
      </c>
      <c r="V378" s="41" t="str">
        <f aca="false">IF($E378="","",IFERROR(U378/E378,""))</f>
        <v/>
      </c>
      <c r="W378" s="10" t="str">
        <f aca="false">IF($E378="","",IF($I378&lt;&gt;"","факт","прогноз"))</f>
        <v/>
      </c>
      <c r="X378" s="1"/>
      <c r="Y378" s="1"/>
      <c r="Z378" s="1"/>
      <c r="AA378" s="1"/>
      <c r="AB378" s="1"/>
      <c r="AC378" s="1"/>
      <c r="AD378" s="1"/>
    </row>
    <row r="379" customFormat="false" ht="18" hidden="false" customHeight="true" outlineLevel="0" collapsed="false">
      <c r="A379" s="1"/>
      <c r="B379" s="35"/>
      <c r="C379" s="8"/>
      <c r="D379" s="26"/>
      <c r="E379" s="27"/>
      <c r="F379" s="36"/>
      <c r="G379" s="36"/>
      <c r="H379" s="36"/>
      <c r="I379" s="36"/>
      <c r="J379" s="37" t="str">
        <f aca="false">IF($E379="","",IFERROR(G379/F379,""))</f>
        <v/>
      </c>
      <c r="K379" s="30" t="str">
        <f aca="false">IF($E379="","",IFERROR(E379/G379,""))</f>
        <v/>
      </c>
      <c r="L379" s="30" t="str">
        <f aca="false">IF($E379="","",IFERROR(E379/F379*1000,""))</f>
        <v/>
      </c>
      <c r="M379" s="37" t="str">
        <f aca="false">IF($E379="","",IFERROR(H379/G379,""))</f>
        <v/>
      </c>
      <c r="N379" s="30" t="str">
        <f aca="false">IF($E379="","",IFERROR(E379/H379,"—"))</f>
        <v/>
      </c>
      <c r="O379" s="30" t="str">
        <f aca="false">IF($E379="","",IFERROR(INDEX('Гео-калькулятор'!$K$7:$K$13,MATCH($C379,'Гео-калькулятор'!$B$7:$B$13,0)),""))</f>
        <v/>
      </c>
      <c r="P379" s="38" t="str">
        <f aca="false">IF($E379="","",IFERROR(N379/O379,""))</f>
        <v/>
      </c>
      <c r="Q379" s="39" t="str">
        <f aca="false">IF($E379="","",IF($I379&lt;&gt;"",$I379,N($H379)*IFERROR(INDEX('Гео-калькулятор'!$E$7:$E$13,MATCH($C379,'Гео-калькулятор'!$B$7:$B$13,0)),0)))</f>
        <v/>
      </c>
      <c r="R379" s="38" t="str">
        <f aca="false">IF($E379="","",IFERROR(Q379/H379,""))</f>
        <v/>
      </c>
      <c r="S379" s="30" t="str">
        <f aca="false">IF($E379="","",IFERROR(E379/Q379,"—"))</f>
        <v/>
      </c>
      <c r="T379" s="30" t="str">
        <f aca="false">IF($E379="","",Q379*IFERROR(INDEX('Гео-калькулятор'!$D$7:$D$13,MATCH($C379,'Гео-калькулятор'!$B$7:$B$13,0)),0))</f>
        <v/>
      </c>
      <c r="U379" s="40" t="str">
        <f aca="false">IF($E379="","",T379-E379)</f>
        <v/>
      </c>
      <c r="V379" s="41" t="str">
        <f aca="false">IF($E379="","",IFERROR(U379/E379,""))</f>
        <v/>
      </c>
      <c r="W379" s="10" t="str">
        <f aca="false">IF($E379="","",IF($I379&lt;&gt;"","факт","прогноз"))</f>
        <v/>
      </c>
      <c r="X379" s="1"/>
      <c r="Y379" s="1"/>
      <c r="Z379" s="1"/>
      <c r="AA379" s="1"/>
      <c r="AB379" s="1"/>
      <c r="AC379" s="1"/>
      <c r="AD379" s="1"/>
    </row>
    <row r="380" customFormat="false" ht="18" hidden="false" customHeight="true" outlineLevel="0" collapsed="false">
      <c r="A380" s="1"/>
      <c r="B380" s="35"/>
      <c r="C380" s="8"/>
      <c r="D380" s="26"/>
      <c r="E380" s="27"/>
      <c r="F380" s="36"/>
      <c r="G380" s="36"/>
      <c r="H380" s="36"/>
      <c r="I380" s="36"/>
      <c r="J380" s="37" t="str">
        <f aca="false">IF($E380="","",IFERROR(G380/F380,""))</f>
        <v/>
      </c>
      <c r="K380" s="30" t="str">
        <f aca="false">IF($E380="","",IFERROR(E380/G380,""))</f>
        <v/>
      </c>
      <c r="L380" s="30" t="str">
        <f aca="false">IF($E380="","",IFERROR(E380/F380*1000,""))</f>
        <v/>
      </c>
      <c r="M380" s="37" t="str">
        <f aca="false">IF($E380="","",IFERROR(H380/G380,""))</f>
        <v/>
      </c>
      <c r="N380" s="30" t="str">
        <f aca="false">IF($E380="","",IFERROR(E380/H380,"—"))</f>
        <v/>
      </c>
      <c r="O380" s="30" t="str">
        <f aca="false">IF($E380="","",IFERROR(INDEX('Гео-калькулятор'!$K$7:$K$13,MATCH($C380,'Гео-калькулятор'!$B$7:$B$13,0)),""))</f>
        <v/>
      </c>
      <c r="P380" s="38" t="str">
        <f aca="false">IF($E380="","",IFERROR(N380/O380,""))</f>
        <v/>
      </c>
      <c r="Q380" s="39" t="str">
        <f aca="false">IF($E380="","",IF($I380&lt;&gt;"",$I380,N($H380)*IFERROR(INDEX('Гео-калькулятор'!$E$7:$E$13,MATCH($C380,'Гео-калькулятор'!$B$7:$B$13,0)),0)))</f>
        <v/>
      </c>
      <c r="R380" s="38" t="str">
        <f aca="false">IF($E380="","",IFERROR(Q380/H380,""))</f>
        <v/>
      </c>
      <c r="S380" s="30" t="str">
        <f aca="false">IF($E380="","",IFERROR(E380/Q380,"—"))</f>
        <v/>
      </c>
      <c r="T380" s="30" t="str">
        <f aca="false">IF($E380="","",Q380*IFERROR(INDEX('Гео-калькулятор'!$D$7:$D$13,MATCH($C380,'Гео-калькулятор'!$B$7:$B$13,0)),0))</f>
        <v/>
      </c>
      <c r="U380" s="40" t="str">
        <f aca="false">IF($E380="","",T380-E380)</f>
        <v/>
      </c>
      <c r="V380" s="41" t="str">
        <f aca="false">IF($E380="","",IFERROR(U380/E380,""))</f>
        <v/>
      </c>
      <c r="W380" s="10" t="str">
        <f aca="false">IF($E380="","",IF($I380&lt;&gt;"","факт","прогноз"))</f>
        <v/>
      </c>
      <c r="X380" s="1"/>
      <c r="Y380" s="1"/>
      <c r="Z380" s="1"/>
      <c r="AA380" s="1"/>
      <c r="AB380" s="1"/>
      <c r="AC380" s="1"/>
      <c r="AD380" s="1"/>
    </row>
    <row r="381" customFormat="false" ht="18" hidden="false" customHeight="true" outlineLevel="0" collapsed="false">
      <c r="A381" s="1"/>
      <c r="B381" s="35"/>
      <c r="C381" s="8"/>
      <c r="D381" s="26"/>
      <c r="E381" s="27"/>
      <c r="F381" s="36"/>
      <c r="G381" s="36"/>
      <c r="H381" s="36"/>
      <c r="I381" s="36"/>
      <c r="J381" s="37" t="str">
        <f aca="false">IF($E381="","",IFERROR(G381/F381,""))</f>
        <v/>
      </c>
      <c r="K381" s="30" t="str">
        <f aca="false">IF($E381="","",IFERROR(E381/G381,""))</f>
        <v/>
      </c>
      <c r="L381" s="30" t="str">
        <f aca="false">IF($E381="","",IFERROR(E381/F381*1000,""))</f>
        <v/>
      </c>
      <c r="M381" s="37" t="str">
        <f aca="false">IF($E381="","",IFERROR(H381/G381,""))</f>
        <v/>
      </c>
      <c r="N381" s="30" t="str">
        <f aca="false">IF($E381="","",IFERROR(E381/H381,"—"))</f>
        <v/>
      </c>
      <c r="O381" s="30" t="str">
        <f aca="false">IF($E381="","",IFERROR(INDEX('Гео-калькулятор'!$K$7:$K$13,MATCH($C381,'Гео-калькулятор'!$B$7:$B$13,0)),""))</f>
        <v/>
      </c>
      <c r="P381" s="38" t="str">
        <f aca="false">IF($E381="","",IFERROR(N381/O381,""))</f>
        <v/>
      </c>
      <c r="Q381" s="39" t="str">
        <f aca="false">IF($E381="","",IF($I381&lt;&gt;"",$I381,N($H381)*IFERROR(INDEX('Гео-калькулятор'!$E$7:$E$13,MATCH($C381,'Гео-калькулятор'!$B$7:$B$13,0)),0)))</f>
        <v/>
      </c>
      <c r="R381" s="38" t="str">
        <f aca="false">IF($E381="","",IFERROR(Q381/H381,""))</f>
        <v/>
      </c>
      <c r="S381" s="30" t="str">
        <f aca="false">IF($E381="","",IFERROR(E381/Q381,"—"))</f>
        <v/>
      </c>
      <c r="T381" s="30" t="str">
        <f aca="false">IF($E381="","",Q381*IFERROR(INDEX('Гео-калькулятор'!$D$7:$D$13,MATCH($C381,'Гео-калькулятор'!$B$7:$B$13,0)),0))</f>
        <v/>
      </c>
      <c r="U381" s="40" t="str">
        <f aca="false">IF($E381="","",T381-E381)</f>
        <v/>
      </c>
      <c r="V381" s="41" t="str">
        <f aca="false">IF($E381="","",IFERROR(U381/E381,""))</f>
        <v/>
      </c>
      <c r="W381" s="10" t="str">
        <f aca="false">IF($E381="","",IF($I381&lt;&gt;"","факт","прогноз"))</f>
        <v/>
      </c>
      <c r="X381" s="1"/>
      <c r="Y381" s="1"/>
      <c r="Z381" s="1"/>
      <c r="AA381" s="1"/>
      <c r="AB381" s="1"/>
      <c r="AC381" s="1"/>
      <c r="AD381" s="1"/>
    </row>
    <row r="382" customFormat="false" ht="18" hidden="false" customHeight="true" outlineLevel="0" collapsed="false">
      <c r="A382" s="1"/>
      <c r="B382" s="35"/>
      <c r="C382" s="8"/>
      <c r="D382" s="26"/>
      <c r="E382" s="27"/>
      <c r="F382" s="36"/>
      <c r="G382" s="36"/>
      <c r="H382" s="36"/>
      <c r="I382" s="36"/>
      <c r="J382" s="37" t="str">
        <f aca="false">IF($E382="","",IFERROR(G382/F382,""))</f>
        <v/>
      </c>
      <c r="K382" s="30" t="str">
        <f aca="false">IF($E382="","",IFERROR(E382/G382,""))</f>
        <v/>
      </c>
      <c r="L382" s="30" t="str">
        <f aca="false">IF($E382="","",IFERROR(E382/F382*1000,""))</f>
        <v/>
      </c>
      <c r="M382" s="37" t="str">
        <f aca="false">IF($E382="","",IFERROR(H382/G382,""))</f>
        <v/>
      </c>
      <c r="N382" s="30" t="str">
        <f aca="false">IF($E382="","",IFERROR(E382/H382,"—"))</f>
        <v/>
      </c>
      <c r="O382" s="30" t="str">
        <f aca="false">IF($E382="","",IFERROR(INDEX('Гео-калькулятор'!$K$7:$K$13,MATCH($C382,'Гео-калькулятор'!$B$7:$B$13,0)),""))</f>
        <v/>
      </c>
      <c r="P382" s="38" t="str">
        <f aca="false">IF($E382="","",IFERROR(N382/O382,""))</f>
        <v/>
      </c>
      <c r="Q382" s="39" t="str">
        <f aca="false">IF($E382="","",IF($I382&lt;&gt;"",$I382,N($H382)*IFERROR(INDEX('Гео-калькулятор'!$E$7:$E$13,MATCH($C382,'Гео-калькулятор'!$B$7:$B$13,0)),0)))</f>
        <v/>
      </c>
      <c r="R382" s="38" t="str">
        <f aca="false">IF($E382="","",IFERROR(Q382/H382,""))</f>
        <v/>
      </c>
      <c r="S382" s="30" t="str">
        <f aca="false">IF($E382="","",IFERROR(E382/Q382,"—"))</f>
        <v/>
      </c>
      <c r="T382" s="30" t="str">
        <f aca="false">IF($E382="","",Q382*IFERROR(INDEX('Гео-калькулятор'!$D$7:$D$13,MATCH($C382,'Гео-калькулятор'!$B$7:$B$13,0)),0))</f>
        <v/>
      </c>
      <c r="U382" s="40" t="str">
        <f aca="false">IF($E382="","",T382-E382)</f>
        <v/>
      </c>
      <c r="V382" s="41" t="str">
        <f aca="false">IF($E382="","",IFERROR(U382/E382,""))</f>
        <v/>
      </c>
      <c r="W382" s="10" t="str">
        <f aca="false">IF($E382="","",IF($I382&lt;&gt;"","факт","прогноз"))</f>
        <v/>
      </c>
      <c r="X382" s="1"/>
      <c r="Y382" s="1"/>
      <c r="Z382" s="1"/>
      <c r="AA382" s="1"/>
      <c r="AB382" s="1"/>
      <c r="AC382" s="1"/>
      <c r="AD382" s="1"/>
    </row>
    <row r="383" customFormat="false" ht="18" hidden="false" customHeight="true" outlineLevel="0" collapsed="false">
      <c r="A383" s="1"/>
      <c r="B383" s="35"/>
      <c r="C383" s="8"/>
      <c r="D383" s="26"/>
      <c r="E383" s="27"/>
      <c r="F383" s="36"/>
      <c r="G383" s="36"/>
      <c r="H383" s="36"/>
      <c r="I383" s="36"/>
      <c r="J383" s="37" t="str">
        <f aca="false">IF($E383="","",IFERROR(G383/F383,""))</f>
        <v/>
      </c>
      <c r="K383" s="30" t="str">
        <f aca="false">IF($E383="","",IFERROR(E383/G383,""))</f>
        <v/>
      </c>
      <c r="L383" s="30" t="str">
        <f aca="false">IF($E383="","",IFERROR(E383/F383*1000,""))</f>
        <v/>
      </c>
      <c r="M383" s="37" t="str">
        <f aca="false">IF($E383="","",IFERROR(H383/G383,""))</f>
        <v/>
      </c>
      <c r="N383" s="30" t="str">
        <f aca="false">IF($E383="","",IFERROR(E383/H383,"—"))</f>
        <v/>
      </c>
      <c r="O383" s="30" t="str">
        <f aca="false">IF($E383="","",IFERROR(INDEX('Гео-калькулятор'!$K$7:$K$13,MATCH($C383,'Гео-калькулятор'!$B$7:$B$13,0)),""))</f>
        <v/>
      </c>
      <c r="P383" s="38" t="str">
        <f aca="false">IF($E383="","",IFERROR(N383/O383,""))</f>
        <v/>
      </c>
      <c r="Q383" s="39" t="str">
        <f aca="false">IF($E383="","",IF($I383&lt;&gt;"",$I383,N($H383)*IFERROR(INDEX('Гео-калькулятор'!$E$7:$E$13,MATCH($C383,'Гео-калькулятор'!$B$7:$B$13,0)),0)))</f>
        <v/>
      </c>
      <c r="R383" s="38" t="str">
        <f aca="false">IF($E383="","",IFERROR(Q383/H383,""))</f>
        <v/>
      </c>
      <c r="S383" s="30" t="str">
        <f aca="false">IF($E383="","",IFERROR(E383/Q383,"—"))</f>
        <v/>
      </c>
      <c r="T383" s="30" t="str">
        <f aca="false">IF($E383="","",Q383*IFERROR(INDEX('Гео-калькулятор'!$D$7:$D$13,MATCH($C383,'Гео-калькулятор'!$B$7:$B$13,0)),0))</f>
        <v/>
      </c>
      <c r="U383" s="40" t="str">
        <f aca="false">IF($E383="","",T383-E383)</f>
        <v/>
      </c>
      <c r="V383" s="41" t="str">
        <f aca="false">IF($E383="","",IFERROR(U383/E383,""))</f>
        <v/>
      </c>
      <c r="W383" s="10" t="str">
        <f aca="false">IF($E383="","",IF($I383&lt;&gt;"","факт","прогноз"))</f>
        <v/>
      </c>
      <c r="X383" s="1"/>
      <c r="Y383" s="1"/>
      <c r="Z383" s="1"/>
      <c r="AA383" s="1"/>
      <c r="AB383" s="1"/>
      <c r="AC383" s="1"/>
      <c r="AD383" s="1"/>
    </row>
    <row r="384" customFormat="false" ht="18" hidden="false" customHeight="true" outlineLevel="0" collapsed="false">
      <c r="A384" s="1"/>
      <c r="B384" s="35"/>
      <c r="C384" s="8"/>
      <c r="D384" s="26"/>
      <c r="E384" s="27"/>
      <c r="F384" s="36"/>
      <c r="G384" s="36"/>
      <c r="H384" s="36"/>
      <c r="I384" s="36"/>
      <c r="J384" s="37" t="str">
        <f aca="false">IF($E384="","",IFERROR(G384/F384,""))</f>
        <v/>
      </c>
      <c r="K384" s="30" t="str">
        <f aca="false">IF($E384="","",IFERROR(E384/G384,""))</f>
        <v/>
      </c>
      <c r="L384" s="30" t="str">
        <f aca="false">IF($E384="","",IFERROR(E384/F384*1000,""))</f>
        <v/>
      </c>
      <c r="M384" s="37" t="str">
        <f aca="false">IF($E384="","",IFERROR(H384/G384,""))</f>
        <v/>
      </c>
      <c r="N384" s="30" t="str">
        <f aca="false">IF($E384="","",IFERROR(E384/H384,"—"))</f>
        <v/>
      </c>
      <c r="O384" s="30" t="str">
        <f aca="false">IF($E384="","",IFERROR(INDEX('Гео-калькулятор'!$K$7:$K$13,MATCH($C384,'Гео-калькулятор'!$B$7:$B$13,0)),""))</f>
        <v/>
      </c>
      <c r="P384" s="38" t="str">
        <f aca="false">IF($E384="","",IFERROR(N384/O384,""))</f>
        <v/>
      </c>
      <c r="Q384" s="39" t="str">
        <f aca="false">IF($E384="","",IF($I384&lt;&gt;"",$I384,N($H384)*IFERROR(INDEX('Гео-калькулятор'!$E$7:$E$13,MATCH($C384,'Гео-калькулятор'!$B$7:$B$13,0)),0)))</f>
        <v/>
      </c>
      <c r="R384" s="38" t="str">
        <f aca="false">IF($E384="","",IFERROR(Q384/H384,""))</f>
        <v/>
      </c>
      <c r="S384" s="30" t="str">
        <f aca="false">IF($E384="","",IFERROR(E384/Q384,"—"))</f>
        <v/>
      </c>
      <c r="T384" s="30" t="str">
        <f aca="false">IF($E384="","",Q384*IFERROR(INDEX('Гео-калькулятор'!$D$7:$D$13,MATCH($C384,'Гео-калькулятор'!$B$7:$B$13,0)),0))</f>
        <v/>
      </c>
      <c r="U384" s="40" t="str">
        <f aca="false">IF($E384="","",T384-E384)</f>
        <v/>
      </c>
      <c r="V384" s="41" t="str">
        <f aca="false">IF($E384="","",IFERROR(U384/E384,""))</f>
        <v/>
      </c>
      <c r="W384" s="10" t="str">
        <f aca="false">IF($E384="","",IF($I384&lt;&gt;"","факт","прогноз"))</f>
        <v/>
      </c>
      <c r="X384" s="1"/>
      <c r="Y384" s="1"/>
      <c r="Z384" s="1"/>
      <c r="AA384" s="1"/>
      <c r="AB384" s="1"/>
      <c r="AC384" s="1"/>
      <c r="AD384" s="1"/>
    </row>
    <row r="385" customFormat="false" ht="18" hidden="false" customHeight="true" outlineLevel="0" collapsed="false">
      <c r="A385" s="1"/>
      <c r="B385" s="35"/>
      <c r="C385" s="8"/>
      <c r="D385" s="26"/>
      <c r="E385" s="27"/>
      <c r="F385" s="36"/>
      <c r="G385" s="36"/>
      <c r="H385" s="36"/>
      <c r="I385" s="36"/>
      <c r="J385" s="37" t="str">
        <f aca="false">IF($E385="","",IFERROR(G385/F385,""))</f>
        <v/>
      </c>
      <c r="K385" s="30" t="str">
        <f aca="false">IF($E385="","",IFERROR(E385/G385,""))</f>
        <v/>
      </c>
      <c r="L385" s="30" t="str">
        <f aca="false">IF($E385="","",IFERROR(E385/F385*1000,""))</f>
        <v/>
      </c>
      <c r="M385" s="37" t="str">
        <f aca="false">IF($E385="","",IFERROR(H385/G385,""))</f>
        <v/>
      </c>
      <c r="N385" s="30" t="str">
        <f aca="false">IF($E385="","",IFERROR(E385/H385,"—"))</f>
        <v/>
      </c>
      <c r="O385" s="30" t="str">
        <f aca="false">IF($E385="","",IFERROR(INDEX('Гео-калькулятор'!$K$7:$K$13,MATCH($C385,'Гео-калькулятор'!$B$7:$B$13,0)),""))</f>
        <v/>
      </c>
      <c r="P385" s="38" t="str">
        <f aca="false">IF($E385="","",IFERROR(N385/O385,""))</f>
        <v/>
      </c>
      <c r="Q385" s="39" t="str">
        <f aca="false">IF($E385="","",IF($I385&lt;&gt;"",$I385,N($H385)*IFERROR(INDEX('Гео-калькулятор'!$E$7:$E$13,MATCH($C385,'Гео-калькулятор'!$B$7:$B$13,0)),0)))</f>
        <v/>
      </c>
      <c r="R385" s="38" t="str">
        <f aca="false">IF($E385="","",IFERROR(Q385/H385,""))</f>
        <v/>
      </c>
      <c r="S385" s="30" t="str">
        <f aca="false">IF($E385="","",IFERROR(E385/Q385,"—"))</f>
        <v/>
      </c>
      <c r="T385" s="30" t="str">
        <f aca="false">IF($E385="","",Q385*IFERROR(INDEX('Гео-калькулятор'!$D$7:$D$13,MATCH($C385,'Гео-калькулятор'!$B$7:$B$13,0)),0))</f>
        <v/>
      </c>
      <c r="U385" s="40" t="str">
        <f aca="false">IF($E385="","",T385-E385)</f>
        <v/>
      </c>
      <c r="V385" s="41" t="str">
        <f aca="false">IF($E385="","",IFERROR(U385/E385,""))</f>
        <v/>
      </c>
      <c r="W385" s="10" t="str">
        <f aca="false">IF($E385="","",IF($I385&lt;&gt;"","факт","прогноз"))</f>
        <v/>
      </c>
      <c r="X385" s="1"/>
      <c r="Y385" s="1"/>
      <c r="Z385" s="1"/>
      <c r="AA385" s="1"/>
      <c r="AB385" s="1"/>
      <c r="AC385" s="1"/>
      <c r="AD385" s="1"/>
    </row>
    <row r="386" customFormat="false" ht="18" hidden="false" customHeight="true" outlineLevel="0" collapsed="false">
      <c r="A386" s="1"/>
      <c r="B386" s="35"/>
      <c r="C386" s="8"/>
      <c r="D386" s="26"/>
      <c r="E386" s="27"/>
      <c r="F386" s="36"/>
      <c r="G386" s="36"/>
      <c r="H386" s="36"/>
      <c r="I386" s="36"/>
      <c r="J386" s="37" t="str">
        <f aca="false">IF($E386="","",IFERROR(G386/F386,""))</f>
        <v/>
      </c>
      <c r="K386" s="30" t="str">
        <f aca="false">IF($E386="","",IFERROR(E386/G386,""))</f>
        <v/>
      </c>
      <c r="L386" s="30" t="str">
        <f aca="false">IF($E386="","",IFERROR(E386/F386*1000,""))</f>
        <v/>
      </c>
      <c r="M386" s="37" t="str">
        <f aca="false">IF($E386="","",IFERROR(H386/G386,""))</f>
        <v/>
      </c>
      <c r="N386" s="30" t="str">
        <f aca="false">IF($E386="","",IFERROR(E386/H386,"—"))</f>
        <v/>
      </c>
      <c r="O386" s="30" t="str">
        <f aca="false">IF($E386="","",IFERROR(INDEX('Гео-калькулятор'!$K$7:$K$13,MATCH($C386,'Гео-калькулятор'!$B$7:$B$13,0)),""))</f>
        <v/>
      </c>
      <c r="P386" s="38" t="str">
        <f aca="false">IF($E386="","",IFERROR(N386/O386,""))</f>
        <v/>
      </c>
      <c r="Q386" s="39" t="str">
        <f aca="false">IF($E386="","",IF($I386&lt;&gt;"",$I386,N($H386)*IFERROR(INDEX('Гео-калькулятор'!$E$7:$E$13,MATCH($C386,'Гео-калькулятор'!$B$7:$B$13,0)),0)))</f>
        <v/>
      </c>
      <c r="R386" s="38" t="str">
        <f aca="false">IF($E386="","",IFERROR(Q386/H386,""))</f>
        <v/>
      </c>
      <c r="S386" s="30" t="str">
        <f aca="false">IF($E386="","",IFERROR(E386/Q386,"—"))</f>
        <v/>
      </c>
      <c r="T386" s="30" t="str">
        <f aca="false">IF($E386="","",Q386*IFERROR(INDEX('Гео-калькулятор'!$D$7:$D$13,MATCH($C386,'Гео-калькулятор'!$B$7:$B$13,0)),0))</f>
        <v/>
      </c>
      <c r="U386" s="40" t="str">
        <f aca="false">IF($E386="","",T386-E386)</f>
        <v/>
      </c>
      <c r="V386" s="41" t="str">
        <f aca="false">IF($E386="","",IFERROR(U386/E386,""))</f>
        <v/>
      </c>
      <c r="W386" s="10" t="str">
        <f aca="false">IF($E386="","",IF($I386&lt;&gt;"","факт","прогноз"))</f>
        <v/>
      </c>
      <c r="X386" s="1"/>
      <c r="Y386" s="1"/>
      <c r="Z386" s="1"/>
      <c r="AA386" s="1"/>
      <c r="AB386" s="1"/>
      <c r="AC386" s="1"/>
      <c r="AD386" s="1"/>
    </row>
    <row r="387" customFormat="false" ht="18" hidden="false" customHeight="true" outlineLevel="0" collapsed="false">
      <c r="A387" s="1"/>
      <c r="B387" s="35"/>
      <c r="C387" s="8"/>
      <c r="D387" s="26"/>
      <c r="E387" s="27"/>
      <c r="F387" s="36"/>
      <c r="G387" s="36"/>
      <c r="H387" s="36"/>
      <c r="I387" s="36"/>
      <c r="J387" s="37" t="str">
        <f aca="false">IF($E387="","",IFERROR(G387/F387,""))</f>
        <v/>
      </c>
      <c r="K387" s="30" t="str">
        <f aca="false">IF($E387="","",IFERROR(E387/G387,""))</f>
        <v/>
      </c>
      <c r="L387" s="30" t="str">
        <f aca="false">IF($E387="","",IFERROR(E387/F387*1000,""))</f>
        <v/>
      </c>
      <c r="M387" s="37" t="str">
        <f aca="false">IF($E387="","",IFERROR(H387/G387,""))</f>
        <v/>
      </c>
      <c r="N387" s="30" t="str">
        <f aca="false">IF($E387="","",IFERROR(E387/H387,"—"))</f>
        <v/>
      </c>
      <c r="O387" s="30" t="str">
        <f aca="false">IF($E387="","",IFERROR(INDEX('Гео-калькулятор'!$K$7:$K$13,MATCH($C387,'Гео-калькулятор'!$B$7:$B$13,0)),""))</f>
        <v/>
      </c>
      <c r="P387" s="38" t="str">
        <f aca="false">IF($E387="","",IFERROR(N387/O387,""))</f>
        <v/>
      </c>
      <c r="Q387" s="39" t="str">
        <f aca="false">IF($E387="","",IF($I387&lt;&gt;"",$I387,N($H387)*IFERROR(INDEX('Гео-калькулятор'!$E$7:$E$13,MATCH($C387,'Гео-калькулятор'!$B$7:$B$13,0)),0)))</f>
        <v/>
      </c>
      <c r="R387" s="38" t="str">
        <f aca="false">IF($E387="","",IFERROR(Q387/H387,""))</f>
        <v/>
      </c>
      <c r="S387" s="30" t="str">
        <f aca="false">IF($E387="","",IFERROR(E387/Q387,"—"))</f>
        <v/>
      </c>
      <c r="T387" s="30" t="str">
        <f aca="false">IF($E387="","",Q387*IFERROR(INDEX('Гео-калькулятор'!$D$7:$D$13,MATCH($C387,'Гео-калькулятор'!$B$7:$B$13,0)),0))</f>
        <v/>
      </c>
      <c r="U387" s="40" t="str">
        <f aca="false">IF($E387="","",T387-E387)</f>
        <v/>
      </c>
      <c r="V387" s="41" t="str">
        <f aca="false">IF($E387="","",IFERROR(U387/E387,""))</f>
        <v/>
      </c>
      <c r="W387" s="10" t="str">
        <f aca="false">IF($E387="","",IF($I387&lt;&gt;"","факт","прогноз"))</f>
        <v/>
      </c>
      <c r="X387" s="1"/>
      <c r="Y387" s="1"/>
      <c r="Z387" s="1"/>
      <c r="AA387" s="1"/>
      <c r="AB387" s="1"/>
      <c r="AC387" s="1"/>
      <c r="AD387" s="1"/>
    </row>
    <row r="388" customFormat="false" ht="18" hidden="false" customHeight="true" outlineLevel="0" collapsed="false">
      <c r="A388" s="1"/>
      <c r="B388" s="35"/>
      <c r="C388" s="8"/>
      <c r="D388" s="26"/>
      <c r="E388" s="27"/>
      <c r="F388" s="36"/>
      <c r="G388" s="36"/>
      <c r="H388" s="36"/>
      <c r="I388" s="36"/>
      <c r="J388" s="37" t="str">
        <f aca="false">IF($E388="","",IFERROR(G388/F388,""))</f>
        <v/>
      </c>
      <c r="K388" s="30" t="str">
        <f aca="false">IF($E388="","",IFERROR(E388/G388,""))</f>
        <v/>
      </c>
      <c r="L388" s="30" t="str">
        <f aca="false">IF($E388="","",IFERROR(E388/F388*1000,""))</f>
        <v/>
      </c>
      <c r="M388" s="37" t="str">
        <f aca="false">IF($E388="","",IFERROR(H388/G388,""))</f>
        <v/>
      </c>
      <c r="N388" s="30" t="str">
        <f aca="false">IF($E388="","",IFERROR(E388/H388,"—"))</f>
        <v/>
      </c>
      <c r="O388" s="30" t="str">
        <f aca="false">IF($E388="","",IFERROR(INDEX('Гео-калькулятор'!$K$7:$K$13,MATCH($C388,'Гео-калькулятор'!$B$7:$B$13,0)),""))</f>
        <v/>
      </c>
      <c r="P388" s="38" t="str">
        <f aca="false">IF($E388="","",IFERROR(N388/O388,""))</f>
        <v/>
      </c>
      <c r="Q388" s="39" t="str">
        <f aca="false">IF($E388="","",IF($I388&lt;&gt;"",$I388,N($H388)*IFERROR(INDEX('Гео-калькулятор'!$E$7:$E$13,MATCH($C388,'Гео-калькулятор'!$B$7:$B$13,0)),0)))</f>
        <v/>
      </c>
      <c r="R388" s="38" t="str">
        <f aca="false">IF($E388="","",IFERROR(Q388/H388,""))</f>
        <v/>
      </c>
      <c r="S388" s="30" t="str">
        <f aca="false">IF($E388="","",IFERROR(E388/Q388,"—"))</f>
        <v/>
      </c>
      <c r="T388" s="30" t="str">
        <f aca="false">IF($E388="","",Q388*IFERROR(INDEX('Гео-калькулятор'!$D$7:$D$13,MATCH($C388,'Гео-калькулятор'!$B$7:$B$13,0)),0))</f>
        <v/>
      </c>
      <c r="U388" s="40" t="str">
        <f aca="false">IF($E388="","",T388-E388)</f>
        <v/>
      </c>
      <c r="V388" s="41" t="str">
        <f aca="false">IF($E388="","",IFERROR(U388/E388,""))</f>
        <v/>
      </c>
      <c r="W388" s="10" t="str">
        <f aca="false">IF($E388="","",IF($I388&lt;&gt;"","факт","прогноз"))</f>
        <v/>
      </c>
      <c r="X388" s="1"/>
      <c r="Y388" s="1"/>
      <c r="Z388" s="1"/>
      <c r="AA388" s="1"/>
      <c r="AB388" s="1"/>
      <c r="AC388" s="1"/>
      <c r="AD388" s="1"/>
    </row>
    <row r="389" customFormat="false" ht="18" hidden="false" customHeight="true" outlineLevel="0" collapsed="false">
      <c r="A389" s="1"/>
      <c r="B389" s="35"/>
      <c r="C389" s="8"/>
      <c r="D389" s="26"/>
      <c r="E389" s="27"/>
      <c r="F389" s="36"/>
      <c r="G389" s="36"/>
      <c r="H389" s="36"/>
      <c r="I389" s="36"/>
      <c r="J389" s="37" t="str">
        <f aca="false">IF($E389="","",IFERROR(G389/F389,""))</f>
        <v/>
      </c>
      <c r="K389" s="30" t="str">
        <f aca="false">IF($E389="","",IFERROR(E389/G389,""))</f>
        <v/>
      </c>
      <c r="L389" s="30" t="str">
        <f aca="false">IF($E389="","",IFERROR(E389/F389*1000,""))</f>
        <v/>
      </c>
      <c r="M389" s="37" t="str">
        <f aca="false">IF($E389="","",IFERROR(H389/G389,""))</f>
        <v/>
      </c>
      <c r="N389" s="30" t="str">
        <f aca="false">IF($E389="","",IFERROR(E389/H389,"—"))</f>
        <v/>
      </c>
      <c r="O389" s="30" t="str">
        <f aca="false">IF($E389="","",IFERROR(INDEX('Гео-калькулятор'!$K$7:$K$13,MATCH($C389,'Гео-калькулятор'!$B$7:$B$13,0)),""))</f>
        <v/>
      </c>
      <c r="P389" s="38" t="str">
        <f aca="false">IF($E389="","",IFERROR(N389/O389,""))</f>
        <v/>
      </c>
      <c r="Q389" s="39" t="str">
        <f aca="false">IF($E389="","",IF($I389&lt;&gt;"",$I389,N($H389)*IFERROR(INDEX('Гео-калькулятор'!$E$7:$E$13,MATCH($C389,'Гео-калькулятор'!$B$7:$B$13,0)),0)))</f>
        <v/>
      </c>
      <c r="R389" s="38" t="str">
        <f aca="false">IF($E389="","",IFERROR(Q389/H389,""))</f>
        <v/>
      </c>
      <c r="S389" s="30" t="str">
        <f aca="false">IF($E389="","",IFERROR(E389/Q389,"—"))</f>
        <v/>
      </c>
      <c r="T389" s="30" t="str">
        <f aca="false">IF($E389="","",Q389*IFERROR(INDEX('Гео-калькулятор'!$D$7:$D$13,MATCH($C389,'Гео-калькулятор'!$B$7:$B$13,0)),0))</f>
        <v/>
      </c>
      <c r="U389" s="40" t="str">
        <f aca="false">IF($E389="","",T389-E389)</f>
        <v/>
      </c>
      <c r="V389" s="41" t="str">
        <f aca="false">IF($E389="","",IFERROR(U389/E389,""))</f>
        <v/>
      </c>
      <c r="W389" s="10" t="str">
        <f aca="false">IF($E389="","",IF($I389&lt;&gt;"","факт","прогноз"))</f>
        <v/>
      </c>
      <c r="X389" s="1"/>
      <c r="Y389" s="1"/>
      <c r="Z389" s="1"/>
      <c r="AA389" s="1"/>
      <c r="AB389" s="1"/>
      <c r="AC389" s="1"/>
      <c r="AD389" s="1"/>
    </row>
    <row r="390" customFormat="false" ht="18" hidden="false" customHeight="true" outlineLevel="0" collapsed="false">
      <c r="A390" s="1"/>
      <c r="B390" s="35"/>
      <c r="C390" s="8"/>
      <c r="D390" s="26"/>
      <c r="E390" s="27"/>
      <c r="F390" s="36"/>
      <c r="G390" s="36"/>
      <c r="H390" s="36"/>
      <c r="I390" s="36"/>
      <c r="J390" s="37" t="str">
        <f aca="false">IF($E390="","",IFERROR(G390/F390,""))</f>
        <v/>
      </c>
      <c r="K390" s="30" t="str">
        <f aca="false">IF($E390="","",IFERROR(E390/G390,""))</f>
        <v/>
      </c>
      <c r="L390" s="30" t="str">
        <f aca="false">IF($E390="","",IFERROR(E390/F390*1000,""))</f>
        <v/>
      </c>
      <c r="M390" s="37" t="str">
        <f aca="false">IF($E390="","",IFERROR(H390/G390,""))</f>
        <v/>
      </c>
      <c r="N390" s="30" t="str">
        <f aca="false">IF($E390="","",IFERROR(E390/H390,"—"))</f>
        <v/>
      </c>
      <c r="O390" s="30" t="str">
        <f aca="false">IF($E390="","",IFERROR(INDEX('Гео-калькулятор'!$K$7:$K$13,MATCH($C390,'Гео-калькулятор'!$B$7:$B$13,0)),""))</f>
        <v/>
      </c>
      <c r="P390" s="38" t="str">
        <f aca="false">IF($E390="","",IFERROR(N390/O390,""))</f>
        <v/>
      </c>
      <c r="Q390" s="39" t="str">
        <f aca="false">IF($E390="","",IF($I390&lt;&gt;"",$I390,N($H390)*IFERROR(INDEX('Гео-калькулятор'!$E$7:$E$13,MATCH($C390,'Гео-калькулятор'!$B$7:$B$13,0)),0)))</f>
        <v/>
      </c>
      <c r="R390" s="38" t="str">
        <f aca="false">IF($E390="","",IFERROR(Q390/H390,""))</f>
        <v/>
      </c>
      <c r="S390" s="30" t="str">
        <f aca="false">IF($E390="","",IFERROR(E390/Q390,"—"))</f>
        <v/>
      </c>
      <c r="T390" s="30" t="str">
        <f aca="false">IF($E390="","",Q390*IFERROR(INDEX('Гео-калькулятор'!$D$7:$D$13,MATCH($C390,'Гео-калькулятор'!$B$7:$B$13,0)),0))</f>
        <v/>
      </c>
      <c r="U390" s="40" t="str">
        <f aca="false">IF($E390="","",T390-E390)</f>
        <v/>
      </c>
      <c r="V390" s="41" t="str">
        <f aca="false">IF($E390="","",IFERROR(U390/E390,""))</f>
        <v/>
      </c>
      <c r="W390" s="10" t="str">
        <f aca="false">IF($E390="","",IF($I390&lt;&gt;"","факт","прогноз"))</f>
        <v/>
      </c>
      <c r="X390" s="1"/>
      <c r="Y390" s="1"/>
      <c r="Z390" s="1"/>
      <c r="AA390" s="1"/>
      <c r="AB390" s="1"/>
      <c r="AC390" s="1"/>
      <c r="AD390" s="1"/>
    </row>
    <row r="391" customFormat="false" ht="18" hidden="false" customHeight="true" outlineLevel="0" collapsed="false">
      <c r="A391" s="1"/>
      <c r="B391" s="35"/>
      <c r="C391" s="8"/>
      <c r="D391" s="26"/>
      <c r="E391" s="27"/>
      <c r="F391" s="36"/>
      <c r="G391" s="36"/>
      <c r="H391" s="36"/>
      <c r="I391" s="36"/>
      <c r="J391" s="37" t="str">
        <f aca="false">IF($E391="","",IFERROR(G391/F391,""))</f>
        <v/>
      </c>
      <c r="K391" s="30" t="str">
        <f aca="false">IF($E391="","",IFERROR(E391/G391,""))</f>
        <v/>
      </c>
      <c r="L391" s="30" t="str">
        <f aca="false">IF($E391="","",IFERROR(E391/F391*1000,""))</f>
        <v/>
      </c>
      <c r="M391" s="37" t="str">
        <f aca="false">IF($E391="","",IFERROR(H391/G391,""))</f>
        <v/>
      </c>
      <c r="N391" s="30" t="str">
        <f aca="false">IF($E391="","",IFERROR(E391/H391,"—"))</f>
        <v/>
      </c>
      <c r="O391" s="30" t="str">
        <f aca="false">IF($E391="","",IFERROR(INDEX('Гео-калькулятор'!$K$7:$K$13,MATCH($C391,'Гео-калькулятор'!$B$7:$B$13,0)),""))</f>
        <v/>
      </c>
      <c r="P391" s="38" t="str">
        <f aca="false">IF($E391="","",IFERROR(N391/O391,""))</f>
        <v/>
      </c>
      <c r="Q391" s="39" t="str">
        <f aca="false">IF($E391="","",IF($I391&lt;&gt;"",$I391,N($H391)*IFERROR(INDEX('Гео-калькулятор'!$E$7:$E$13,MATCH($C391,'Гео-калькулятор'!$B$7:$B$13,0)),0)))</f>
        <v/>
      </c>
      <c r="R391" s="38" t="str">
        <f aca="false">IF($E391="","",IFERROR(Q391/H391,""))</f>
        <v/>
      </c>
      <c r="S391" s="30" t="str">
        <f aca="false">IF($E391="","",IFERROR(E391/Q391,"—"))</f>
        <v/>
      </c>
      <c r="T391" s="30" t="str">
        <f aca="false">IF($E391="","",Q391*IFERROR(INDEX('Гео-калькулятор'!$D$7:$D$13,MATCH($C391,'Гео-калькулятор'!$B$7:$B$13,0)),0))</f>
        <v/>
      </c>
      <c r="U391" s="40" t="str">
        <f aca="false">IF($E391="","",T391-E391)</f>
        <v/>
      </c>
      <c r="V391" s="41" t="str">
        <f aca="false">IF($E391="","",IFERROR(U391/E391,""))</f>
        <v/>
      </c>
      <c r="W391" s="10" t="str">
        <f aca="false">IF($E391="","",IF($I391&lt;&gt;"","факт","прогноз"))</f>
        <v/>
      </c>
      <c r="X391" s="1"/>
      <c r="Y391" s="1"/>
      <c r="Z391" s="1"/>
      <c r="AA391" s="1"/>
      <c r="AB391" s="1"/>
      <c r="AC391" s="1"/>
      <c r="AD391" s="1"/>
    </row>
    <row r="392" customFormat="false" ht="18" hidden="false" customHeight="true" outlineLevel="0" collapsed="false">
      <c r="A392" s="1"/>
      <c r="B392" s="35"/>
      <c r="C392" s="8"/>
      <c r="D392" s="26"/>
      <c r="E392" s="27"/>
      <c r="F392" s="36"/>
      <c r="G392" s="36"/>
      <c r="H392" s="36"/>
      <c r="I392" s="36"/>
      <c r="J392" s="37" t="str">
        <f aca="false">IF($E392="","",IFERROR(G392/F392,""))</f>
        <v/>
      </c>
      <c r="K392" s="30" t="str">
        <f aca="false">IF($E392="","",IFERROR(E392/G392,""))</f>
        <v/>
      </c>
      <c r="L392" s="30" t="str">
        <f aca="false">IF($E392="","",IFERROR(E392/F392*1000,""))</f>
        <v/>
      </c>
      <c r="M392" s="37" t="str">
        <f aca="false">IF($E392="","",IFERROR(H392/G392,""))</f>
        <v/>
      </c>
      <c r="N392" s="30" t="str">
        <f aca="false">IF($E392="","",IFERROR(E392/H392,"—"))</f>
        <v/>
      </c>
      <c r="O392" s="30" t="str">
        <f aca="false">IF($E392="","",IFERROR(INDEX('Гео-калькулятор'!$K$7:$K$13,MATCH($C392,'Гео-калькулятор'!$B$7:$B$13,0)),""))</f>
        <v/>
      </c>
      <c r="P392" s="38" t="str">
        <f aca="false">IF($E392="","",IFERROR(N392/O392,""))</f>
        <v/>
      </c>
      <c r="Q392" s="39" t="str">
        <f aca="false">IF($E392="","",IF($I392&lt;&gt;"",$I392,N($H392)*IFERROR(INDEX('Гео-калькулятор'!$E$7:$E$13,MATCH($C392,'Гео-калькулятор'!$B$7:$B$13,0)),0)))</f>
        <v/>
      </c>
      <c r="R392" s="38" t="str">
        <f aca="false">IF($E392="","",IFERROR(Q392/H392,""))</f>
        <v/>
      </c>
      <c r="S392" s="30" t="str">
        <f aca="false">IF($E392="","",IFERROR(E392/Q392,"—"))</f>
        <v/>
      </c>
      <c r="T392" s="30" t="str">
        <f aca="false">IF($E392="","",Q392*IFERROR(INDEX('Гео-калькулятор'!$D$7:$D$13,MATCH($C392,'Гео-калькулятор'!$B$7:$B$13,0)),0))</f>
        <v/>
      </c>
      <c r="U392" s="40" t="str">
        <f aca="false">IF($E392="","",T392-E392)</f>
        <v/>
      </c>
      <c r="V392" s="41" t="str">
        <f aca="false">IF($E392="","",IFERROR(U392/E392,""))</f>
        <v/>
      </c>
      <c r="W392" s="10" t="str">
        <f aca="false">IF($E392="","",IF($I392&lt;&gt;"","факт","прогноз"))</f>
        <v/>
      </c>
      <c r="X392" s="1"/>
      <c r="Y392" s="1"/>
      <c r="Z392" s="1"/>
      <c r="AA392" s="1"/>
      <c r="AB392" s="1"/>
      <c r="AC392" s="1"/>
      <c r="AD392" s="1"/>
    </row>
    <row r="393" customFormat="false" ht="18" hidden="false" customHeight="true" outlineLevel="0" collapsed="false">
      <c r="A393" s="1"/>
      <c r="B393" s="35"/>
      <c r="C393" s="8"/>
      <c r="D393" s="26"/>
      <c r="E393" s="27"/>
      <c r="F393" s="36"/>
      <c r="G393" s="36"/>
      <c r="H393" s="36"/>
      <c r="I393" s="36"/>
      <c r="J393" s="37" t="str">
        <f aca="false">IF($E393="","",IFERROR(G393/F393,""))</f>
        <v/>
      </c>
      <c r="K393" s="30" t="str">
        <f aca="false">IF($E393="","",IFERROR(E393/G393,""))</f>
        <v/>
      </c>
      <c r="L393" s="30" t="str">
        <f aca="false">IF($E393="","",IFERROR(E393/F393*1000,""))</f>
        <v/>
      </c>
      <c r="M393" s="37" t="str">
        <f aca="false">IF($E393="","",IFERROR(H393/G393,""))</f>
        <v/>
      </c>
      <c r="N393" s="30" t="str">
        <f aca="false">IF($E393="","",IFERROR(E393/H393,"—"))</f>
        <v/>
      </c>
      <c r="O393" s="30" t="str">
        <f aca="false">IF($E393="","",IFERROR(INDEX('Гео-калькулятор'!$K$7:$K$13,MATCH($C393,'Гео-калькулятор'!$B$7:$B$13,0)),""))</f>
        <v/>
      </c>
      <c r="P393" s="38" t="str">
        <f aca="false">IF($E393="","",IFERROR(N393/O393,""))</f>
        <v/>
      </c>
      <c r="Q393" s="39" t="str">
        <f aca="false">IF($E393="","",IF($I393&lt;&gt;"",$I393,N($H393)*IFERROR(INDEX('Гео-калькулятор'!$E$7:$E$13,MATCH($C393,'Гео-калькулятор'!$B$7:$B$13,0)),0)))</f>
        <v/>
      </c>
      <c r="R393" s="38" t="str">
        <f aca="false">IF($E393="","",IFERROR(Q393/H393,""))</f>
        <v/>
      </c>
      <c r="S393" s="30" t="str">
        <f aca="false">IF($E393="","",IFERROR(E393/Q393,"—"))</f>
        <v/>
      </c>
      <c r="T393" s="30" t="str">
        <f aca="false">IF($E393="","",Q393*IFERROR(INDEX('Гео-калькулятор'!$D$7:$D$13,MATCH($C393,'Гео-калькулятор'!$B$7:$B$13,0)),0))</f>
        <v/>
      </c>
      <c r="U393" s="40" t="str">
        <f aca="false">IF($E393="","",T393-E393)</f>
        <v/>
      </c>
      <c r="V393" s="41" t="str">
        <f aca="false">IF($E393="","",IFERROR(U393/E393,""))</f>
        <v/>
      </c>
      <c r="W393" s="10" t="str">
        <f aca="false">IF($E393="","",IF($I393&lt;&gt;"","факт","прогноз"))</f>
        <v/>
      </c>
      <c r="X393" s="1"/>
      <c r="Y393" s="1"/>
      <c r="Z393" s="1"/>
      <c r="AA393" s="1"/>
      <c r="AB393" s="1"/>
      <c r="AC393" s="1"/>
      <c r="AD393" s="1"/>
    </row>
    <row r="394" customFormat="false" ht="18" hidden="false" customHeight="true" outlineLevel="0" collapsed="false">
      <c r="A394" s="1"/>
      <c r="B394" s="35"/>
      <c r="C394" s="8"/>
      <c r="D394" s="26"/>
      <c r="E394" s="27"/>
      <c r="F394" s="36"/>
      <c r="G394" s="36"/>
      <c r="H394" s="36"/>
      <c r="I394" s="36"/>
      <c r="J394" s="37" t="str">
        <f aca="false">IF($E394="","",IFERROR(G394/F394,""))</f>
        <v/>
      </c>
      <c r="K394" s="30" t="str">
        <f aca="false">IF($E394="","",IFERROR(E394/G394,""))</f>
        <v/>
      </c>
      <c r="L394" s="30" t="str">
        <f aca="false">IF($E394="","",IFERROR(E394/F394*1000,""))</f>
        <v/>
      </c>
      <c r="M394" s="37" t="str">
        <f aca="false">IF($E394="","",IFERROR(H394/G394,""))</f>
        <v/>
      </c>
      <c r="N394" s="30" t="str">
        <f aca="false">IF($E394="","",IFERROR(E394/H394,"—"))</f>
        <v/>
      </c>
      <c r="O394" s="30" t="str">
        <f aca="false">IF($E394="","",IFERROR(INDEX('Гео-калькулятор'!$K$7:$K$13,MATCH($C394,'Гео-калькулятор'!$B$7:$B$13,0)),""))</f>
        <v/>
      </c>
      <c r="P394" s="38" t="str">
        <f aca="false">IF($E394="","",IFERROR(N394/O394,""))</f>
        <v/>
      </c>
      <c r="Q394" s="39" t="str">
        <f aca="false">IF($E394="","",IF($I394&lt;&gt;"",$I394,N($H394)*IFERROR(INDEX('Гео-калькулятор'!$E$7:$E$13,MATCH($C394,'Гео-калькулятор'!$B$7:$B$13,0)),0)))</f>
        <v/>
      </c>
      <c r="R394" s="38" t="str">
        <f aca="false">IF($E394="","",IFERROR(Q394/H394,""))</f>
        <v/>
      </c>
      <c r="S394" s="30" t="str">
        <f aca="false">IF($E394="","",IFERROR(E394/Q394,"—"))</f>
        <v/>
      </c>
      <c r="T394" s="30" t="str">
        <f aca="false">IF($E394="","",Q394*IFERROR(INDEX('Гео-калькулятор'!$D$7:$D$13,MATCH($C394,'Гео-калькулятор'!$B$7:$B$13,0)),0))</f>
        <v/>
      </c>
      <c r="U394" s="40" t="str">
        <f aca="false">IF($E394="","",T394-E394)</f>
        <v/>
      </c>
      <c r="V394" s="41" t="str">
        <f aca="false">IF($E394="","",IFERROR(U394/E394,""))</f>
        <v/>
      </c>
      <c r="W394" s="10" t="str">
        <f aca="false">IF($E394="","",IF($I394&lt;&gt;"","факт","прогноз"))</f>
        <v/>
      </c>
      <c r="X394" s="1"/>
      <c r="Y394" s="1"/>
      <c r="Z394" s="1"/>
      <c r="AA394" s="1"/>
      <c r="AB394" s="1"/>
      <c r="AC394" s="1"/>
      <c r="AD394" s="1"/>
    </row>
    <row r="395" customFormat="false" ht="18" hidden="false" customHeight="true" outlineLevel="0" collapsed="false">
      <c r="A395" s="1"/>
      <c r="B395" s="35"/>
      <c r="C395" s="8"/>
      <c r="D395" s="26"/>
      <c r="E395" s="27"/>
      <c r="F395" s="36"/>
      <c r="G395" s="36"/>
      <c r="H395" s="36"/>
      <c r="I395" s="36"/>
      <c r="J395" s="37" t="str">
        <f aca="false">IF($E395="","",IFERROR(G395/F395,""))</f>
        <v/>
      </c>
      <c r="K395" s="30" t="str">
        <f aca="false">IF($E395="","",IFERROR(E395/G395,""))</f>
        <v/>
      </c>
      <c r="L395" s="30" t="str">
        <f aca="false">IF($E395="","",IFERROR(E395/F395*1000,""))</f>
        <v/>
      </c>
      <c r="M395" s="37" t="str">
        <f aca="false">IF($E395="","",IFERROR(H395/G395,""))</f>
        <v/>
      </c>
      <c r="N395" s="30" t="str">
        <f aca="false">IF($E395="","",IFERROR(E395/H395,"—"))</f>
        <v/>
      </c>
      <c r="O395" s="30" t="str">
        <f aca="false">IF($E395="","",IFERROR(INDEX('Гео-калькулятор'!$K$7:$K$13,MATCH($C395,'Гео-калькулятор'!$B$7:$B$13,0)),""))</f>
        <v/>
      </c>
      <c r="P395" s="38" t="str">
        <f aca="false">IF($E395="","",IFERROR(N395/O395,""))</f>
        <v/>
      </c>
      <c r="Q395" s="39" t="str">
        <f aca="false">IF($E395="","",IF($I395&lt;&gt;"",$I395,N($H395)*IFERROR(INDEX('Гео-калькулятор'!$E$7:$E$13,MATCH($C395,'Гео-калькулятор'!$B$7:$B$13,0)),0)))</f>
        <v/>
      </c>
      <c r="R395" s="38" t="str">
        <f aca="false">IF($E395="","",IFERROR(Q395/H395,""))</f>
        <v/>
      </c>
      <c r="S395" s="30" t="str">
        <f aca="false">IF($E395="","",IFERROR(E395/Q395,"—"))</f>
        <v/>
      </c>
      <c r="T395" s="30" t="str">
        <f aca="false">IF($E395="","",Q395*IFERROR(INDEX('Гео-калькулятор'!$D$7:$D$13,MATCH($C395,'Гео-калькулятор'!$B$7:$B$13,0)),0))</f>
        <v/>
      </c>
      <c r="U395" s="40" t="str">
        <f aca="false">IF($E395="","",T395-E395)</f>
        <v/>
      </c>
      <c r="V395" s="41" t="str">
        <f aca="false">IF($E395="","",IFERROR(U395/E395,""))</f>
        <v/>
      </c>
      <c r="W395" s="10" t="str">
        <f aca="false">IF($E395="","",IF($I395&lt;&gt;"","факт","прогноз"))</f>
        <v/>
      </c>
      <c r="X395" s="1"/>
      <c r="Y395" s="1"/>
      <c r="Z395" s="1"/>
      <c r="AA395" s="1"/>
      <c r="AB395" s="1"/>
      <c r="AC395" s="1"/>
      <c r="AD395" s="1"/>
    </row>
    <row r="396" customFormat="false" ht="18" hidden="false" customHeight="true" outlineLevel="0" collapsed="false">
      <c r="A396" s="1"/>
      <c r="B396" s="35"/>
      <c r="C396" s="8"/>
      <c r="D396" s="26"/>
      <c r="E396" s="27"/>
      <c r="F396" s="36"/>
      <c r="G396" s="36"/>
      <c r="H396" s="36"/>
      <c r="I396" s="36"/>
      <c r="J396" s="37" t="str">
        <f aca="false">IF($E396="","",IFERROR(G396/F396,""))</f>
        <v/>
      </c>
      <c r="K396" s="30" t="str">
        <f aca="false">IF($E396="","",IFERROR(E396/G396,""))</f>
        <v/>
      </c>
      <c r="L396" s="30" t="str">
        <f aca="false">IF($E396="","",IFERROR(E396/F396*1000,""))</f>
        <v/>
      </c>
      <c r="M396" s="37" t="str">
        <f aca="false">IF($E396="","",IFERROR(H396/G396,""))</f>
        <v/>
      </c>
      <c r="N396" s="30" t="str">
        <f aca="false">IF($E396="","",IFERROR(E396/H396,"—"))</f>
        <v/>
      </c>
      <c r="O396" s="30" t="str">
        <f aca="false">IF($E396="","",IFERROR(INDEX('Гео-калькулятор'!$K$7:$K$13,MATCH($C396,'Гео-калькулятор'!$B$7:$B$13,0)),""))</f>
        <v/>
      </c>
      <c r="P396" s="38" t="str">
        <f aca="false">IF($E396="","",IFERROR(N396/O396,""))</f>
        <v/>
      </c>
      <c r="Q396" s="39" t="str">
        <f aca="false">IF($E396="","",IF($I396&lt;&gt;"",$I396,N($H396)*IFERROR(INDEX('Гео-калькулятор'!$E$7:$E$13,MATCH($C396,'Гео-калькулятор'!$B$7:$B$13,0)),0)))</f>
        <v/>
      </c>
      <c r="R396" s="38" t="str">
        <f aca="false">IF($E396="","",IFERROR(Q396/H396,""))</f>
        <v/>
      </c>
      <c r="S396" s="30" t="str">
        <f aca="false">IF($E396="","",IFERROR(E396/Q396,"—"))</f>
        <v/>
      </c>
      <c r="T396" s="30" t="str">
        <f aca="false">IF($E396="","",Q396*IFERROR(INDEX('Гео-калькулятор'!$D$7:$D$13,MATCH($C396,'Гео-калькулятор'!$B$7:$B$13,0)),0))</f>
        <v/>
      </c>
      <c r="U396" s="40" t="str">
        <f aca="false">IF($E396="","",T396-E396)</f>
        <v/>
      </c>
      <c r="V396" s="41" t="str">
        <f aca="false">IF($E396="","",IFERROR(U396/E396,""))</f>
        <v/>
      </c>
      <c r="W396" s="10" t="str">
        <f aca="false">IF($E396="","",IF($I396&lt;&gt;"","факт","прогноз"))</f>
        <v/>
      </c>
      <c r="X396" s="1"/>
      <c r="Y396" s="1"/>
      <c r="Z396" s="1"/>
      <c r="AA396" s="1"/>
      <c r="AB396" s="1"/>
      <c r="AC396" s="1"/>
      <c r="AD396" s="1"/>
    </row>
    <row r="397" customFormat="false" ht="18" hidden="false" customHeight="true" outlineLevel="0" collapsed="false">
      <c r="A397" s="1"/>
      <c r="B397" s="35"/>
      <c r="C397" s="8"/>
      <c r="D397" s="26"/>
      <c r="E397" s="27"/>
      <c r="F397" s="36"/>
      <c r="G397" s="36"/>
      <c r="H397" s="36"/>
      <c r="I397" s="36"/>
      <c r="J397" s="37" t="str">
        <f aca="false">IF($E397="","",IFERROR(G397/F397,""))</f>
        <v/>
      </c>
      <c r="K397" s="30" t="str">
        <f aca="false">IF($E397="","",IFERROR(E397/G397,""))</f>
        <v/>
      </c>
      <c r="L397" s="30" t="str">
        <f aca="false">IF($E397="","",IFERROR(E397/F397*1000,""))</f>
        <v/>
      </c>
      <c r="M397" s="37" t="str">
        <f aca="false">IF($E397="","",IFERROR(H397/G397,""))</f>
        <v/>
      </c>
      <c r="N397" s="30" t="str">
        <f aca="false">IF($E397="","",IFERROR(E397/H397,"—"))</f>
        <v/>
      </c>
      <c r="O397" s="30" t="str">
        <f aca="false">IF($E397="","",IFERROR(INDEX('Гео-калькулятор'!$K$7:$K$13,MATCH($C397,'Гео-калькулятор'!$B$7:$B$13,0)),""))</f>
        <v/>
      </c>
      <c r="P397" s="38" t="str">
        <f aca="false">IF($E397="","",IFERROR(N397/O397,""))</f>
        <v/>
      </c>
      <c r="Q397" s="39" t="str">
        <f aca="false">IF($E397="","",IF($I397&lt;&gt;"",$I397,N($H397)*IFERROR(INDEX('Гео-калькулятор'!$E$7:$E$13,MATCH($C397,'Гео-калькулятор'!$B$7:$B$13,0)),0)))</f>
        <v/>
      </c>
      <c r="R397" s="38" t="str">
        <f aca="false">IF($E397="","",IFERROR(Q397/H397,""))</f>
        <v/>
      </c>
      <c r="S397" s="30" t="str">
        <f aca="false">IF($E397="","",IFERROR(E397/Q397,"—"))</f>
        <v/>
      </c>
      <c r="T397" s="30" t="str">
        <f aca="false">IF($E397="","",Q397*IFERROR(INDEX('Гео-калькулятор'!$D$7:$D$13,MATCH($C397,'Гео-калькулятор'!$B$7:$B$13,0)),0))</f>
        <v/>
      </c>
      <c r="U397" s="40" t="str">
        <f aca="false">IF($E397="","",T397-E397)</f>
        <v/>
      </c>
      <c r="V397" s="41" t="str">
        <f aca="false">IF($E397="","",IFERROR(U397/E397,""))</f>
        <v/>
      </c>
      <c r="W397" s="10" t="str">
        <f aca="false">IF($E397="","",IF($I397&lt;&gt;"","факт","прогноз"))</f>
        <v/>
      </c>
      <c r="X397" s="1"/>
      <c r="Y397" s="1"/>
      <c r="Z397" s="1"/>
      <c r="AA397" s="1"/>
      <c r="AB397" s="1"/>
      <c r="AC397" s="1"/>
      <c r="AD397" s="1"/>
    </row>
    <row r="398" customFormat="false" ht="18" hidden="false" customHeight="true" outlineLevel="0" collapsed="false">
      <c r="A398" s="1"/>
      <c r="B398" s="35"/>
      <c r="C398" s="8"/>
      <c r="D398" s="26"/>
      <c r="E398" s="27"/>
      <c r="F398" s="36"/>
      <c r="G398" s="36"/>
      <c r="H398" s="36"/>
      <c r="I398" s="36"/>
      <c r="J398" s="37" t="str">
        <f aca="false">IF($E398="","",IFERROR(G398/F398,""))</f>
        <v/>
      </c>
      <c r="K398" s="30" t="str">
        <f aca="false">IF($E398="","",IFERROR(E398/G398,""))</f>
        <v/>
      </c>
      <c r="L398" s="30" t="str">
        <f aca="false">IF($E398="","",IFERROR(E398/F398*1000,""))</f>
        <v/>
      </c>
      <c r="M398" s="37" t="str">
        <f aca="false">IF($E398="","",IFERROR(H398/G398,""))</f>
        <v/>
      </c>
      <c r="N398" s="30" t="str">
        <f aca="false">IF($E398="","",IFERROR(E398/H398,"—"))</f>
        <v/>
      </c>
      <c r="O398" s="30" t="str">
        <f aca="false">IF($E398="","",IFERROR(INDEX('Гео-калькулятор'!$K$7:$K$13,MATCH($C398,'Гео-калькулятор'!$B$7:$B$13,0)),""))</f>
        <v/>
      </c>
      <c r="P398" s="38" t="str">
        <f aca="false">IF($E398="","",IFERROR(N398/O398,""))</f>
        <v/>
      </c>
      <c r="Q398" s="39" t="str">
        <f aca="false">IF($E398="","",IF($I398&lt;&gt;"",$I398,N($H398)*IFERROR(INDEX('Гео-калькулятор'!$E$7:$E$13,MATCH($C398,'Гео-калькулятор'!$B$7:$B$13,0)),0)))</f>
        <v/>
      </c>
      <c r="R398" s="38" t="str">
        <f aca="false">IF($E398="","",IFERROR(Q398/H398,""))</f>
        <v/>
      </c>
      <c r="S398" s="30" t="str">
        <f aca="false">IF($E398="","",IFERROR(E398/Q398,"—"))</f>
        <v/>
      </c>
      <c r="T398" s="30" t="str">
        <f aca="false">IF($E398="","",Q398*IFERROR(INDEX('Гео-калькулятор'!$D$7:$D$13,MATCH($C398,'Гео-калькулятор'!$B$7:$B$13,0)),0))</f>
        <v/>
      </c>
      <c r="U398" s="40" t="str">
        <f aca="false">IF($E398="","",T398-E398)</f>
        <v/>
      </c>
      <c r="V398" s="41" t="str">
        <f aca="false">IF($E398="","",IFERROR(U398/E398,""))</f>
        <v/>
      </c>
      <c r="W398" s="10" t="str">
        <f aca="false">IF($E398="","",IF($I398&lt;&gt;"","факт","прогноз"))</f>
        <v/>
      </c>
      <c r="X398" s="1"/>
      <c r="Y398" s="1"/>
      <c r="Z398" s="1"/>
      <c r="AA398" s="1"/>
      <c r="AB398" s="1"/>
      <c r="AC398" s="1"/>
      <c r="AD398" s="1"/>
    </row>
    <row r="399" customFormat="false" ht="18" hidden="false" customHeight="true" outlineLevel="0" collapsed="false">
      <c r="A399" s="1"/>
      <c r="B399" s="35"/>
      <c r="C399" s="8"/>
      <c r="D399" s="26"/>
      <c r="E399" s="27"/>
      <c r="F399" s="36"/>
      <c r="G399" s="36"/>
      <c r="H399" s="36"/>
      <c r="I399" s="36"/>
      <c r="J399" s="37" t="str">
        <f aca="false">IF($E399="","",IFERROR(G399/F399,""))</f>
        <v/>
      </c>
      <c r="K399" s="30" t="str">
        <f aca="false">IF($E399="","",IFERROR(E399/G399,""))</f>
        <v/>
      </c>
      <c r="L399" s="30" t="str">
        <f aca="false">IF($E399="","",IFERROR(E399/F399*1000,""))</f>
        <v/>
      </c>
      <c r="M399" s="37" t="str">
        <f aca="false">IF($E399="","",IFERROR(H399/G399,""))</f>
        <v/>
      </c>
      <c r="N399" s="30" t="str">
        <f aca="false">IF($E399="","",IFERROR(E399/H399,"—"))</f>
        <v/>
      </c>
      <c r="O399" s="30" t="str">
        <f aca="false">IF($E399="","",IFERROR(INDEX('Гео-калькулятор'!$K$7:$K$13,MATCH($C399,'Гео-калькулятор'!$B$7:$B$13,0)),""))</f>
        <v/>
      </c>
      <c r="P399" s="38" t="str">
        <f aca="false">IF($E399="","",IFERROR(N399/O399,""))</f>
        <v/>
      </c>
      <c r="Q399" s="39" t="str">
        <f aca="false">IF($E399="","",IF($I399&lt;&gt;"",$I399,N($H399)*IFERROR(INDEX('Гео-калькулятор'!$E$7:$E$13,MATCH($C399,'Гео-калькулятор'!$B$7:$B$13,0)),0)))</f>
        <v/>
      </c>
      <c r="R399" s="38" t="str">
        <f aca="false">IF($E399="","",IFERROR(Q399/H399,""))</f>
        <v/>
      </c>
      <c r="S399" s="30" t="str">
        <f aca="false">IF($E399="","",IFERROR(E399/Q399,"—"))</f>
        <v/>
      </c>
      <c r="T399" s="30" t="str">
        <f aca="false">IF($E399="","",Q399*IFERROR(INDEX('Гео-калькулятор'!$D$7:$D$13,MATCH($C399,'Гео-калькулятор'!$B$7:$B$13,0)),0))</f>
        <v/>
      </c>
      <c r="U399" s="40" t="str">
        <f aca="false">IF($E399="","",T399-E399)</f>
        <v/>
      </c>
      <c r="V399" s="41" t="str">
        <f aca="false">IF($E399="","",IFERROR(U399/E399,""))</f>
        <v/>
      </c>
      <c r="W399" s="10" t="str">
        <f aca="false">IF($E399="","",IF($I399&lt;&gt;"","факт","прогноз"))</f>
        <v/>
      </c>
      <c r="X399" s="1"/>
      <c r="Y399" s="1"/>
      <c r="Z399" s="1"/>
      <c r="AA399" s="1"/>
      <c r="AB399" s="1"/>
      <c r="AC399" s="1"/>
      <c r="AD399" s="1"/>
    </row>
    <row r="400" customFormat="false" ht="18" hidden="false" customHeight="true" outlineLevel="0" collapsed="false">
      <c r="A400" s="1"/>
      <c r="B400" s="35"/>
      <c r="C400" s="8"/>
      <c r="D400" s="26"/>
      <c r="E400" s="27"/>
      <c r="F400" s="36"/>
      <c r="G400" s="36"/>
      <c r="H400" s="36"/>
      <c r="I400" s="36"/>
      <c r="J400" s="37" t="str">
        <f aca="false">IF($E400="","",IFERROR(G400/F400,""))</f>
        <v/>
      </c>
      <c r="K400" s="30" t="str">
        <f aca="false">IF($E400="","",IFERROR(E400/G400,""))</f>
        <v/>
      </c>
      <c r="L400" s="30" t="str">
        <f aca="false">IF($E400="","",IFERROR(E400/F400*1000,""))</f>
        <v/>
      </c>
      <c r="M400" s="37" t="str">
        <f aca="false">IF($E400="","",IFERROR(H400/G400,""))</f>
        <v/>
      </c>
      <c r="N400" s="30" t="str">
        <f aca="false">IF($E400="","",IFERROR(E400/H400,"—"))</f>
        <v/>
      </c>
      <c r="O400" s="30" t="str">
        <f aca="false">IF($E400="","",IFERROR(INDEX('Гео-калькулятор'!$K$7:$K$13,MATCH($C400,'Гео-калькулятор'!$B$7:$B$13,0)),""))</f>
        <v/>
      </c>
      <c r="P400" s="38" t="str">
        <f aca="false">IF($E400="","",IFERROR(N400/O400,""))</f>
        <v/>
      </c>
      <c r="Q400" s="39" t="str">
        <f aca="false">IF($E400="","",IF($I400&lt;&gt;"",$I400,N($H400)*IFERROR(INDEX('Гео-калькулятор'!$E$7:$E$13,MATCH($C400,'Гео-калькулятор'!$B$7:$B$13,0)),0)))</f>
        <v/>
      </c>
      <c r="R400" s="38" t="str">
        <f aca="false">IF($E400="","",IFERROR(Q400/H400,""))</f>
        <v/>
      </c>
      <c r="S400" s="30" t="str">
        <f aca="false">IF($E400="","",IFERROR(E400/Q400,"—"))</f>
        <v/>
      </c>
      <c r="T400" s="30" t="str">
        <f aca="false">IF($E400="","",Q400*IFERROR(INDEX('Гео-калькулятор'!$D$7:$D$13,MATCH($C400,'Гео-калькулятор'!$B$7:$B$13,0)),0))</f>
        <v/>
      </c>
      <c r="U400" s="40" t="str">
        <f aca="false">IF($E400="","",T400-E400)</f>
        <v/>
      </c>
      <c r="V400" s="41" t="str">
        <f aca="false">IF($E400="","",IFERROR(U400/E400,""))</f>
        <v/>
      </c>
      <c r="W400" s="10" t="str">
        <f aca="false">IF($E400="","",IF($I400&lt;&gt;"","факт","прогноз"))</f>
        <v/>
      </c>
      <c r="X400" s="1"/>
      <c r="Y400" s="1"/>
      <c r="Z400" s="1"/>
      <c r="AA400" s="1"/>
      <c r="AB400" s="1"/>
      <c r="AC400" s="1"/>
      <c r="AD400" s="1"/>
    </row>
    <row r="401" customFormat="false" ht="18" hidden="false" customHeight="true" outlineLevel="0" collapsed="false">
      <c r="A401" s="1"/>
      <c r="B401" s="35"/>
      <c r="C401" s="8"/>
      <c r="D401" s="26"/>
      <c r="E401" s="27"/>
      <c r="F401" s="36"/>
      <c r="G401" s="36"/>
      <c r="H401" s="36"/>
      <c r="I401" s="36"/>
      <c r="J401" s="37" t="str">
        <f aca="false">IF($E401="","",IFERROR(G401/F401,""))</f>
        <v/>
      </c>
      <c r="K401" s="30" t="str">
        <f aca="false">IF($E401="","",IFERROR(E401/G401,""))</f>
        <v/>
      </c>
      <c r="L401" s="30" t="str">
        <f aca="false">IF($E401="","",IFERROR(E401/F401*1000,""))</f>
        <v/>
      </c>
      <c r="M401" s="37" t="str">
        <f aca="false">IF($E401="","",IFERROR(H401/G401,""))</f>
        <v/>
      </c>
      <c r="N401" s="30" t="str">
        <f aca="false">IF($E401="","",IFERROR(E401/H401,"—"))</f>
        <v/>
      </c>
      <c r="O401" s="30" t="str">
        <f aca="false">IF($E401="","",IFERROR(INDEX('Гео-калькулятор'!$K$7:$K$13,MATCH($C401,'Гео-калькулятор'!$B$7:$B$13,0)),""))</f>
        <v/>
      </c>
      <c r="P401" s="38" t="str">
        <f aca="false">IF($E401="","",IFERROR(N401/O401,""))</f>
        <v/>
      </c>
      <c r="Q401" s="39" t="str">
        <f aca="false">IF($E401="","",IF($I401&lt;&gt;"",$I401,N($H401)*IFERROR(INDEX('Гео-калькулятор'!$E$7:$E$13,MATCH($C401,'Гео-калькулятор'!$B$7:$B$13,0)),0)))</f>
        <v/>
      </c>
      <c r="R401" s="38" t="str">
        <f aca="false">IF($E401="","",IFERROR(Q401/H401,""))</f>
        <v/>
      </c>
      <c r="S401" s="30" t="str">
        <f aca="false">IF($E401="","",IFERROR(E401/Q401,"—"))</f>
        <v/>
      </c>
      <c r="T401" s="30" t="str">
        <f aca="false">IF($E401="","",Q401*IFERROR(INDEX('Гео-калькулятор'!$D$7:$D$13,MATCH($C401,'Гео-калькулятор'!$B$7:$B$13,0)),0))</f>
        <v/>
      </c>
      <c r="U401" s="40" t="str">
        <f aca="false">IF($E401="","",T401-E401)</f>
        <v/>
      </c>
      <c r="V401" s="41" t="str">
        <f aca="false">IF($E401="","",IFERROR(U401/E401,""))</f>
        <v/>
      </c>
      <c r="W401" s="10" t="str">
        <f aca="false">IF($E401="","",IF($I401&lt;&gt;"","факт","прогноз"))</f>
        <v/>
      </c>
      <c r="X401" s="1"/>
      <c r="Y401" s="1"/>
      <c r="Z401" s="1"/>
      <c r="AA401" s="1"/>
      <c r="AB401" s="1"/>
      <c r="AC401" s="1"/>
      <c r="AD401" s="1"/>
    </row>
    <row r="402" customFormat="false" ht="18" hidden="false" customHeight="true" outlineLevel="0" collapsed="false">
      <c r="A402" s="1"/>
      <c r="B402" s="35"/>
      <c r="C402" s="8"/>
      <c r="D402" s="26"/>
      <c r="E402" s="27"/>
      <c r="F402" s="36"/>
      <c r="G402" s="36"/>
      <c r="H402" s="36"/>
      <c r="I402" s="36"/>
      <c r="J402" s="37" t="str">
        <f aca="false">IF($E402="","",IFERROR(G402/F402,""))</f>
        <v/>
      </c>
      <c r="K402" s="30" t="str">
        <f aca="false">IF($E402="","",IFERROR(E402/G402,""))</f>
        <v/>
      </c>
      <c r="L402" s="30" t="str">
        <f aca="false">IF($E402="","",IFERROR(E402/F402*1000,""))</f>
        <v/>
      </c>
      <c r="M402" s="37" t="str">
        <f aca="false">IF($E402="","",IFERROR(H402/G402,""))</f>
        <v/>
      </c>
      <c r="N402" s="30" t="str">
        <f aca="false">IF($E402="","",IFERROR(E402/H402,"—"))</f>
        <v/>
      </c>
      <c r="O402" s="30" t="str">
        <f aca="false">IF($E402="","",IFERROR(INDEX('Гео-калькулятор'!$K$7:$K$13,MATCH($C402,'Гео-калькулятор'!$B$7:$B$13,0)),""))</f>
        <v/>
      </c>
      <c r="P402" s="38" t="str">
        <f aca="false">IF($E402="","",IFERROR(N402/O402,""))</f>
        <v/>
      </c>
      <c r="Q402" s="39" t="str">
        <f aca="false">IF($E402="","",IF($I402&lt;&gt;"",$I402,N($H402)*IFERROR(INDEX('Гео-калькулятор'!$E$7:$E$13,MATCH($C402,'Гео-калькулятор'!$B$7:$B$13,0)),0)))</f>
        <v/>
      </c>
      <c r="R402" s="38" t="str">
        <f aca="false">IF($E402="","",IFERROR(Q402/H402,""))</f>
        <v/>
      </c>
      <c r="S402" s="30" t="str">
        <f aca="false">IF($E402="","",IFERROR(E402/Q402,"—"))</f>
        <v/>
      </c>
      <c r="T402" s="30" t="str">
        <f aca="false">IF($E402="","",Q402*IFERROR(INDEX('Гео-калькулятор'!$D$7:$D$13,MATCH($C402,'Гео-калькулятор'!$B$7:$B$13,0)),0))</f>
        <v/>
      </c>
      <c r="U402" s="40" t="str">
        <f aca="false">IF($E402="","",T402-E402)</f>
        <v/>
      </c>
      <c r="V402" s="41" t="str">
        <f aca="false">IF($E402="","",IFERROR(U402/E402,""))</f>
        <v/>
      </c>
      <c r="W402" s="10" t="str">
        <f aca="false">IF($E402="","",IF($I402&lt;&gt;"","факт","прогноз"))</f>
        <v/>
      </c>
      <c r="X402" s="1"/>
      <c r="Y402" s="1"/>
      <c r="Z402" s="1"/>
      <c r="AA402" s="1"/>
      <c r="AB402" s="1"/>
      <c r="AC402" s="1"/>
      <c r="AD402" s="1"/>
    </row>
    <row r="403" customFormat="false" ht="18" hidden="false" customHeight="true" outlineLevel="0" collapsed="false">
      <c r="A403" s="1"/>
      <c r="B403" s="35"/>
      <c r="C403" s="8"/>
      <c r="D403" s="26"/>
      <c r="E403" s="27"/>
      <c r="F403" s="36"/>
      <c r="G403" s="36"/>
      <c r="H403" s="36"/>
      <c r="I403" s="36"/>
      <c r="J403" s="37" t="str">
        <f aca="false">IF($E403="","",IFERROR(G403/F403,""))</f>
        <v/>
      </c>
      <c r="K403" s="30" t="str">
        <f aca="false">IF($E403="","",IFERROR(E403/G403,""))</f>
        <v/>
      </c>
      <c r="L403" s="30" t="str">
        <f aca="false">IF($E403="","",IFERROR(E403/F403*1000,""))</f>
        <v/>
      </c>
      <c r="M403" s="37" t="str">
        <f aca="false">IF($E403="","",IFERROR(H403/G403,""))</f>
        <v/>
      </c>
      <c r="N403" s="30" t="str">
        <f aca="false">IF($E403="","",IFERROR(E403/H403,"—"))</f>
        <v/>
      </c>
      <c r="O403" s="30" t="str">
        <f aca="false">IF($E403="","",IFERROR(INDEX('Гео-калькулятор'!$K$7:$K$13,MATCH($C403,'Гео-калькулятор'!$B$7:$B$13,0)),""))</f>
        <v/>
      </c>
      <c r="P403" s="38" t="str">
        <f aca="false">IF($E403="","",IFERROR(N403/O403,""))</f>
        <v/>
      </c>
      <c r="Q403" s="39" t="str">
        <f aca="false">IF($E403="","",IF($I403&lt;&gt;"",$I403,N($H403)*IFERROR(INDEX('Гео-калькулятор'!$E$7:$E$13,MATCH($C403,'Гео-калькулятор'!$B$7:$B$13,0)),0)))</f>
        <v/>
      </c>
      <c r="R403" s="38" t="str">
        <f aca="false">IF($E403="","",IFERROR(Q403/H403,""))</f>
        <v/>
      </c>
      <c r="S403" s="30" t="str">
        <f aca="false">IF($E403="","",IFERROR(E403/Q403,"—"))</f>
        <v/>
      </c>
      <c r="T403" s="30" t="str">
        <f aca="false">IF($E403="","",Q403*IFERROR(INDEX('Гео-калькулятор'!$D$7:$D$13,MATCH($C403,'Гео-калькулятор'!$B$7:$B$13,0)),0))</f>
        <v/>
      </c>
      <c r="U403" s="40" t="str">
        <f aca="false">IF($E403="","",T403-E403)</f>
        <v/>
      </c>
      <c r="V403" s="41" t="str">
        <f aca="false">IF($E403="","",IFERROR(U403/E403,""))</f>
        <v/>
      </c>
      <c r="W403" s="10" t="str">
        <f aca="false">IF($E403="","",IF($I403&lt;&gt;"","факт","прогноз"))</f>
        <v/>
      </c>
      <c r="X403" s="1"/>
      <c r="Y403" s="1"/>
      <c r="Z403" s="1"/>
      <c r="AA403" s="1"/>
      <c r="AB403" s="1"/>
      <c r="AC403" s="1"/>
      <c r="AD403" s="1"/>
    </row>
    <row r="404" customFormat="false" ht="18" hidden="false" customHeight="true" outlineLevel="0" collapsed="false">
      <c r="A404" s="1"/>
      <c r="B404" s="35"/>
      <c r="C404" s="8"/>
      <c r="D404" s="26"/>
      <c r="E404" s="27"/>
      <c r="F404" s="36"/>
      <c r="G404" s="36"/>
      <c r="H404" s="36"/>
      <c r="I404" s="36"/>
      <c r="J404" s="37" t="str">
        <f aca="false">IF($E404="","",IFERROR(G404/F404,""))</f>
        <v/>
      </c>
      <c r="K404" s="30" t="str">
        <f aca="false">IF($E404="","",IFERROR(E404/G404,""))</f>
        <v/>
      </c>
      <c r="L404" s="30" t="str">
        <f aca="false">IF($E404="","",IFERROR(E404/F404*1000,""))</f>
        <v/>
      </c>
      <c r="M404" s="37" t="str">
        <f aca="false">IF($E404="","",IFERROR(H404/G404,""))</f>
        <v/>
      </c>
      <c r="N404" s="30" t="str">
        <f aca="false">IF($E404="","",IFERROR(E404/H404,"—"))</f>
        <v/>
      </c>
      <c r="O404" s="30" t="str">
        <f aca="false">IF($E404="","",IFERROR(INDEX('Гео-калькулятор'!$K$7:$K$13,MATCH($C404,'Гео-калькулятор'!$B$7:$B$13,0)),""))</f>
        <v/>
      </c>
      <c r="P404" s="38" t="str">
        <f aca="false">IF($E404="","",IFERROR(N404/O404,""))</f>
        <v/>
      </c>
      <c r="Q404" s="39" t="str">
        <f aca="false">IF($E404="","",IF($I404&lt;&gt;"",$I404,N($H404)*IFERROR(INDEX('Гео-калькулятор'!$E$7:$E$13,MATCH($C404,'Гео-калькулятор'!$B$7:$B$13,0)),0)))</f>
        <v/>
      </c>
      <c r="R404" s="38" t="str">
        <f aca="false">IF($E404="","",IFERROR(Q404/H404,""))</f>
        <v/>
      </c>
      <c r="S404" s="30" t="str">
        <f aca="false">IF($E404="","",IFERROR(E404/Q404,"—"))</f>
        <v/>
      </c>
      <c r="T404" s="30" t="str">
        <f aca="false">IF($E404="","",Q404*IFERROR(INDEX('Гео-калькулятор'!$D$7:$D$13,MATCH($C404,'Гео-калькулятор'!$B$7:$B$13,0)),0))</f>
        <v/>
      </c>
      <c r="U404" s="40" t="str">
        <f aca="false">IF($E404="","",T404-E404)</f>
        <v/>
      </c>
      <c r="V404" s="41" t="str">
        <f aca="false">IF($E404="","",IFERROR(U404/E404,""))</f>
        <v/>
      </c>
      <c r="W404" s="10" t="str">
        <f aca="false">IF($E404="","",IF($I404&lt;&gt;"","факт","прогноз"))</f>
        <v/>
      </c>
      <c r="X404" s="1"/>
      <c r="Y404" s="1"/>
      <c r="Z404" s="1"/>
      <c r="AA404" s="1"/>
      <c r="AB404" s="1"/>
      <c r="AC404" s="1"/>
      <c r="AD404" s="1"/>
    </row>
    <row r="405" customFormat="false" ht="18" hidden="false" customHeight="true" outlineLevel="0" collapsed="false">
      <c r="A405" s="1"/>
      <c r="B405" s="35"/>
      <c r="C405" s="8"/>
      <c r="D405" s="26"/>
      <c r="E405" s="27"/>
      <c r="F405" s="36"/>
      <c r="G405" s="36"/>
      <c r="H405" s="36"/>
      <c r="I405" s="36"/>
      <c r="J405" s="37" t="str">
        <f aca="false">IF($E405="","",IFERROR(G405/F405,""))</f>
        <v/>
      </c>
      <c r="K405" s="30" t="str">
        <f aca="false">IF($E405="","",IFERROR(E405/G405,""))</f>
        <v/>
      </c>
      <c r="L405" s="30" t="str">
        <f aca="false">IF($E405="","",IFERROR(E405/F405*1000,""))</f>
        <v/>
      </c>
      <c r="M405" s="37" t="str">
        <f aca="false">IF($E405="","",IFERROR(H405/G405,""))</f>
        <v/>
      </c>
      <c r="N405" s="30" t="str">
        <f aca="false">IF($E405="","",IFERROR(E405/H405,"—"))</f>
        <v/>
      </c>
      <c r="O405" s="30" t="str">
        <f aca="false">IF($E405="","",IFERROR(INDEX('Гео-калькулятор'!$K$7:$K$13,MATCH($C405,'Гео-калькулятор'!$B$7:$B$13,0)),""))</f>
        <v/>
      </c>
      <c r="P405" s="38" t="str">
        <f aca="false">IF($E405="","",IFERROR(N405/O405,""))</f>
        <v/>
      </c>
      <c r="Q405" s="39" t="str">
        <f aca="false">IF($E405="","",IF($I405&lt;&gt;"",$I405,N($H405)*IFERROR(INDEX('Гео-калькулятор'!$E$7:$E$13,MATCH($C405,'Гео-калькулятор'!$B$7:$B$13,0)),0)))</f>
        <v/>
      </c>
      <c r="R405" s="38" t="str">
        <f aca="false">IF($E405="","",IFERROR(Q405/H405,""))</f>
        <v/>
      </c>
      <c r="S405" s="30" t="str">
        <f aca="false">IF($E405="","",IFERROR(E405/Q405,"—"))</f>
        <v/>
      </c>
      <c r="T405" s="30" t="str">
        <f aca="false">IF($E405="","",Q405*IFERROR(INDEX('Гео-калькулятор'!$D$7:$D$13,MATCH($C405,'Гео-калькулятор'!$B$7:$B$13,0)),0))</f>
        <v/>
      </c>
      <c r="U405" s="40" t="str">
        <f aca="false">IF($E405="","",T405-E405)</f>
        <v/>
      </c>
      <c r="V405" s="41" t="str">
        <f aca="false">IF($E405="","",IFERROR(U405/E405,""))</f>
        <v/>
      </c>
      <c r="W405" s="10" t="str">
        <f aca="false">IF($E405="","",IF($I405&lt;&gt;"","факт","прогноз"))</f>
        <v/>
      </c>
      <c r="X405" s="1"/>
      <c r="Y405" s="1"/>
      <c r="Z405" s="1"/>
      <c r="AA405" s="1"/>
      <c r="AB405" s="1"/>
      <c r="AC405" s="1"/>
      <c r="AD405" s="1"/>
    </row>
    <row r="406" customFormat="false" ht="18" hidden="false" customHeight="true" outlineLevel="0" collapsed="false">
      <c r="A406" s="1"/>
      <c r="B406" s="35"/>
      <c r="C406" s="8"/>
      <c r="D406" s="26"/>
      <c r="E406" s="27"/>
      <c r="F406" s="36"/>
      <c r="G406" s="36"/>
      <c r="H406" s="36"/>
      <c r="I406" s="36"/>
      <c r="J406" s="37" t="str">
        <f aca="false">IF($E406="","",IFERROR(G406/F406,""))</f>
        <v/>
      </c>
      <c r="K406" s="30" t="str">
        <f aca="false">IF($E406="","",IFERROR(E406/G406,""))</f>
        <v/>
      </c>
      <c r="L406" s="30" t="str">
        <f aca="false">IF($E406="","",IFERROR(E406/F406*1000,""))</f>
        <v/>
      </c>
      <c r="M406" s="37" t="str">
        <f aca="false">IF($E406="","",IFERROR(H406/G406,""))</f>
        <v/>
      </c>
      <c r="N406" s="30" t="str">
        <f aca="false">IF($E406="","",IFERROR(E406/H406,"—"))</f>
        <v/>
      </c>
      <c r="O406" s="30" t="str">
        <f aca="false">IF($E406="","",IFERROR(INDEX('Гео-калькулятор'!$K$7:$K$13,MATCH($C406,'Гео-калькулятор'!$B$7:$B$13,0)),""))</f>
        <v/>
      </c>
      <c r="P406" s="38" t="str">
        <f aca="false">IF($E406="","",IFERROR(N406/O406,""))</f>
        <v/>
      </c>
      <c r="Q406" s="39" t="str">
        <f aca="false">IF($E406="","",IF($I406&lt;&gt;"",$I406,N($H406)*IFERROR(INDEX('Гео-калькулятор'!$E$7:$E$13,MATCH($C406,'Гео-калькулятор'!$B$7:$B$13,0)),0)))</f>
        <v/>
      </c>
      <c r="R406" s="38" t="str">
        <f aca="false">IF($E406="","",IFERROR(Q406/H406,""))</f>
        <v/>
      </c>
      <c r="S406" s="30" t="str">
        <f aca="false">IF($E406="","",IFERROR(E406/Q406,"—"))</f>
        <v/>
      </c>
      <c r="T406" s="30" t="str">
        <f aca="false">IF($E406="","",Q406*IFERROR(INDEX('Гео-калькулятор'!$D$7:$D$13,MATCH($C406,'Гео-калькулятор'!$B$7:$B$13,0)),0))</f>
        <v/>
      </c>
      <c r="U406" s="40" t="str">
        <f aca="false">IF($E406="","",T406-E406)</f>
        <v/>
      </c>
      <c r="V406" s="41" t="str">
        <f aca="false">IF($E406="","",IFERROR(U406/E406,""))</f>
        <v/>
      </c>
      <c r="W406" s="10" t="str">
        <f aca="false">IF($E406="","",IF($I406&lt;&gt;"","факт","прогноз"))</f>
        <v/>
      </c>
      <c r="X406" s="1"/>
      <c r="Y406" s="1"/>
      <c r="Z406" s="1"/>
      <c r="AA406" s="1"/>
      <c r="AB406" s="1"/>
      <c r="AC406" s="1"/>
      <c r="AD406" s="1"/>
    </row>
    <row r="407" customFormat="false" ht="18" hidden="false" customHeight="true" outlineLevel="0" collapsed="false">
      <c r="A407" s="1"/>
      <c r="B407" s="35"/>
      <c r="C407" s="8"/>
      <c r="D407" s="26"/>
      <c r="E407" s="27"/>
      <c r="F407" s="36"/>
      <c r="G407" s="36"/>
      <c r="H407" s="36"/>
      <c r="I407" s="36"/>
      <c r="J407" s="37" t="str">
        <f aca="false">IF($E407="","",IFERROR(G407/F407,""))</f>
        <v/>
      </c>
      <c r="K407" s="30" t="str">
        <f aca="false">IF($E407="","",IFERROR(E407/G407,""))</f>
        <v/>
      </c>
      <c r="L407" s="30" t="str">
        <f aca="false">IF($E407="","",IFERROR(E407/F407*1000,""))</f>
        <v/>
      </c>
      <c r="M407" s="37" t="str">
        <f aca="false">IF($E407="","",IFERROR(H407/G407,""))</f>
        <v/>
      </c>
      <c r="N407" s="30" t="str">
        <f aca="false">IF($E407="","",IFERROR(E407/H407,"—"))</f>
        <v/>
      </c>
      <c r="O407" s="30" t="str">
        <f aca="false">IF($E407="","",IFERROR(INDEX('Гео-калькулятор'!$K$7:$K$13,MATCH($C407,'Гео-калькулятор'!$B$7:$B$13,0)),""))</f>
        <v/>
      </c>
      <c r="P407" s="38" t="str">
        <f aca="false">IF($E407="","",IFERROR(N407/O407,""))</f>
        <v/>
      </c>
      <c r="Q407" s="39" t="str">
        <f aca="false">IF($E407="","",IF($I407&lt;&gt;"",$I407,N($H407)*IFERROR(INDEX('Гео-калькулятор'!$E$7:$E$13,MATCH($C407,'Гео-калькулятор'!$B$7:$B$13,0)),0)))</f>
        <v/>
      </c>
      <c r="R407" s="38" t="str">
        <f aca="false">IF($E407="","",IFERROR(Q407/H407,""))</f>
        <v/>
      </c>
      <c r="S407" s="30" t="str">
        <f aca="false">IF($E407="","",IFERROR(E407/Q407,"—"))</f>
        <v/>
      </c>
      <c r="T407" s="30" t="str">
        <f aca="false">IF($E407="","",Q407*IFERROR(INDEX('Гео-калькулятор'!$D$7:$D$13,MATCH($C407,'Гео-калькулятор'!$B$7:$B$13,0)),0))</f>
        <v/>
      </c>
      <c r="U407" s="40" t="str">
        <f aca="false">IF($E407="","",T407-E407)</f>
        <v/>
      </c>
      <c r="V407" s="41" t="str">
        <f aca="false">IF($E407="","",IFERROR(U407/E407,""))</f>
        <v/>
      </c>
      <c r="W407" s="10" t="str">
        <f aca="false">IF($E407="","",IF($I407&lt;&gt;"","факт","прогноз"))</f>
        <v/>
      </c>
      <c r="X407" s="1"/>
      <c r="Y407" s="1"/>
      <c r="Z407" s="1"/>
      <c r="AA407" s="1"/>
      <c r="AB407" s="1"/>
      <c r="AC407" s="1"/>
      <c r="AD407" s="1"/>
    </row>
    <row r="408" customFormat="false" ht="18" hidden="false" customHeight="true" outlineLevel="0" collapsed="false">
      <c r="A408" s="1"/>
      <c r="B408" s="35"/>
      <c r="C408" s="8"/>
      <c r="D408" s="26"/>
      <c r="E408" s="27"/>
      <c r="F408" s="36"/>
      <c r="G408" s="36"/>
      <c r="H408" s="36"/>
      <c r="I408" s="36"/>
      <c r="J408" s="37" t="str">
        <f aca="false">IF($E408="","",IFERROR(G408/F408,""))</f>
        <v/>
      </c>
      <c r="K408" s="30" t="str">
        <f aca="false">IF($E408="","",IFERROR(E408/G408,""))</f>
        <v/>
      </c>
      <c r="L408" s="30" t="str">
        <f aca="false">IF($E408="","",IFERROR(E408/F408*1000,""))</f>
        <v/>
      </c>
      <c r="M408" s="37" t="str">
        <f aca="false">IF($E408="","",IFERROR(H408/G408,""))</f>
        <v/>
      </c>
      <c r="N408" s="30" t="str">
        <f aca="false">IF($E408="","",IFERROR(E408/H408,"—"))</f>
        <v/>
      </c>
      <c r="O408" s="30" t="str">
        <f aca="false">IF($E408="","",IFERROR(INDEX('Гео-калькулятор'!$K$7:$K$13,MATCH($C408,'Гео-калькулятор'!$B$7:$B$13,0)),""))</f>
        <v/>
      </c>
      <c r="P408" s="38" t="str">
        <f aca="false">IF($E408="","",IFERROR(N408/O408,""))</f>
        <v/>
      </c>
      <c r="Q408" s="39" t="str">
        <f aca="false">IF($E408="","",IF($I408&lt;&gt;"",$I408,N($H408)*IFERROR(INDEX('Гео-калькулятор'!$E$7:$E$13,MATCH($C408,'Гео-калькулятор'!$B$7:$B$13,0)),0)))</f>
        <v/>
      </c>
      <c r="R408" s="38" t="str">
        <f aca="false">IF($E408="","",IFERROR(Q408/H408,""))</f>
        <v/>
      </c>
      <c r="S408" s="30" t="str">
        <f aca="false">IF($E408="","",IFERROR(E408/Q408,"—"))</f>
        <v/>
      </c>
      <c r="T408" s="30" t="str">
        <f aca="false">IF($E408="","",Q408*IFERROR(INDEX('Гео-калькулятор'!$D$7:$D$13,MATCH($C408,'Гео-калькулятор'!$B$7:$B$13,0)),0))</f>
        <v/>
      </c>
      <c r="U408" s="40" t="str">
        <f aca="false">IF($E408="","",T408-E408)</f>
        <v/>
      </c>
      <c r="V408" s="41" t="str">
        <f aca="false">IF($E408="","",IFERROR(U408/E408,""))</f>
        <v/>
      </c>
      <c r="W408" s="10" t="str">
        <f aca="false">IF($E408="","",IF($I408&lt;&gt;"","факт","прогноз"))</f>
        <v/>
      </c>
      <c r="X408" s="1"/>
      <c r="Y408" s="1"/>
      <c r="Z408" s="1"/>
      <c r="AA408" s="1"/>
      <c r="AB408" s="1"/>
      <c r="AC408" s="1"/>
      <c r="AD408" s="1"/>
    </row>
    <row r="409" customFormat="false" ht="18" hidden="false" customHeight="true" outlineLevel="0" collapsed="false">
      <c r="A409" s="1"/>
      <c r="B409" s="35"/>
      <c r="C409" s="8"/>
      <c r="D409" s="26"/>
      <c r="E409" s="27"/>
      <c r="F409" s="36"/>
      <c r="G409" s="36"/>
      <c r="H409" s="36"/>
      <c r="I409" s="36"/>
      <c r="J409" s="37" t="str">
        <f aca="false">IF($E409="","",IFERROR(G409/F409,""))</f>
        <v/>
      </c>
      <c r="K409" s="30" t="str">
        <f aca="false">IF($E409="","",IFERROR(E409/G409,""))</f>
        <v/>
      </c>
      <c r="L409" s="30" t="str">
        <f aca="false">IF($E409="","",IFERROR(E409/F409*1000,""))</f>
        <v/>
      </c>
      <c r="M409" s="37" t="str">
        <f aca="false">IF($E409="","",IFERROR(H409/G409,""))</f>
        <v/>
      </c>
      <c r="N409" s="30" t="str">
        <f aca="false">IF($E409="","",IFERROR(E409/H409,"—"))</f>
        <v/>
      </c>
      <c r="O409" s="30" t="str">
        <f aca="false">IF($E409="","",IFERROR(INDEX('Гео-калькулятор'!$K$7:$K$13,MATCH($C409,'Гео-калькулятор'!$B$7:$B$13,0)),""))</f>
        <v/>
      </c>
      <c r="P409" s="38" t="str">
        <f aca="false">IF($E409="","",IFERROR(N409/O409,""))</f>
        <v/>
      </c>
      <c r="Q409" s="39" t="str">
        <f aca="false">IF($E409="","",IF($I409&lt;&gt;"",$I409,N($H409)*IFERROR(INDEX('Гео-калькулятор'!$E$7:$E$13,MATCH($C409,'Гео-калькулятор'!$B$7:$B$13,0)),0)))</f>
        <v/>
      </c>
      <c r="R409" s="38" t="str">
        <f aca="false">IF($E409="","",IFERROR(Q409/H409,""))</f>
        <v/>
      </c>
      <c r="S409" s="30" t="str">
        <f aca="false">IF($E409="","",IFERROR(E409/Q409,"—"))</f>
        <v/>
      </c>
      <c r="T409" s="30" t="str">
        <f aca="false">IF($E409="","",Q409*IFERROR(INDEX('Гео-калькулятор'!$D$7:$D$13,MATCH($C409,'Гео-калькулятор'!$B$7:$B$13,0)),0))</f>
        <v/>
      </c>
      <c r="U409" s="40" t="str">
        <f aca="false">IF($E409="","",T409-E409)</f>
        <v/>
      </c>
      <c r="V409" s="41" t="str">
        <f aca="false">IF($E409="","",IFERROR(U409/E409,""))</f>
        <v/>
      </c>
      <c r="W409" s="10" t="str">
        <f aca="false">IF($E409="","",IF($I409&lt;&gt;"","факт","прогноз"))</f>
        <v/>
      </c>
      <c r="X409" s="1"/>
      <c r="Y409" s="1"/>
      <c r="Z409" s="1"/>
      <c r="AA409" s="1"/>
      <c r="AB409" s="1"/>
      <c r="AC409" s="1"/>
      <c r="AD409" s="1"/>
    </row>
    <row r="410" customFormat="false" ht="18" hidden="false" customHeight="true" outlineLevel="0" collapsed="false">
      <c r="A410" s="1"/>
      <c r="B410" s="35"/>
      <c r="C410" s="8"/>
      <c r="D410" s="26"/>
      <c r="E410" s="27"/>
      <c r="F410" s="36"/>
      <c r="G410" s="36"/>
      <c r="H410" s="36"/>
      <c r="I410" s="36"/>
      <c r="J410" s="37" t="str">
        <f aca="false">IF($E410="","",IFERROR(G410/F410,""))</f>
        <v/>
      </c>
      <c r="K410" s="30" t="str">
        <f aca="false">IF($E410="","",IFERROR(E410/G410,""))</f>
        <v/>
      </c>
      <c r="L410" s="30" t="str">
        <f aca="false">IF($E410="","",IFERROR(E410/F410*1000,""))</f>
        <v/>
      </c>
      <c r="M410" s="37" t="str">
        <f aca="false">IF($E410="","",IFERROR(H410/G410,""))</f>
        <v/>
      </c>
      <c r="N410" s="30" t="str">
        <f aca="false">IF($E410="","",IFERROR(E410/H410,"—"))</f>
        <v/>
      </c>
      <c r="O410" s="30" t="str">
        <f aca="false">IF($E410="","",IFERROR(INDEX('Гео-калькулятор'!$K$7:$K$13,MATCH($C410,'Гео-калькулятор'!$B$7:$B$13,0)),""))</f>
        <v/>
      </c>
      <c r="P410" s="38" t="str">
        <f aca="false">IF($E410="","",IFERROR(N410/O410,""))</f>
        <v/>
      </c>
      <c r="Q410" s="39" t="str">
        <f aca="false">IF($E410="","",IF($I410&lt;&gt;"",$I410,N($H410)*IFERROR(INDEX('Гео-калькулятор'!$E$7:$E$13,MATCH($C410,'Гео-калькулятор'!$B$7:$B$13,0)),0)))</f>
        <v/>
      </c>
      <c r="R410" s="38" t="str">
        <f aca="false">IF($E410="","",IFERROR(Q410/H410,""))</f>
        <v/>
      </c>
      <c r="S410" s="30" t="str">
        <f aca="false">IF($E410="","",IFERROR(E410/Q410,"—"))</f>
        <v/>
      </c>
      <c r="T410" s="30" t="str">
        <f aca="false">IF($E410="","",Q410*IFERROR(INDEX('Гео-калькулятор'!$D$7:$D$13,MATCH($C410,'Гео-калькулятор'!$B$7:$B$13,0)),0))</f>
        <v/>
      </c>
      <c r="U410" s="40" t="str">
        <f aca="false">IF($E410="","",T410-E410)</f>
        <v/>
      </c>
      <c r="V410" s="41" t="str">
        <f aca="false">IF($E410="","",IFERROR(U410/E410,""))</f>
        <v/>
      </c>
      <c r="W410" s="10" t="str">
        <f aca="false">IF($E410="","",IF($I410&lt;&gt;"","факт","прогноз"))</f>
        <v/>
      </c>
      <c r="X410" s="1"/>
      <c r="Y410" s="1"/>
      <c r="Z410" s="1"/>
      <c r="AA410" s="1"/>
      <c r="AB410" s="1"/>
      <c r="AC410" s="1"/>
      <c r="AD410" s="1"/>
    </row>
    <row r="411" customFormat="false" ht="18" hidden="false" customHeight="true" outlineLevel="0" collapsed="false">
      <c r="A411" s="1"/>
      <c r="B411" s="35"/>
      <c r="C411" s="8"/>
      <c r="D411" s="26"/>
      <c r="E411" s="27"/>
      <c r="F411" s="36"/>
      <c r="G411" s="36"/>
      <c r="H411" s="36"/>
      <c r="I411" s="36"/>
      <c r="J411" s="37" t="str">
        <f aca="false">IF($E411="","",IFERROR(G411/F411,""))</f>
        <v/>
      </c>
      <c r="K411" s="30" t="str">
        <f aca="false">IF($E411="","",IFERROR(E411/G411,""))</f>
        <v/>
      </c>
      <c r="L411" s="30" t="str">
        <f aca="false">IF($E411="","",IFERROR(E411/F411*1000,""))</f>
        <v/>
      </c>
      <c r="M411" s="37" t="str">
        <f aca="false">IF($E411="","",IFERROR(H411/G411,""))</f>
        <v/>
      </c>
      <c r="N411" s="30" t="str">
        <f aca="false">IF($E411="","",IFERROR(E411/H411,"—"))</f>
        <v/>
      </c>
      <c r="O411" s="30" t="str">
        <f aca="false">IF($E411="","",IFERROR(INDEX('Гео-калькулятор'!$K$7:$K$13,MATCH($C411,'Гео-калькулятор'!$B$7:$B$13,0)),""))</f>
        <v/>
      </c>
      <c r="P411" s="38" t="str">
        <f aca="false">IF($E411="","",IFERROR(N411/O411,""))</f>
        <v/>
      </c>
      <c r="Q411" s="39" t="str">
        <f aca="false">IF($E411="","",IF($I411&lt;&gt;"",$I411,N($H411)*IFERROR(INDEX('Гео-калькулятор'!$E$7:$E$13,MATCH($C411,'Гео-калькулятор'!$B$7:$B$13,0)),0)))</f>
        <v/>
      </c>
      <c r="R411" s="38" t="str">
        <f aca="false">IF($E411="","",IFERROR(Q411/H411,""))</f>
        <v/>
      </c>
      <c r="S411" s="30" t="str">
        <f aca="false">IF($E411="","",IFERROR(E411/Q411,"—"))</f>
        <v/>
      </c>
      <c r="T411" s="30" t="str">
        <f aca="false">IF($E411="","",Q411*IFERROR(INDEX('Гео-калькулятор'!$D$7:$D$13,MATCH($C411,'Гео-калькулятор'!$B$7:$B$13,0)),0))</f>
        <v/>
      </c>
      <c r="U411" s="40" t="str">
        <f aca="false">IF($E411="","",T411-E411)</f>
        <v/>
      </c>
      <c r="V411" s="41" t="str">
        <f aca="false">IF($E411="","",IFERROR(U411/E411,""))</f>
        <v/>
      </c>
      <c r="W411" s="10" t="str">
        <f aca="false">IF($E411="","",IF($I411&lt;&gt;"","факт","прогноз"))</f>
        <v/>
      </c>
      <c r="X411" s="1"/>
      <c r="Y411" s="1"/>
      <c r="Z411" s="1"/>
      <c r="AA411" s="1"/>
      <c r="AB411" s="1"/>
      <c r="AC411" s="1"/>
      <c r="AD411" s="1"/>
    </row>
    <row r="412" customFormat="false" ht="18" hidden="false" customHeight="true" outlineLevel="0" collapsed="false">
      <c r="A412" s="1"/>
      <c r="B412" s="35"/>
      <c r="C412" s="8"/>
      <c r="D412" s="26"/>
      <c r="E412" s="27"/>
      <c r="F412" s="36"/>
      <c r="G412" s="36"/>
      <c r="H412" s="36"/>
      <c r="I412" s="36"/>
      <c r="J412" s="37" t="str">
        <f aca="false">IF($E412="","",IFERROR(G412/F412,""))</f>
        <v/>
      </c>
      <c r="K412" s="30" t="str">
        <f aca="false">IF($E412="","",IFERROR(E412/G412,""))</f>
        <v/>
      </c>
      <c r="L412" s="30" t="str">
        <f aca="false">IF($E412="","",IFERROR(E412/F412*1000,""))</f>
        <v/>
      </c>
      <c r="M412" s="37" t="str">
        <f aca="false">IF($E412="","",IFERROR(H412/G412,""))</f>
        <v/>
      </c>
      <c r="N412" s="30" t="str">
        <f aca="false">IF($E412="","",IFERROR(E412/H412,"—"))</f>
        <v/>
      </c>
      <c r="O412" s="30" t="str">
        <f aca="false">IF($E412="","",IFERROR(INDEX('Гео-калькулятор'!$K$7:$K$13,MATCH($C412,'Гео-калькулятор'!$B$7:$B$13,0)),""))</f>
        <v/>
      </c>
      <c r="P412" s="38" t="str">
        <f aca="false">IF($E412="","",IFERROR(N412/O412,""))</f>
        <v/>
      </c>
      <c r="Q412" s="39" t="str">
        <f aca="false">IF($E412="","",IF($I412&lt;&gt;"",$I412,N($H412)*IFERROR(INDEX('Гео-калькулятор'!$E$7:$E$13,MATCH($C412,'Гео-калькулятор'!$B$7:$B$13,0)),0)))</f>
        <v/>
      </c>
      <c r="R412" s="38" t="str">
        <f aca="false">IF($E412="","",IFERROR(Q412/H412,""))</f>
        <v/>
      </c>
      <c r="S412" s="30" t="str">
        <f aca="false">IF($E412="","",IFERROR(E412/Q412,"—"))</f>
        <v/>
      </c>
      <c r="T412" s="30" t="str">
        <f aca="false">IF($E412="","",Q412*IFERROR(INDEX('Гео-калькулятор'!$D$7:$D$13,MATCH($C412,'Гео-калькулятор'!$B$7:$B$13,0)),0))</f>
        <v/>
      </c>
      <c r="U412" s="40" t="str">
        <f aca="false">IF($E412="","",T412-E412)</f>
        <v/>
      </c>
      <c r="V412" s="41" t="str">
        <f aca="false">IF($E412="","",IFERROR(U412/E412,""))</f>
        <v/>
      </c>
      <c r="W412" s="10" t="str">
        <f aca="false">IF($E412="","",IF($I412&lt;&gt;"","факт","прогноз"))</f>
        <v/>
      </c>
      <c r="X412" s="1"/>
      <c r="Y412" s="1"/>
      <c r="Z412" s="1"/>
      <c r="AA412" s="1"/>
      <c r="AB412" s="1"/>
      <c r="AC412" s="1"/>
      <c r="AD412" s="1"/>
    </row>
    <row r="413" customFormat="false" ht="18" hidden="false" customHeight="true" outlineLevel="0" collapsed="false">
      <c r="A413" s="1"/>
      <c r="B413" s="35"/>
      <c r="C413" s="8"/>
      <c r="D413" s="26"/>
      <c r="E413" s="27"/>
      <c r="F413" s="36"/>
      <c r="G413" s="36"/>
      <c r="H413" s="36"/>
      <c r="I413" s="36"/>
      <c r="J413" s="37" t="str">
        <f aca="false">IF($E413="","",IFERROR(G413/F413,""))</f>
        <v/>
      </c>
      <c r="K413" s="30" t="str">
        <f aca="false">IF($E413="","",IFERROR(E413/G413,""))</f>
        <v/>
      </c>
      <c r="L413" s="30" t="str">
        <f aca="false">IF($E413="","",IFERROR(E413/F413*1000,""))</f>
        <v/>
      </c>
      <c r="M413" s="37" t="str">
        <f aca="false">IF($E413="","",IFERROR(H413/G413,""))</f>
        <v/>
      </c>
      <c r="N413" s="30" t="str">
        <f aca="false">IF($E413="","",IFERROR(E413/H413,"—"))</f>
        <v/>
      </c>
      <c r="O413" s="30" t="str">
        <f aca="false">IF($E413="","",IFERROR(INDEX('Гео-калькулятор'!$K$7:$K$13,MATCH($C413,'Гео-калькулятор'!$B$7:$B$13,0)),""))</f>
        <v/>
      </c>
      <c r="P413" s="38" t="str">
        <f aca="false">IF($E413="","",IFERROR(N413/O413,""))</f>
        <v/>
      </c>
      <c r="Q413" s="39" t="str">
        <f aca="false">IF($E413="","",IF($I413&lt;&gt;"",$I413,N($H413)*IFERROR(INDEX('Гео-калькулятор'!$E$7:$E$13,MATCH($C413,'Гео-калькулятор'!$B$7:$B$13,0)),0)))</f>
        <v/>
      </c>
      <c r="R413" s="38" t="str">
        <f aca="false">IF($E413="","",IFERROR(Q413/H413,""))</f>
        <v/>
      </c>
      <c r="S413" s="30" t="str">
        <f aca="false">IF($E413="","",IFERROR(E413/Q413,"—"))</f>
        <v/>
      </c>
      <c r="T413" s="30" t="str">
        <f aca="false">IF($E413="","",Q413*IFERROR(INDEX('Гео-калькулятор'!$D$7:$D$13,MATCH($C413,'Гео-калькулятор'!$B$7:$B$13,0)),0))</f>
        <v/>
      </c>
      <c r="U413" s="40" t="str">
        <f aca="false">IF($E413="","",T413-E413)</f>
        <v/>
      </c>
      <c r="V413" s="41" t="str">
        <f aca="false">IF($E413="","",IFERROR(U413/E413,""))</f>
        <v/>
      </c>
      <c r="W413" s="10" t="str">
        <f aca="false">IF($E413="","",IF($I413&lt;&gt;"","факт","прогноз"))</f>
        <v/>
      </c>
      <c r="X413" s="1"/>
      <c r="Y413" s="1"/>
      <c r="Z413" s="1"/>
      <c r="AA413" s="1"/>
      <c r="AB413" s="1"/>
      <c r="AC413" s="1"/>
      <c r="AD413" s="1"/>
    </row>
    <row r="414" customFormat="false" ht="18" hidden="false" customHeight="true" outlineLevel="0" collapsed="false">
      <c r="A414" s="1"/>
      <c r="B414" s="35"/>
      <c r="C414" s="8"/>
      <c r="D414" s="26"/>
      <c r="E414" s="27"/>
      <c r="F414" s="36"/>
      <c r="G414" s="36"/>
      <c r="H414" s="36"/>
      <c r="I414" s="36"/>
      <c r="J414" s="37" t="str">
        <f aca="false">IF($E414="","",IFERROR(G414/F414,""))</f>
        <v/>
      </c>
      <c r="K414" s="30" t="str">
        <f aca="false">IF($E414="","",IFERROR(E414/G414,""))</f>
        <v/>
      </c>
      <c r="L414" s="30" t="str">
        <f aca="false">IF($E414="","",IFERROR(E414/F414*1000,""))</f>
        <v/>
      </c>
      <c r="M414" s="37" t="str">
        <f aca="false">IF($E414="","",IFERROR(H414/G414,""))</f>
        <v/>
      </c>
      <c r="N414" s="30" t="str">
        <f aca="false">IF($E414="","",IFERROR(E414/H414,"—"))</f>
        <v/>
      </c>
      <c r="O414" s="30" t="str">
        <f aca="false">IF($E414="","",IFERROR(INDEX('Гео-калькулятор'!$K$7:$K$13,MATCH($C414,'Гео-калькулятор'!$B$7:$B$13,0)),""))</f>
        <v/>
      </c>
      <c r="P414" s="38" t="str">
        <f aca="false">IF($E414="","",IFERROR(N414/O414,""))</f>
        <v/>
      </c>
      <c r="Q414" s="39" t="str">
        <f aca="false">IF($E414="","",IF($I414&lt;&gt;"",$I414,N($H414)*IFERROR(INDEX('Гео-калькулятор'!$E$7:$E$13,MATCH($C414,'Гео-калькулятор'!$B$7:$B$13,0)),0)))</f>
        <v/>
      </c>
      <c r="R414" s="38" t="str">
        <f aca="false">IF($E414="","",IFERROR(Q414/H414,""))</f>
        <v/>
      </c>
      <c r="S414" s="30" t="str">
        <f aca="false">IF($E414="","",IFERROR(E414/Q414,"—"))</f>
        <v/>
      </c>
      <c r="T414" s="30" t="str">
        <f aca="false">IF($E414="","",Q414*IFERROR(INDEX('Гео-калькулятор'!$D$7:$D$13,MATCH($C414,'Гео-калькулятор'!$B$7:$B$13,0)),0))</f>
        <v/>
      </c>
      <c r="U414" s="40" t="str">
        <f aca="false">IF($E414="","",T414-E414)</f>
        <v/>
      </c>
      <c r="V414" s="41" t="str">
        <f aca="false">IF($E414="","",IFERROR(U414/E414,""))</f>
        <v/>
      </c>
      <c r="W414" s="10" t="str">
        <f aca="false">IF($E414="","",IF($I414&lt;&gt;"","факт","прогноз"))</f>
        <v/>
      </c>
      <c r="X414" s="1"/>
      <c r="Y414" s="1"/>
      <c r="Z414" s="1"/>
      <c r="AA414" s="1"/>
      <c r="AB414" s="1"/>
      <c r="AC414" s="1"/>
      <c r="AD414" s="1"/>
    </row>
    <row r="415" customFormat="false" ht="18" hidden="false" customHeight="true" outlineLevel="0" collapsed="false">
      <c r="A415" s="1"/>
      <c r="B415" s="35"/>
      <c r="C415" s="8"/>
      <c r="D415" s="26"/>
      <c r="E415" s="27"/>
      <c r="F415" s="36"/>
      <c r="G415" s="36"/>
      <c r="H415" s="36"/>
      <c r="I415" s="36"/>
      <c r="J415" s="37" t="str">
        <f aca="false">IF($E415="","",IFERROR(G415/F415,""))</f>
        <v/>
      </c>
      <c r="K415" s="30" t="str">
        <f aca="false">IF($E415="","",IFERROR(E415/G415,""))</f>
        <v/>
      </c>
      <c r="L415" s="30" t="str">
        <f aca="false">IF($E415="","",IFERROR(E415/F415*1000,""))</f>
        <v/>
      </c>
      <c r="M415" s="37" t="str">
        <f aca="false">IF($E415="","",IFERROR(H415/G415,""))</f>
        <v/>
      </c>
      <c r="N415" s="30" t="str">
        <f aca="false">IF($E415="","",IFERROR(E415/H415,"—"))</f>
        <v/>
      </c>
      <c r="O415" s="30" t="str">
        <f aca="false">IF($E415="","",IFERROR(INDEX('Гео-калькулятор'!$K$7:$K$13,MATCH($C415,'Гео-калькулятор'!$B$7:$B$13,0)),""))</f>
        <v/>
      </c>
      <c r="P415" s="38" t="str">
        <f aca="false">IF($E415="","",IFERROR(N415/O415,""))</f>
        <v/>
      </c>
      <c r="Q415" s="39" t="str">
        <f aca="false">IF($E415="","",IF($I415&lt;&gt;"",$I415,N($H415)*IFERROR(INDEX('Гео-калькулятор'!$E$7:$E$13,MATCH($C415,'Гео-калькулятор'!$B$7:$B$13,0)),0)))</f>
        <v/>
      </c>
      <c r="R415" s="38" t="str">
        <f aca="false">IF($E415="","",IFERROR(Q415/H415,""))</f>
        <v/>
      </c>
      <c r="S415" s="30" t="str">
        <f aca="false">IF($E415="","",IFERROR(E415/Q415,"—"))</f>
        <v/>
      </c>
      <c r="T415" s="30" t="str">
        <f aca="false">IF($E415="","",Q415*IFERROR(INDEX('Гео-калькулятор'!$D$7:$D$13,MATCH($C415,'Гео-калькулятор'!$B$7:$B$13,0)),0))</f>
        <v/>
      </c>
      <c r="U415" s="40" t="str">
        <f aca="false">IF($E415="","",T415-E415)</f>
        <v/>
      </c>
      <c r="V415" s="41" t="str">
        <f aca="false">IF($E415="","",IFERROR(U415/E415,""))</f>
        <v/>
      </c>
      <c r="W415" s="10" t="str">
        <f aca="false">IF($E415="","",IF($I415&lt;&gt;"","факт","прогноз"))</f>
        <v/>
      </c>
      <c r="X415" s="1"/>
      <c r="Y415" s="1"/>
      <c r="Z415" s="1"/>
      <c r="AA415" s="1"/>
      <c r="AB415" s="1"/>
      <c r="AC415" s="1"/>
      <c r="AD415" s="1"/>
    </row>
    <row r="416" customFormat="false" ht="18" hidden="false" customHeight="true" outlineLevel="0" collapsed="false">
      <c r="A416" s="1"/>
      <c r="B416" s="35"/>
      <c r="C416" s="8"/>
      <c r="D416" s="26"/>
      <c r="E416" s="27"/>
      <c r="F416" s="36"/>
      <c r="G416" s="36"/>
      <c r="H416" s="36"/>
      <c r="I416" s="36"/>
      <c r="J416" s="37" t="str">
        <f aca="false">IF($E416="","",IFERROR(G416/F416,""))</f>
        <v/>
      </c>
      <c r="K416" s="30" t="str">
        <f aca="false">IF($E416="","",IFERROR(E416/G416,""))</f>
        <v/>
      </c>
      <c r="L416" s="30" t="str">
        <f aca="false">IF($E416="","",IFERROR(E416/F416*1000,""))</f>
        <v/>
      </c>
      <c r="M416" s="37" t="str">
        <f aca="false">IF($E416="","",IFERROR(H416/G416,""))</f>
        <v/>
      </c>
      <c r="N416" s="30" t="str">
        <f aca="false">IF($E416="","",IFERROR(E416/H416,"—"))</f>
        <v/>
      </c>
      <c r="O416" s="30" t="str">
        <f aca="false">IF($E416="","",IFERROR(INDEX('Гео-калькулятор'!$K$7:$K$13,MATCH($C416,'Гео-калькулятор'!$B$7:$B$13,0)),""))</f>
        <v/>
      </c>
      <c r="P416" s="38" t="str">
        <f aca="false">IF($E416="","",IFERROR(N416/O416,""))</f>
        <v/>
      </c>
      <c r="Q416" s="39" t="str">
        <f aca="false">IF($E416="","",IF($I416&lt;&gt;"",$I416,N($H416)*IFERROR(INDEX('Гео-калькулятор'!$E$7:$E$13,MATCH($C416,'Гео-калькулятор'!$B$7:$B$13,0)),0)))</f>
        <v/>
      </c>
      <c r="R416" s="38" t="str">
        <f aca="false">IF($E416="","",IFERROR(Q416/H416,""))</f>
        <v/>
      </c>
      <c r="S416" s="30" t="str">
        <f aca="false">IF($E416="","",IFERROR(E416/Q416,"—"))</f>
        <v/>
      </c>
      <c r="T416" s="30" t="str">
        <f aca="false">IF($E416="","",Q416*IFERROR(INDEX('Гео-калькулятор'!$D$7:$D$13,MATCH($C416,'Гео-калькулятор'!$B$7:$B$13,0)),0))</f>
        <v/>
      </c>
      <c r="U416" s="40" t="str">
        <f aca="false">IF($E416="","",T416-E416)</f>
        <v/>
      </c>
      <c r="V416" s="41" t="str">
        <f aca="false">IF($E416="","",IFERROR(U416/E416,""))</f>
        <v/>
      </c>
      <c r="W416" s="10" t="str">
        <f aca="false">IF($E416="","",IF($I416&lt;&gt;"","факт","прогноз"))</f>
        <v/>
      </c>
      <c r="X416" s="1"/>
      <c r="Y416" s="1"/>
      <c r="Z416" s="1"/>
      <c r="AA416" s="1"/>
      <c r="AB416" s="1"/>
      <c r="AC416" s="1"/>
      <c r="AD416" s="1"/>
    </row>
    <row r="417" customFormat="false" ht="18" hidden="false" customHeight="true" outlineLevel="0" collapsed="false">
      <c r="A417" s="1"/>
      <c r="B417" s="35"/>
      <c r="C417" s="8"/>
      <c r="D417" s="26"/>
      <c r="E417" s="27"/>
      <c r="F417" s="36"/>
      <c r="G417" s="36"/>
      <c r="H417" s="36"/>
      <c r="I417" s="36"/>
      <c r="J417" s="37" t="str">
        <f aca="false">IF($E417="","",IFERROR(G417/F417,""))</f>
        <v/>
      </c>
      <c r="K417" s="30" t="str">
        <f aca="false">IF($E417="","",IFERROR(E417/G417,""))</f>
        <v/>
      </c>
      <c r="L417" s="30" t="str">
        <f aca="false">IF($E417="","",IFERROR(E417/F417*1000,""))</f>
        <v/>
      </c>
      <c r="M417" s="37" t="str">
        <f aca="false">IF($E417="","",IFERROR(H417/G417,""))</f>
        <v/>
      </c>
      <c r="N417" s="30" t="str">
        <f aca="false">IF($E417="","",IFERROR(E417/H417,"—"))</f>
        <v/>
      </c>
      <c r="O417" s="30" t="str">
        <f aca="false">IF($E417="","",IFERROR(INDEX('Гео-калькулятор'!$K$7:$K$13,MATCH($C417,'Гео-калькулятор'!$B$7:$B$13,0)),""))</f>
        <v/>
      </c>
      <c r="P417" s="38" t="str">
        <f aca="false">IF($E417="","",IFERROR(N417/O417,""))</f>
        <v/>
      </c>
      <c r="Q417" s="39" t="str">
        <f aca="false">IF($E417="","",IF($I417&lt;&gt;"",$I417,N($H417)*IFERROR(INDEX('Гео-калькулятор'!$E$7:$E$13,MATCH($C417,'Гео-калькулятор'!$B$7:$B$13,0)),0)))</f>
        <v/>
      </c>
      <c r="R417" s="38" t="str">
        <f aca="false">IF($E417="","",IFERROR(Q417/H417,""))</f>
        <v/>
      </c>
      <c r="S417" s="30" t="str">
        <f aca="false">IF($E417="","",IFERROR(E417/Q417,"—"))</f>
        <v/>
      </c>
      <c r="T417" s="30" t="str">
        <f aca="false">IF($E417="","",Q417*IFERROR(INDEX('Гео-калькулятор'!$D$7:$D$13,MATCH($C417,'Гео-калькулятор'!$B$7:$B$13,0)),0))</f>
        <v/>
      </c>
      <c r="U417" s="40" t="str">
        <f aca="false">IF($E417="","",T417-E417)</f>
        <v/>
      </c>
      <c r="V417" s="41" t="str">
        <f aca="false">IF($E417="","",IFERROR(U417/E417,""))</f>
        <v/>
      </c>
      <c r="W417" s="10" t="str">
        <f aca="false">IF($E417="","",IF($I417&lt;&gt;"","факт","прогноз"))</f>
        <v/>
      </c>
      <c r="X417" s="1"/>
      <c r="Y417" s="1"/>
      <c r="Z417" s="1"/>
      <c r="AA417" s="1"/>
      <c r="AB417" s="1"/>
      <c r="AC417" s="1"/>
      <c r="AD417" s="1"/>
    </row>
    <row r="418" customFormat="false" ht="18" hidden="false" customHeight="true" outlineLevel="0" collapsed="false">
      <c r="A418" s="1"/>
      <c r="B418" s="35"/>
      <c r="C418" s="8"/>
      <c r="D418" s="26"/>
      <c r="E418" s="27"/>
      <c r="F418" s="36"/>
      <c r="G418" s="36"/>
      <c r="H418" s="36"/>
      <c r="I418" s="36"/>
      <c r="J418" s="37" t="str">
        <f aca="false">IF($E418="","",IFERROR(G418/F418,""))</f>
        <v/>
      </c>
      <c r="K418" s="30" t="str">
        <f aca="false">IF($E418="","",IFERROR(E418/G418,""))</f>
        <v/>
      </c>
      <c r="L418" s="30" t="str">
        <f aca="false">IF($E418="","",IFERROR(E418/F418*1000,""))</f>
        <v/>
      </c>
      <c r="M418" s="37" t="str">
        <f aca="false">IF($E418="","",IFERROR(H418/G418,""))</f>
        <v/>
      </c>
      <c r="N418" s="30" t="str">
        <f aca="false">IF($E418="","",IFERROR(E418/H418,"—"))</f>
        <v/>
      </c>
      <c r="O418" s="30" t="str">
        <f aca="false">IF($E418="","",IFERROR(INDEX('Гео-калькулятор'!$K$7:$K$13,MATCH($C418,'Гео-калькулятор'!$B$7:$B$13,0)),""))</f>
        <v/>
      </c>
      <c r="P418" s="38" t="str">
        <f aca="false">IF($E418="","",IFERROR(N418/O418,""))</f>
        <v/>
      </c>
      <c r="Q418" s="39" t="str">
        <f aca="false">IF($E418="","",IF($I418&lt;&gt;"",$I418,N($H418)*IFERROR(INDEX('Гео-калькулятор'!$E$7:$E$13,MATCH($C418,'Гео-калькулятор'!$B$7:$B$13,0)),0)))</f>
        <v/>
      </c>
      <c r="R418" s="38" t="str">
        <f aca="false">IF($E418="","",IFERROR(Q418/H418,""))</f>
        <v/>
      </c>
      <c r="S418" s="30" t="str">
        <f aca="false">IF($E418="","",IFERROR(E418/Q418,"—"))</f>
        <v/>
      </c>
      <c r="T418" s="30" t="str">
        <f aca="false">IF($E418="","",Q418*IFERROR(INDEX('Гео-калькулятор'!$D$7:$D$13,MATCH($C418,'Гео-калькулятор'!$B$7:$B$13,0)),0))</f>
        <v/>
      </c>
      <c r="U418" s="40" t="str">
        <f aca="false">IF($E418="","",T418-E418)</f>
        <v/>
      </c>
      <c r="V418" s="41" t="str">
        <f aca="false">IF($E418="","",IFERROR(U418/E418,""))</f>
        <v/>
      </c>
      <c r="W418" s="10" t="str">
        <f aca="false">IF($E418="","",IF($I418&lt;&gt;"","факт","прогноз"))</f>
        <v/>
      </c>
      <c r="X418" s="1"/>
      <c r="Y418" s="1"/>
      <c r="Z418" s="1"/>
      <c r="AA418" s="1"/>
      <c r="AB418" s="1"/>
      <c r="AC418" s="1"/>
      <c r="AD418" s="1"/>
    </row>
    <row r="419" customFormat="false" ht="18" hidden="false" customHeight="true" outlineLevel="0" collapsed="false">
      <c r="A419" s="1"/>
      <c r="B419" s="35"/>
      <c r="C419" s="8"/>
      <c r="D419" s="26"/>
      <c r="E419" s="27"/>
      <c r="F419" s="36"/>
      <c r="G419" s="36"/>
      <c r="H419" s="36"/>
      <c r="I419" s="36"/>
      <c r="J419" s="37" t="str">
        <f aca="false">IF($E419="","",IFERROR(G419/F419,""))</f>
        <v/>
      </c>
      <c r="K419" s="30" t="str">
        <f aca="false">IF($E419="","",IFERROR(E419/G419,""))</f>
        <v/>
      </c>
      <c r="L419" s="30" t="str">
        <f aca="false">IF($E419="","",IFERROR(E419/F419*1000,""))</f>
        <v/>
      </c>
      <c r="M419" s="37" t="str">
        <f aca="false">IF($E419="","",IFERROR(H419/G419,""))</f>
        <v/>
      </c>
      <c r="N419" s="30" t="str">
        <f aca="false">IF($E419="","",IFERROR(E419/H419,"—"))</f>
        <v/>
      </c>
      <c r="O419" s="30" t="str">
        <f aca="false">IF($E419="","",IFERROR(INDEX('Гео-калькулятор'!$K$7:$K$13,MATCH($C419,'Гео-калькулятор'!$B$7:$B$13,0)),""))</f>
        <v/>
      </c>
      <c r="P419" s="38" t="str">
        <f aca="false">IF($E419="","",IFERROR(N419/O419,""))</f>
        <v/>
      </c>
      <c r="Q419" s="39" t="str">
        <f aca="false">IF($E419="","",IF($I419&lt;&gt;"",$I419,N($H419)*IFERROR(INDEX('Гео-калькулятор'!$E$7:$E$13,MATCH($C419,'Гео-калькулятор'!$B$7:$B$13,0)),0)))</f>
        <v/>
      </c>
      <c r="R419" s="38" t="str">
        <f aca="false">IF($E419="","",IFERROR(Q419/H419,""))</f>
        <v/>
      </c>
      <c r="S419" s="30" t="str">
        <f aca="false">IF($E419="","",IFERROR(E419/Q419,"—"))</f>
        <v/>
      </c>
      <c r="T419" s="30" t="str">
        <f aca="false">IF($E419="","",Q419*IFERROR(INDEX('Гео-калькулятор'!$D$7:$D$13,MATCH($C419,'Гео-калькулятор'!$B$7:$B$13,0)),0))</f>
        <v/>
      </c>
      <c r="U419" s="40" t="str">
        <f aca="false">IF($E419="","",T419-E419)</f>
        <v/>
      </c>
      <c r="V419" s="41" t="str">
        <f aca="false">IF($E419="","",IFERROR(U419/E419,""))</f>
        <v/>
      </c>
      <c r="W419" s="10" t="str">
        <f aca="false">IF($E419="","",IF($I419&lt;&gt;"","факт","прогноз"))</f>
        <v/>
      </c>
      <c r="X419" s="1"/>
      <c r="Y419" s="1"/>
      <c r="Z419" s="1"/>
      <c r="AA419" s="1"/>
      <c r="AB419" s="1"/>
      <c r="AC419" s="1"/>
      <c r="AD419" s="1"/>
    </row>
    <row r="420" customFormat="false" ht="18" hidden="false" customHeight="true" outlineLevel="0" collapsed="false">
      <c r="A420" s="1"/>
      <c r="B420" s="35"/>
      <c r="C420" s="8"/>
      <c r="D420" s="26"/>
      <c r="E420" s="27"/>
      <c r="F420" s="36"/>
      <c r="G420" s="36"/>
      <c r="H420" s="36"/>
      <c r="I420" s="36"/>
      <c r="J420" s="37" t="str">
        <f aca="false">IF($E420="","",IFERROR(G420/F420,""))</f>
        <v/>
      </c>
      <c r="K420" s="30" t="str">
        <f aca="false">IF($E420="","",IFERROR(E420/G420,""))</f>
        <v/>
      </c>
      <c r="L420" s="30" t="str">
        <f aca="false">IF($E420="","",IFERROR(E420/F420*1000,""))</f>
        <v/>
      </c>
      <c r="M420" s="37" t="str">
        <f aca="false">IF($E420="","",IFERROR(H420/G420,""))</f>
        <v/>
      </c>
      <c r="N420" s="30" t="str">
        <f aca="false">IF($E420="","",IFERROR(E420/H420,"—"))</f>
        <v/>
      </c>
      <c r="O420" s="30" t="str">
        <f aca="false">IF($E420="","",IFERROR(INDEX('Гео-калькулятор'!$K$7:$K$13,MATCH($C420,'Гео-калькулятор'!$B$7:$B$13,0)),""))</f>
        <v/>
      </c>
      <c r="P420" s="38" t="str">
        <f aca="false">IF($E420="","",IFERROR(N420/O420,""))</f>
        <v/>
      </c>
      <c r="Q420" s="39" t="str">
        <f aca="false">IF($E420="","",IF($I420&lt;&gt;"",$I420,N($H420)*IFERROR(INDEX('Гео-калькулятор'!$E$7:$E$13,MATCH($C420,'Гео-калькулятор'!$B$7:$B$13,0)),0)))</f>
        <v/>
      </c>
      <c r="R420" s="38" t="str">
        <f aca="false">IF($E420="","",IFERROR(Q420/H420,""))</f>
        <v/>
      </c>
      <c r="S420" s="30" t="str">
        <f aca="false">IF($E420="","",IFERROR(E420/Q420,"—"))</f>
        <v/>
      </c>
      <c r="T420" s="30" t="str">
        <f aca="false">IF($E420="","",Q420*IFERROR(INDEX('Гео-калькулятор'!$D$7:$D$13,MATCH($C420,'Гео-калькулятор'!$B$7:$B$13,0)),0))</f>
        <v/>
      </c>
      <c r="U420" s="40" t="str">
        <f aca="false">IF($E420="","",T420-E420)</f>
        <v/>
      </c>
      <c r="V420" s="41" t="str">
        <f aca="false">IF($E420="","",IFERROR(U420/E420,""))</f>
        <v/>
      </c>
      <c r="W420" s="10" t="str">
        <f aca="false">IF($E420="","",IF($I420&lt;&gt;"","факт","прогноз"))</f>
        <v/>
      </c>
      <c r="X420" s="1"/>
      <c r="Y420" s="1"/>
      <c r="Z420" s="1"/>
      <c r="AA420" s="1"/>
      <c r="AB420" s="1"/>
      <c r="AC420" s="1"/>
      <c r="AD420" s="1"/>
    </row>
    <row r="421" customFormat="false" ht="18" hidden="false" customHeight="true" outlineLevel="0" collapsed="false">
      <c r="A421" s="1"/>
      <c r="B421" s="35"/>
      <c r="C421" s="8"/>
      <c r="D421" s="26"/>
      <c r="E421" s="27"/>
      <c r="F421" s="36"/>
      <c r="G421" s="36"/>
      <c r="H421" s="36"/>
      <c r="I421" s="36"/>
      <c r="J421" s="37" t="str">
        <f aca="false">IF($E421="","",IFERROR(G421/F421,""))</f>
        <v/>
      </c>
      <c r="K421" s="30" t="str">
        <f aca="false">IF($E421="","",IFERROR(E421/G421,""))</f>
        <v/>
      </c>
      <c r="L421" s="30" t="str">
        <f aca="false">IF($E421="","",IFERROR(E421/F421*1000,""))</f>
        <v/>
      </c>
      <c r="M421" s="37" t="str">
        <f aca="false">IF($E421="","",IFERROR(H421/G421,""))</f>
        <v/>
      </c>
      <c r="N421" s="30" t="str">
        <f aca="false">IF($E421="","",IFERROR(E421/H421,"—"))</f>
        <v/>
      </c>
      <c r="O421" s="30" t="str">
        <f aca="false">IF($E421="","",IFERROR(INDEX('Гео-калькулятор'!$K$7:$K$13,MATCH($C421,'Гео-калькулятор'!$B$7:$B$13,0)),""))</f>
        <v/>
      </c>
      <c r="P421" s="38" t="str">
        <f aca="false">IF($E421="","",IFERROR(N421/O421,""))</f>
        <v/>
      </c>
      <c r="Q421" s="39" t="str">
        <f aca="false">IF($E421="","",IF($I421&lt;&gt;"",$I421,N($H421)*IFERROR(INDEX('Гео-калькулятор'!$E$7:$E$13,MATCH($C421,'Гео-калькулятор'!$B$7:$B$13,0)),0)))</f>
        <v/>
      </c>
      <c r="R421" s="38" t="str">
        <f aca="false">IF($E421="","",IFERROR(Q421/H421,""))</f>
        <v/>
      </c>
      <c r="S421" s="30" t="str">
        <f aca="false">IF($E421="","",IFERROR(E421/Q421,"—"))</f>
        <v/>
      </c>
      <c r="T421" s="30" t="str">
        <f aca="false">IF($E421="","",Q421*IFERROR(INDEX('Гео-калькулятор'!$D$7:$D$13,MATCH($C421,'Гео-калькулятор'!$B$7:$B$13,0)),0))</f>
        <v/>
      </c>
      <c r="U421" s="40" t="str">
        <f aca="false">IF($E421="","",T421-E421)</f>
        <v/>
      </c>
      <c r="V421" s="41" t="str">
        <f aca="false">IF($E421="","",IFERROR(U421/E421,""))</f>
        <v/>
      </c>
      <c r="W421" s="10" t="str">
        <f aca="false">IF($E421="","",IF($I421&lt;&gt;"","факт","прогноз"))</f>
        <v/>
      </c>
      <c r="X421" s="1"/>
      <c r="Y421" s="1"/>
      <c r="Z421" s="1"/>
      <c r="AA421" s="1"/>
      <c r="AB421" s="1"/>
      <c r="AC421" s="1"/>
      <c r="AD421" s="1"/>
    </row>
    <row r="422" customFormat="false" ht="18" hidden="false" customHeight="true" outlineLevel="0" collapsed="false">
      <c r="A422" s="1"/>
      <c r="B422" s="35"/>
      <c r="C422" s="8"/>
      <c r="D422" s="26"/>
      <c r="E422" s="27"/>
      <c r="F422" s="36"/>
      <c r="G422" s="36"/>
      <c r="H422" s="36"/>
      <c r="I422" s="36"/>
      <c r="J422" s="37" t="str">
        <f aca="false">IF($E422="","",IFERROR(G422/F422,""))</f>
        <v/>
      </c>
      <c r="K422" s="30" t="str">
        <f aca="false">IF($E422="","",IFERROR(E422/G422,""))</f>
        <v/>
      </c>
      <c r="L422" s="30" t="str">
        <f aca="false">IF($E422="","",IFERROR(E422/F422*1000,""))</f>
        <v/>
      </c>
      <c r="M422" s="37" t="str">
        <f aca="false">IF($E422="","",IFERROR(H422/G422,""))</f>
        <v/>
      </c>
      <c r="N422" s="30" t="str">
        <f aca="false">IF($E422="","",IFERROR(E422/H422,"—"))</f>
        <v/>
      </c>
      <c r="O422" s="30" t="str">
        <f aca="false">IF($E422="","",IFERROR(INDEX('Гео-калькулятор'!$K$7:$K$13,MATCH($C422,'Гео-калькулятор'!$B$7:$B$13,0)),""))</f>
        <v/>
      </c>
      <c r="P422" s="38" t="str">
        <f aca="false">IF($E422="","",IFERROR(N422/O422,""))</f>
        <v/>
      </c>
      <c r="Q422" s="39" t="str">
        <f aca="false">IF($E422="","",IF($I422&lt;&gt;"",$I422,N($H422)*IFERROR(INDEX('Гео-калькулятор'!$E$7:$E$13,MATCH($C422,'Гео-калькулятор'!$B$7:$B$13,0)),0)))</f>
        <v/>
      </c>
      <c r="R422" s="38" t="str">
        <f aca="false">IF($E422="","",IFERROR(Q422/H422,""))</f>
        <v/>
      </c>
      <c r="S422" s="30" t="str">
        <f aca="false">IF($E422="","",IFERROR(E422/Q422,"—"))</f>
        <v/>
      </c>
      <c r="T422" s="30" t="str">
        <f aca="false">IF($E422="","",Q422*IFERROR(INDEX('Гео-калькулятор'!$D$7:$D$13,MATCH($C422,'Гео-калькулятор'!$B$7:$B$13,0)),0))</f>
        <v/>
      </c>
      <c r="U422" s="40" t="str">
        <f aca="false">IF($E422="","",T422-E422)</f>
        <v/>
      </c>
      <c r="V422" s="41" t="str">
        <f aca="false">IF($E422="","",IFERROR(U422/E422,""))</f>
        <v/>
      </c>
      <c r="W422" s="10" t="str">
        <f aca="false">IF($E422="","",IF($I422&lt;&gt;"","факт","прогноз"))</f>
        <v/>
      </c>
      <c r="X422" s="1"/>
      <c r="Y422" s="1"/>
      <c r="Z422" s="1"/>
      <c r="AA422" s="1"/>
      <c r="AB422" s="1"/>
      <c r="AC422" s="1"/>
      <c r="AD422" s="1"/>
    </row>
    <row r="423" customFormat="false" ht="18" hidden="false" customHeight="true" outlineLevel="0" collapsed="false">
      <c r="A423" s="1"/>
      <c r="B423" s="35"/>
      <c r="C423" s="8"/>
      <c r="D423" s="26"/>
      <c r="E423" s="27"/>
      <c r="F423" s="36"/>
      <c r="G423" s="36"/>
      <c r="H423" s="36"/>
      <c r="I423" s="36"/>
      <c r="J423" s="37" t="str">
        <f aca="false">IF($E423="","",IFERROR(G423/F423,""))</f>
        <v/>
      </c>
      <c r="K423" s="30" t="str">
        <f aca="false">IF($E423="","",IFERROR(E423/G423,""))</f>
        <v/>
      </c>
      <c r="L423" s="30" t="str">
        <f aca="false">IF($E423="","",IFERROR(E423/F423*1000,""))</f>
        <v/>
      </c>
      <c r="M423" s="37" t="str">
        <f aca="false">IF($E423="","",IFERROR(H423/G423,""))</f>
        <v/>
      </c>
      <c r="N423" s="30" t="str">
        <f aca="false">IF($E423="","",IFERROR(E423/H423,"—"))</f>
        <v/>
      </c>
      <c r="O423" s="30" t="str">
        <f aca="false">IF($E423="","",IFERROR(INDEX('Гео-калькулятор'!$K$7:$K$13,MATCH($C423,'Гео-калькулятор'!$B$7:$B$13,0)),""))</f>
        <v/>
      </c>
      <c r="P423" s="38" t="str">
        <f aca="false">IF($E423="","",IFERROR(N423/O423,""))</f>
        <v/>
      </c>
      <c r="Q423" s="39" t="str">
        <f aca="false">IF($E423="","",IF($I423&lt;&gt;"",$I423,N($H423)*IFERROR(INDEX('Гео-калькулятор'!$E$7:$E$13,MATCH($C423,'Гео-калькулятор'!$B$7:$B$13,0)),0)))</f>
        <v/>
      </c>
      <c r="R423" s="38" t="str">
        <f aca="false">IF($E423="","",IFERROR(Q423/H423,""))</f>
        <v/>
      </c>
      <c r="S423" s="30" t="str">
        <f aca="false">IF($E423="","",IFERROR(E423/Q423,"—"))</f>
        <v/>
      </c>
      <c r="T423" s="30" t="str">
        <f aca="false">IF($E423="","",Q423*IFERROR(INDEX('Гео-калькулятор'!$D$7:$D$13,MATCH($C423,'Гео-калькулятор'!$B$7:$B$13,0)),0))</f>
        <v/>
      </c>
      <c r="U423" s="40" t="str">
        <f aca="false">IF($E423="","",T423-E423)</f>
        <v/>
      </c>
      <c r="V423" s="41" t="str">
        <f aca="false">IF($E423="","",IFERROR(U423/E423,""))</f>
        <v/>
      </c>
      <c r="W423" s="10" t="str">
        <f aca="false">IF($E423="","",IF($I423&lt;&gt;"","факт","прогноз"))</f>
        <v/>
      </c>
      <c r="X423" s="1"/>
      <c r="Y423" s="1"/>
      <c r="Z423" s="1"/>
      <c r="AA423" s="1"/>
      <c r="AB423" s="1"/>
      <c r="AC423" s="1"/>
      <c r="AD423" s="1"/>
    </row>
    <row r="424" customFormat="false" ht="18" hidden="false" customHeight="true" outlineLevel="0" collapsed="false">
      <c r="A424" s="1"/>
      <c r="B424" s="35"/>
      <c r="C424" s="8"/>
      <c r="D424" s="26"/>
      <c r="E424" s="27"/>
      <c r="F424" s="36"/>
      <c r="G424" s="36"/>
      <c r="H424" s="36"/>
      <c r="I424" s="36"/>
      <c r="J424" s="37" t="str">
        <f aca="false">IF($E424="","",IFERROR(G424/F424,""))</f>
        <v/>
      </c>
      <c r="K424" s="30" t="str">
        <f aca="false">IF($E424="","",IFERROR(E424/G424,""))</f>
        <v/>
      </c>
      <c r="L424" s="30" t="str">
        <f aca="false">IF($E424="","",IFERROR(E424/F424*1000,""))</f>
        <v/>
      </c>
      <c r="M424" s="37" t="str">
        <f aca="false">IF($E424="","",IFERROR(H424/G424,""))</f>
        <v/>
      </c>
      <c r="N424" s="30" t="str">
        <f aca="false">IF($E424="","",IFERROR(E424/H424,"—"))</f>
        <v/>
      </c>
      <c r="O424" s="30" t="str">
        <f aca="false">IF($E424="","",IFERROR(INDEX('Гео-калькулятор'!$K$7:$K$13,MATCH($C424,'Гео-калькулятор'!$B$7:$B$13,0)),""))</f>
        <v/>
      </c>
      <c r="P424" s="38" t="str">
        <f aca="false">IF($E424="","",IFERROR(N424/O424,""))</f>
        <v/>
      </c>
      <c r="Q424" s="39" t="str">
        <f aca="false">IF($E424="","",IF($I424&lt;&gt;"",$I424,N($H424)*IFERROR(INDEX('Гео-калькулятор'!$E$7:$E$13,MATCH($C424,'Гео-калькулятор'!$B$7:$B$13,0)),0)))</f>
        <v/>
      </c>
      <c r="R424" s="38" t="str">
        <f aca="false">IF($E424="","",IFERROR(Q424/H424,""))</f>
        <v/>
      </c>
      <c r="S424" s="30" t="str">
        <f aca="false">IF($E424="","",IFERROR(E424/Q424,"—"))</f>
        <v/>
      </c>
      <c r="T424" s="30" t="str">
        <f aca="false">IF($E424="","",Q424*IFERROR(INDEX('Гео-калькулятор'!$D$7:$D$13,MATCH($C424,'Гео-калькулятор'!$B$7:$B$13,0)),0))</f>
        <v/>
      </c>
      <c r="U424" s="40" t="str">
        <f aca="false">IF($E424="","",T424-E424)</f>
        <v/>
      </c>
      <c r="V424" s="41" t="str">
        <f aca="false">IF($E424="","",IFERROR(U424/E424,""))</f>
        <v/>
      </c>
      <c r="W424" s="10" t="str">
        <f aca="false">IF($E424="","",IF($I424&lt;&gt;"","факт","прогноз"))</f>
        <v/>
      </c>
      <c r="X424" s="1"/>
      <c r="Y424" s="1"/>
      <c r="Z424" s="1"/>
      <c r="AA424" s="1"/>
      <c r="AB424" s="1"/>
      <c r="AC424" s="1"/>
      <c r="AD424" s="1"/>
    </row>
    <row r="425" customFormat="false" ht="18" hidden="false" customHeight="true" outlineLevel="0" collapsed="false">
      <c r="A425" s="1"/>
      <c r="B425" s="35"/>
      <c r="C425" s="8"/>
      <c r="D425" s="26"/>
      <c r="E425" s="27"/>
      <c r="F425" s="36"/>
      <c r="G425" s="36"/>
      <c r="H425" s="36"/>
      <c r="I425" s="36"/>
      <c r="J425" s="37" t="str">
        <f aca="false">IF($E425="","",IFERROR(G425/F425,""))</f>
        <v/>
      </c>
      <c r="K425" s="30" t="str">
        <f aca="false">IF($E425="","",IFERROR(E425/G425,""))</f>
        <v/>
      </c>
      <c r="L425" s="30" t="str">
        <f aca="false">IF($E425="","",IFERROR(E425/F425*1000,""))</f>
        <v/>
      </c>
      <c r="M425" s="37" t="str">
        <f aca="false">IF($E425="","",IFERROR(H425/G425,""))</f>
        <v/>
      </c>
      <c r="N425" s="30" t="str">
        <f aca="false">IF($E425="","",IFERROR(E425/H425,"—"))</f>
        <v/>
      </c>
      <c r="O425" s="30" t="str">
        <f aca="false">IF($E425="","",IFERROR(INDEX('Гео-калькулятор'!$K$7:$K$13,MATCH($C425,'Гео-калькулятор'!$B$7:$B$13,0)),""))</f>
        <v/>
      </c>
      <c r="P425" s="38" t="str">
        <f aca="false">IF($E425="","",IFERROR(N425/O425,""))</f>
        <v/>
      </c>
      <c r="Q425" s="39" t="str">
        <f aca="false">IF($E425="","",IF($I425&lt;&gt;"",$I425,N($H425)*IFERROR(INDEX('Гео-калькулятор'!$E$7:$E$13,MATCH($C425,'Гео-калькулятор'!$B$7:$B$13,0)),0)))</f>
        <v/>
      </c>
      <c r="R425" s="38" t="str">
        <f aca="false">IF($E425="","",IFERROR(Q425/H425,""))</f>
        <v/>
      </c>
      <c r="S425" s="30" t="str">
        <f aca="false">IF($E425="","",IFERROR(E425/Q425,"—"))</f>
        <v/>
      </c>
      <c r="T425" s="30" t="str">
        <f aca="false">IF($E425="","",Q425*IFERROR(INDEX('Гео-калькулятор'!$D$7:$D$13,MATCH($C425,'Гео-калькулятор'!$B$7:$B$13,0)),0))</f>
        <v/>
      </c>
      <c r="U425" s="40" t="str">
        <f aca="false">IF($E425="","",T425-E425)</f>
        <v/>
      </c>
      <c r="V425" s="41" t="str">
        <f aca="false">IF($E425="","",IFERROR(U425/E425,""))</f>
        <v/>
      </c>
      <c r="W425" s="10" t="str">
        <f aca="false">IF($E425="","",IF($I425&lt;&gt;"","факт","прогноз"))</f>
        <v/>
      </c>
      <c r="X425" s="1"/>
      <c r="Y425" s="1"/>
      <c r="Z425" s="1"/>
      <c r="AA425" s="1"/>
      <c r="AB425" s="1"/>
      <c r="AC425" s="1"/>
      <c r="AD425" s="1"/>
    </row>
    <row r="426" customFormat="false" ht="18" hidden="false" customHeight="true" outlineLevel="0" collapsed="false">
      <c r="A426" s="1"/>
      <c r="B426" s="35"/>
      <c r="C426" s="8"/>
      <c r="D426" s="26"/>
      <c r="E426" s="27"/>
      <c r="F426" s="36"/>
      <c r="G426" s="36"/>
      <c r="H426" s="36"/>
      <c r="I426" s="36"/>
      <c r="J426" s="37" t="str">
        <f aca="false">IF($E426="","",IFERROR(G426/F426,""))</f>
        <v/>
      </c>
      <c r="K426" s="30" t="str">
        <f aca="false">IF($E426="","",IFERROR(E426/G426,""))</f>
        <v/>
      </c>
      <c r="L426" s="30" t="str">
        <f aca="false">IF($E426="","",IFERROR(E426/F426*1000,""))</f>
        <v/>
      </c>
      <c r="M426" s="37" t="str">
        <f aca="false">IF($E426="","",IFERROR(H426/G426,""))</f>
        <v/>
      </c>
      <c r="N426" s="30" t="str">
        <f aca="false">IF($E426="","",IFERROR(E426/H426,"—"))</f>
        <v/>
      </c>
      <c r="O426" s="30" t="str">
        <f aca="false">IF($E426="","",IFERROR(INDEX('Гео-калькулятор'!$K$7:$K$13,MATCH($C426,'Гео-калькулятор'!$B$7:$B$13,0)),""))</f>
        <v/>
      </c>
      <c r="P426" s="38" t="str">
        <f aca="false">IF($E426="","",IFERROR(N426/O426,""))</f>
        <v/>
      </c>
      <c r="Q426" s="39" t="str">
        <f aca="false">IF($E426="","",IF($I426&lt;&gt;"",$I426,N($H426)*IFERROR(INDEX('Гео-калькулятор'!$E$7:$E$13,MATCH($C426,'Гео-калькулятор'!$B$7:$B$13,0)),0)))</f>
        <v/>
      </c>
      <c r="R426" s="38" t="str">
        <f aca="false">IF($E426="","",IFERROR(Q426/H426,""))</f>
        <v/>
      </c>
      <c r="S426" s="30" t="str">
        <f aca="false">IF($E426="","",IFERROR(E426/Q426,"—"))</f>
        <v/>
      </c>
      <c r="T426" s="30" t="str">
        <f aca="false">IF($E426="","",Q426*IFERROR(INDEX('Гео-калькулятор'!$D$7:$D$13,MATCH($C426,'Гео-калькулятор'!$B$7:$B$13,0)),0))</f>
        <v/>
      </c>
      <c r="U426" s="40" t="str">
        <f aca="false">IF($E426="","",T426-E426)</f>
        <v/>
      </c>
      <c r="V426" s="41" t="str">
        <f aca="false">IF($E426="","",IFERROR(U426/E426,""))</f>
        <v/>
      </c>
      <c r="W426" s="10" t="str">
        <f aca="false">IF($E426="","",IF($I426&lt;&gt;"","факт","прогноз"))</f>
        <v/>
      </c>
      <c r="X426" s="1"/>
      <c r="Y426" s="1"/>
      <c r="Z426" s="1"/>
      <c r="AA426" s="1"/>
      <c r="AB426" s="1"/>
      <c r="AC426" s="1"/>
      <c r="AD426" s="1"/>
    </row>
    <row r="427" customFormat="false" ht="18" hidden="false" customHeight="true" outlineLevel="0" collapsed="false">
      <c r="A427" s="1"/>
      <c r="B427" s="35"/>
      <c r="C427" s="8"/>
      <c r="D427" s="26"/>
      <c r="E427" s="27"/>
      <c r="F427" s="36"/>
      <c r="G427" s="36"/>
      <c r="H427" s="36"/>
      <c r="I427" s="36"/>
      <c r="J427" s="37" t="str">
        <f aca="false">IF($E427="","",IFERROR(G427/F427,""))</f>
        <v/>
      </c>
      <c r="K427" s="30" t="str">
        <f aca="false">IF($E427="","",IFERROR(E427/G427,""))</f>
        <v/>
      </c>
      <c r="L427" s="30" t="str">
        <f aca="false">IF($E427="","",IFERROR(E427/F427*1000,""))</f>
        <v/>
      </c>
      <c r="M427" s="37" t="str">
        <f aca="false">IF($E427="","",IFERROR(H427/G427,""))</f>
        <v/>
      </c>
      <c r="N427" s="30" t="str">
        <f aca="false">IF($E427="","",IFERROR(E427/H427,"—"))</f>
        <v/>
      </c>
      <c r="O427" s="30" t="str">
        <f aca="false">IF($E427="","",IFERROR(INDEX('Гео-калькулятор'!$K$7:$K$13,MATCH($C427,'Гео-калькулятор'!$B$7:$B$13,0)),""))</f>
        <v/>
      </c>
      <c r="P427" s="38" t="str">
        <f aca="false">IF($E427="","",IFERROR(N427/O427,""))</f>
        <v/>
      </c>
      <c r="Q427" s="39" t="str">
        <f aca="false">IF($E427="","",IF($I427&lt;&gt;"",$I427,N($H427)*IFERROR(INDEX('Гео-калькулятор'!$E$7:$E$13,MATCH($C427,'Гео-калькулятор'!$B$7:$B$13,0)),0)))</f>
        <v/>
      </c>
      <c r="R427" s="38" t="str">
        <f aca="false">IF($E427="","",IFERROR(Q427/H427,""))</f>
        <v/>
      </c>
      <c r="S427" s="30" t="str">
        <f aca="false">IF($E427="","",IFERROR(E427/Q427,"—"))</f>
        <v/>
      </c>
      <c r="T427" s="30" t="str">
        <f aca="false">IF($E427="","",Q427*IFERROR(INDEX('Гео-калькулятор'!$D$7:$D$13,MATCH($C427,'Гео-калькулятор'!$B$7:$B$13,0)),0))</f>
        <v/>
      </c>
      <c r="U427" s="40" t="str">
        <f aca="false">IF($E427="","",T427-E427)</f>
        <v/>
      </c>
      <c r="V427" s="41" t="str">
        <f aca="false">IF($E427="","",IFERROR(U427/E427,""))</f>
        <v/>
      </c>
      <c r="W427" s="10" t="str">
        <f aca="false">IF($E427="","",IF($I427&lt;&gt;"","факт","прогноз"))</f>
        <v/>
      </c>
      <c r="X427" s="1"/>
      <c r="Y427" s="1"/>
      <c r="Z427" s="1"/>
      <c r="AA427" s="1"/>
      <c r="AB427" s="1"/>
      <c r="AC427" s="1"/>
      <c r="AD427" s="1"/>
    </row>
    <row r="428" customFormat="false" ht="18" hidden="false" customHeight="true" outlineLevel="0" collapsed="false">
      <c r="A428" s="1"/>
      <c r="B428" s="35"/>
      <c r="C428" s="8"/>
      <c r="D428" s="26"/>
      <c r="E428" s="27"/>
      <c r="F428" s="36"/>
      <c r="G428" s="36"/>
      <c r="H428" s="36"/>
      <c r="I428" s="36"/>
      <c r="J428" s="37" t="str">
        <f aca="false">IF($E428="","",IFERROR(G428/F428,""))</f>
        <v/>
      </c>
      <c r="K428" s="30" t="str">
        <f aca="false">IF($E428="","",IFERROR(E428/G428,""))</f>
        <v/>
      </c>
      <c r="L428" s="30" t="str">
        <f aca="false">IF($E428="","",IFERROR(E428/F428*1000,""))</f>
        <v/>
      </c>
      <c r="M428" s="37" t="str">
        <f aca="false">IF($E428="","",IFERROR(H428/G428,""))</f>
        <v/>
      </c>
      <c r="N428" s="30" t="str">
        <f aca="false">IF($E428="","",IFERROR(E428/H428,"—"))</f>
        <v/>
      </c>
      <c r="O428" s="30" t="str">
        <f aca="false">IF($E428="","",IFERROR(INDEX('Гео-калькулятор'!$K$7:$K$13,MATCH($C428,'Гео-калькулятор'!$B$7:$B$13,0)),""))</f>
        <v/>
      </c>
      <c r="P428" s="38" t="str">
        <f aca="false">IF($E428="","",IFERROR(N428/O428,""))</f>
        <v/>
      </c>
      <c r="Q428" s="39" t="str">
        <f aca="false">IF($E428="","",IF($I428&lt;&gt;"",$I428,N($H428)*IFERROR(INDEX('Гео-калькулятор'!$E$7:$E$13,MATCH($C428,'Гео-калькулятор'!$B$7:$B$13,0)),0)))</f>
        <v/>
      </c>
      <c r="R428" s="38" t="str">
        <f aca="false">IF($E428="","",IFERROR(Q428/H428,""))</f>
        <v/>
      </c>
      <c r="S428" s="30" t="str">
        <f aca="false">IF($E428="","",IFERROR(E428/Q428,"—"))</f>
        <v/>
      </c>
      <c r="T428" s="30" t="str">
        <f aca="false">IF($E428="","",Q428*IFERROR(INDEX('Гео-калькулятор'!$D$7:$D$13,MATCH($C428,'Гео-калькулятор'!$B$7:$B$13,0)),0))</f>
        <v/>
      </c>
      <c r="U428" s="40" t="str">
        <f aca="false">IF($E428="","",T428-E428)</f>
        <v/>
      </c>
      <c r="V428" s="41" t="str">
        <f aca="false">IF($E428="","",IFERROR(U428/E428,""))</f>
        <v/>
      </c>
      <c r="W428" s="10" t="str">
        <f aca="false">IF($E428="","",IF($I428&lt;&gt;"","факт","прогноз"))</f>
        <v/>
      </c>
      <c r="X428" s="1"/>
      <c r="Y428" s="1"/>
      <c r="Z428" s="1"/>
      <c r="AA428" s="1"/>
      <c r="AB428" s="1"/>
      <c r="AC428" s="1"/>
      <c r="AD428" s="1"/>
    </row>
    <row r="429" customFormat="false" ht="18" hidden="false" customHeight="true" outlineLevel="0" collapsed="false">
      <c r="A429" s="1"/>
      <c r="B429" s="35"/>
      <c r="C429" s="8"/>
      <c r="D429" s="26"/>
      <c r="E429" s="27"/>
      <c r="F429" s="36"/>
      <c r="G429" s="36"/>
      <c r="H429" s="36"/>
      <c r="I429" s="36"/>
      <c r="J429" s="37" t="str">
        <f aca="false">IF($E429="","",IFERROR(G429/F429,""))</f>
        <v/>
      </c>
      <c r="K429" s="30" t="str">
        <f aca="false">IF($E429="","",IFERROR(E429/G429,""))</f>
        <v/>
      </c>
      <c r="L429" s="30" t="str">
        <f aca="false">IF($E429="","",IFERROR(E429/F429*1000,""))</f>
        <v/>
      </c>
      <c r="M429" s="37" t="str">
        <f aca="false">IF($E429="","",IFERROR(H429/G429,""))</f>
        <v/>
      </c>
      <c r="N429" s="30" t="str">
        <f aca="false">IF($E429="","",IFERROR(E429/H429,"—"))</f>
        <v/>
      </c>
      <c r="O429" s="30" t="str">
        <f aca="false">IF($E429="","",IFERROR(INDEX('Гео-калькулятор'!$K$7:$K$13,MATCH($C429,'Гео-калькулятор'!$B$7:$B$13,0)),""))</f>
        <v/>
      </c>
      <c r="P429" s="38" t="str">
        <f aca="false">IF($E429="","",IFERROR(N429/O429,""))</f>
        <v/>
      </c>
      <c r="Q429" s="39" t="str">
        <f aca="false">IF($E429="","",IF($I429&lt;&gt;"",$I429,N($H429)*IFERROR(INDEX('Гео-калькулятор'!$E$7:$E$13,MATCH($C429,'Гео-калькулятор'!$B$7:$B$13,0)),0)))</f>
        <v/>
      </c>
      <c r="R429" s="38" t="str">
        <f aca="false">IF($E429="","",IFERROR(Q429/H429,""))</f>
        <v/>
      </c>
      <c r="S429" s="30" t="str">
        <f aca="false">IF($E429="","",IFERROR(E429/Q429,"—"))</f>
        <v/>
      </c>
      <c r="T429" s="30" t="str">
        <f aca="false">IF($E429="","",Q429*IFERROR(INDEX('Гео-калькулятор'!$D$7:$D$13,MATCH($C429,'Гео-калькулятор'!$B$7:$B$13,0)),0))</f>
        <v/>
      </c>
      <c r="U429" s="40" t="str">
        <f aca="false">IF($E429="","",T429-E429)</f>
        <v/>
      </c>
      <c r="V429" s="41" t="str">
        <f aca="false">IF($E429="","",IFERROR(U429/E429,""))</f>
        <v/>
      </c>
      <c r="W429" s="10" t="str">
        <f aca="false">IF($E429="","",IF($I429&lt;&gt;"","факт","прогноз"))</f>
        <v/>
      </c>
      <c r="X429" s="1"/>
      <c r="Y429" s="1"/>
      <c r="Z429" s="1"/>
      <c r="AA429" s="1"/>
      <c r="AB429" s="1"/>
      <c r="AC429" s="1"/>
      <c r="AD429" s="1"/>
    </row>
    <row r="430" customFormat="false" ht="18" hidden="false" customHeight="true" outlineLevel="0" collapsed="false">
      <c r="A430" s="1"/>
      <c r="B430" s="35"/>
      <c r="C430" s="8"/>
      <c r="D430" s="26"/>
      <c r="E430" s="27"/>
      <c r="F430" s="36"/>
      <c r="G430" s="36"/>
      <c r="H430" s="36"/>
      <c r="I430" s="36"/>
      <c r="J430" s="37" t="str">
        <f aca="false">IF($E430="","",IFERROR(G430/F430,""))</f>
        <v/>
      </c>
      <c r="K430" s="30" t="str">
        <f aca="false">IF($E430="","",IFERROR(E430/G430,""))</f>
        <v/>
      </c>
      <c r="L430" s="30" t="str">
        <f aca="false">IF($E430="","",IFERROR(E430/F430*1000,""))</f>
        <v/>
      </c>
      <c r="M430" s="37" t="str">
        <f aca="false">IF($E430="","",IFERROR(H430/G430,""))</f>
        <v/>
      </c>
      <c r="N430" s="30" t="str">
        <f aca="false">IF($E430="","",IFERROR(E430/H430,"—"))</f>
        <v/>
      </c>
      <c r="O430" s="30" t="str">
        <f aca="false">IF($E430="","",IFERROR(INDEX('Гео-калькулятор'!$K$7:$K$13,MATCH($C430,'Гео-калькулятор'!$B$7:$B$13,0)),""))</f>
        <v/>
      </c>
      <c r="P430" s="38" t="str">
        <f aca="false">IF($E430="","",IFERROR(N430/O430,""))</f>
        <v/>
      </c>
      <c r="Q430" s="39" t="str">
        <f aca="false">IF($E430="","",IF($I430&lt;&gt;"",$I430,N($H430)*IFERROR(INDEX('Гео-калькулятор'!$E$7:$E$13,MATCH($C430,'Гео-калькулятор'!$B$7:$B$13,0)),0)))</f>
        <v/>
      </c>
      <c r="R430" s="38" t="str">
        <f aca="false">IF($E430="","",IFERROR(Q430/H430,""))</f>
        <v/>
      </c>
      <c r="S430" s="30" t="str">
        <f aca="false">IF($E430="","",IFERROR(E430/Q430,"—"))</f>
        <v/>
      </c>
      <c r="T430" s="30" t="str">
        <f aca="false">IF($E430="","",Q430*IFERROR(INDEX('Гео-калькулятор'!$D$7:$D$13,MATCH($C430,'Гео-калькулятор'!$B$7:$B$13,0)),0))</f>
        <v/>
      </c>
      <c r="U430" s="40" t="str">
        <f aca="false">IF($E430="","",T430-E430)</f>
        <v/>
      </c>
      <c r="V430" s="41" t="str">
        <f aca="false">IF($E430="","",IFERROR(U430/E430,""))</f>
        <v/>
      </c>
      <c r="W430" s="10" t="str">
        <f aca="false">IF($E430="","",IF($I430&lt;&gt;"","факт","прогноз"))</f>
        <v/>
      </c>
      <c r="X430" s="1"/>
      <c r="Y430" s="1"/>
      <c r="Z430" s="1"/>
      <c r="AA430" s="1"/>
      <c r="AB430" s="1"/>
      <c r="AC430" s="1"/>
      <c r="AD430" s="1"/>
    </row>
    <row r="431" customFormat="false" ht="18" hidden="false" customHeight="true" outlineLevel="0" collapsed="false">
      <c r="A431" s="1"/>
      <c r="B431" s="35"/>
      <c r="C431" s="8"/>
      <c r="D431" s="26"/>
      <c r="E431" s="27"/>
      <c r="F431" s="36"/>
      <c r="G431" s="36"/>
      <c r="H431" s="36"/>
      <c r="I431" s="36"/>
      <c r="J431" s="37" t="str">
        <f aca="false">IF($E431="","",IFERROR(G431/F431,""))</f>
        <v/>
      </c>
      <c r="K431" s="30" t="str">
        <f aca="false">IF($E431="","",IFERROR(E431/G431,""))</f>
        <v/>
      </c>
      <c r="L431" s="30" t="str">
        <f aca="false">IF($E431="","",IFERROR(E431/F431*1000,""))</f>
        <v/>
      </c>
      <c r="M431" s="37" t="str">
        <f aca="false">IF($E431="","",IFERROR(H431/G431,""))</f>
        <v/>
      </c>
      <c r="N431" s="30" t="str">
        <f aca="false">IF($E431="","",IFERROR(E431/H431,"—"))</f>
        <v/>
      </c>
      <c r="O431" s="30" t="str">
        <f aca="false">IF($E431="","",IFERROR(INDEX('Гео-калькулятор'!$K$7:$K$13,MATCH($C431,'Гео-калькулятор'!$B$7:$B$13,0)),""))</f>
        <v/>
      </c>
      <c r="P431" s="38" t="str">
        <f aca="false">IF($E431="","",IFERROR(N431/O431,""))</f>
        <v/>
      </c>
      <c r="Q431" s="39" t="str">
        <f aca="false">IF($E431="","",IF($I431&lt;&gt;"",$I431,N($H431)*IFERROR(INDEX('Гео-калькулятор'!$E$7:$E$13,MATCH($C431,'Гео-калькулятор'!$B$7:$B$13,0)),0)))</f>
        <v/>
      </c>
      <c r="R431" s="38" t="str">
        <f aca="false">IF($E431="","",IFERROR(Q431/H431,""))</f>
        <v/>
      </c>
      <c r="S431" s="30" t="str">
        <f aca="false">IF($E431="","",IFERROR(E431/Q431,"—"))</f>
        <v/>
      </c>
      <c r="T431" s="30" t="str">
        <f aca="false">IF($E431="","",Q431*IFERROR(INDEX('Гео-калькулятор'!$D$7:$D$13,MATCH($C431,'Гео-калькулятор'!$B$7:$B$13,0)),0))</f>
        <v/>
      </c>
      <c r="U431" s="40" t="str">
        <f aca="false">IF($E431="","",T431-E431)</f>
        <v/>
      </c>
      <c r="V431" s="41" t="str">
        <f aca="false">IF($E431="","",IFERROR(U431/E431,""))</f>
        <v/>
      </c>
      <c r="W431" s="10" t="str">
        <f aca="false">IF($E431="","",IF($I431&lt;&gt;"","факт","прогноз"))</f>
        <v/>
      </c>
      <c r="X431" s="1"/>
      <c r="Y431" s="1"/>
      <c r="Z431" s="1"/>
      <c r="AA431" s="1"/>
      <c r="AB431" s="1"/>
      <c r="AC431" s="1"/>
      <c r="AD431" s="1"/>
    </row>
    <row r="432" customFormat="false" ht="18" hidden="false" customHeight="true" outlineLevel="0" collapsed="false">
      <c r="A432" s="1"/>
      <c r="B432" s="35"/>
      <c r="C432" s="8"/>
      <c r="D432" s="26"/>
      <c r="E432" s="27"/>
      <c r="F432" s="36"/>
      <c r="G432" s="36"/>
      <c r="H432" s="36"/>
      <c r="I432" s="36"/>
      <c r="J432" s="37" t="str">
        <f aca="false">IF($E432="","",IFERROR(G432/F432,""))</f>
        <v/>
      </c>
      <c r="K432" s="30" t="str">
        <f aca="false">IF($E432="","",IFERROR(E432/G432,""))</f>
        <v/>
      </c>
      <c r="L432" s="30" t="str">
        <f aca="false">IF($E432="","",IFERROR(E432/F432*1000,""))</f>
        <v/>
      </c>
      <c r="M432" s="37" t="str">
        <f aca="false">IF($E432="","",IFERROR(H432/G432,""))</f>
        <v/>
      </c>
      <c r="N432" s="30" t="str">
        <f aca="false">IF($E432="","",IFERROR(E432/H432,"—"))</f>
        <v/>
      </c>
      <c r="O432" s="30" t="str">
        <f aca="false">IF($E432="","",IFERROR(INDEX('Гео-калькулятор'!$K$7:$K$13,MATCH($C432,'Гео-калькулятор'!$B$7:$B$13,0)),""))</f>
        <v/>
      </c>
      <c r="P432" s="38" t="str">
        <f aca="false">IF($E432="","",IFERROR(N432/O432,""))</f>
        <v/>
      </c>
      <c r="Q432" s="39" t="str">
        <f aca="false">IF($E432="","",IF($I432&lt;&gt;"",$I432,N($H432)*IFERROR(INDEX('Гео-калькулятор'!$E$7:$E$13,MATCH($C432,'Гео-калькулятор'!$B$7:$B$13,0)),0)))</f>
        <v/>
      </c>
      <c r="R432" s="38" t="str">
        <f aca="false">IF($E432="","",IFERROR(Q432/H432,""))</f>
        <v/>
      </c>
      <c r="S432" s="30" t="str">
        <f aca="false">IF($E432="","",IFERROR(E432/Q432,"—"))</f>
        <v/>
      </c>
      <c r="T432" s="30" t="str">
        <f aca="false">IF($E432="","",Q432*IFERROR(INDEX('Гео-калькулятор'!$D$7:$D$13,MATCH($C432,'Гео-калькулятор'!$B$7:$B$13,0)),0))</f>
        <v/>
      </c>
      <c r="U432" s="40" t="str">
        <f aca="false">IF($E432="","",T432-E432)</f>
        <v/>
      </c>
      <c r="V432" s="41" t="str">
        <f aca="false">IF($E432="","",IFERROR(U432/E432,""))</f>
        <v/>
      </c>
      <c r="W432" s="10" t="str">
        <f aca="false">IF($E432="","",IF($I432&lt;&gt;"","факт","прогноз"))</f>
        <v/>
      </c>
      <c r="X432" s="1"/>
      <c r="Y432" s="1"/>
      <c r="Z432" s="1"/>
      <c r="AA432" s="1"/>
      <c r="AB432" s="1"/>
      <c r="AC432" s="1"/>
      <c r="AD432" s="1"/>
    </row>
    <row r="433" customFormat="false" ht="18" hidden="false" customHeight="true" outlineLevel="0" collapsed="false">
      <c r="A433" s="1"/>
      <c r="B433" s="35"/>
      <c r="C433" s="8"/>
      <c r="D433" s="26"/>
      <c r="E433" s="27"/>
      <c r="F433" s="36"/>
      <c r="G433" s="36"/>
      <c r="H433" s="36"/>
      <c r="I433" s="36"/>
      <c r="J433" s="37" t="str">
        <f aca="false">IF($E433="","",IFERROR(G433/F433,""))</f>
        <v/>
      </c>
      <c r="K433" s="30" t="str">
        <f aca="false">IF($E433="","",IFERROR(E433/G433,""))</f>
        <v/>
      </c>
      <c r="L433" s="30" t="str">
        <f aca="false">IF($E433="","",IFERROR(E433/F433*1000,""))</f>
        <v/>
      </c>
      <c r="M433" s="37" t="str">
        <f aca="false">IF($E433="","",IFERROR(H433/G433,""))</f>
        <v/>
      </c>
      <c r="N433" s="30" t="str">
        <f aca="false">IF($E433="","",IFERROR(E433/H433,"—"))</f>
        <v/>
      </c>
      <c r="O433" s="30" t="str">
        <f aca="false">IF($E433="","",IFERROR(INDEX('Гео-калькулятор'!$K$7:$K$13,MATCH($C433,'Гео-калькулятор'!$B$7:$B$13,0)),""))</f>
        <v/>
      </c>
      <c r="P433" s="38" t="str">
        <f aca="false">IF($E433="","",IFERROR(N433/O433,""))</f>
        <v/>
      </c>
      <c r="Q433" s="39" t="str">
        <f aca="false">IF($E433="","",IF($I433&lt;&gt;"",$I433,N($H433)*IFERROR(INDEX('Гео-калькулятор'!$E$7:$E$13,MATCH($C433,'Гео-калькулятор'!$B$7:$B$13,0)),0)))</f>
        <v/>
      </c>
      <c r="R433" s="38" t="str">
        <f aca="false">IF($E433="","",IFERROR(Q433/H433,""))</f>
        <v/>
      </c>
      <c r="S433" s="30" t="str">
        <f aca="false">IF($E433="","",IFERROR(E433/Q433,"—"))</f>
        <v/>
      </c>
      <c r="T433" s="30" t="str">
        <f aca="false">IF($E433="","",Q433*IFERROR(INDEX('Гео-калькулятор'!$D$7:$D$13,MATCH($C433,'Гео-калькулятор'!$B$7:$B$13,0)),0))</f>
        <v/>
      </c>
      <c r="U433" s="40" t="str">
        <f aca="false">IF($E433="","",T433-E433)</f>
        <v/>
      </c>
      <c r="V433" s="41" t="str">
        <f aca="false">IF($E433="","",IFERROR(U433/E433,""))</f>
        <v/>
      </c>
      <c r="W433" s="10" t="str">
        <f aca="false">IF($E433="","",IF($I433&lt;&gt;"","факт","прогноз"))</f>
        <v/>
      </c>
      <c r="X433" s="1"/>
      <c r="Y433" s="1"/>
      <c r="Z433" s="1"/>
      <c r="AA433" s="1"/>
      <c r="AB433" s="1"/>
      <c r="AC433" s="1"/>
      <c r="AD433" s="1"/>
    </row>
    <row r="434" customFormat="false" ht="18" hidden="false" customHeight="true" outlineLevel="0" collapsed="false">
      <c r="A434" s="1"/>
      <c r="B434" s="35"/>
      <c r="C434" s="8"/>
      <c r="D434" s="26"/>
      <c r="E434" s="27"/>
      <c r="F434" s="36"/>
      <c r="G434" s="36"/>
      <c r="H434" s="36"/>
      <c r="I434" s="36"/>
      <c r="J434" s="37" t="str">
        <f aca="false">IF($E434="","",IFERROR(G434/F434,""))</f>
        <v/>
      </c>
      <c r="K434" s="30" t="str">
        <f aca="false">IF($E434="","",IFERROR(E434/G434,""))</f>
        <v/>
      </c>
      <c r="L434" s="30" t="str">
        <f aca="false">IF($E434="","",IFERROR(E434/F434*1000,""))</f>
        <v/>
      </c>
      <c r="M434" s="37" t="str">
        <f aca="false">IF($E434="","",IFERROR(H434/G434,""))</f>
        <v/>
      </c>
      <c r="N434" s="30" t="str">
        <f aca="false">IF($E434="","",IFERROR(E434/H434,"—"))</f>
        <v/>
      </c>
      <c r="O434" s="30" t="str">
        <f aca="false">IF($E434="","",IFERROR(INDEX('Гео-калькулятор'!$K$7:$K$13,MATCH($C434,'Гео-калькулятор'!$B$7:$B$13,0)),""))</f>
        <v/>
      </c>
      <c r="P434" s="38" t="str">
        <f aca="false">IF($E434="","",IFERROR(N434/O434,""))</f>
        <v/>
      </c>
      <c r="Q434" s="39" t="str">
        <f aca="false">IF($E434="","",IF($I434&lt;&gt;"",$I434,N($H434)*IFERROR(INDEX('Гео-калькулятор'!$E$7:$E$13,MATCH($C434,'Гео-калькулятор'!$B$7:$B$13,0)),0)))</f>
        <v/>
      </c>
      <c r="R434" s="38" t="str">
        <f aca="false">IF($E434="","",IFERROR(Q434/H434,""))</f>
        <v/>
      </c>
      <c r="S434" s="30" t="str">
        <f aca="false">IF($E434="","",IFERROR(E434/Q434,"—"))</f>
        <v/>
      </c>
      <c r="T434" s="30" t="str">
        <f aca="false">IF($E434="","",Q434*IFERROR(INDEX('Гео-калькулятор'!$D$7:$D$13,MATCH($C434,'Гео-калькулятор'!$B$7:$B$13,0)),0))</f>
        <v/>
      </c>
      <c r="U434" s="40" t="str">
        <f aca="false">IF($E434="","",T434-E434)</f>
        <v/>
      </c>
      <c r="V434" s="41" t="str">
        <f aca="false">IF($E434="","",IFERROR(U434/E434,""))</f>
        <v/>
      </c>
      <c r="W434" s="10" t="str">
        <f aca="false">IF($E434="","",IF($I434&lt;&gt;"","факт","прогноз"))</f>
        <v/>
      </c>
      <c r="X434" s="1"/>
      <c r="Y434" s="1"/>
      <c r="Z434" s="1"/>
      <c r="AA434" s="1"/>
      <c r="AB434" s="1"/>
      <c r="AC434" s="1"/>
      <c r="AD434" s="1"/>
    </row>
    <row r="435" customFormat="false" ht="18" hidden="false" customHeight="true" outlineLevel="0" collapsed="false">
      <c r="A435" s="1"/>
      <c r="B435" s="35"/>
      <c r="C435" s="8"/>
      <c r="D435" s="26"/>
      <c r="E435" s="27"/>
      <c r="F435" s="36"/>
      <c r="G435" s="36"/>
      <c r="H435" s="36"/>
      <c r="I435" s="36"/>
      <c r="J435" s="37" t="str">
        <f aca="false">IF($E435="","",IFERROR(G435/F435,""))</f>
        <v/>
      </c>
      <c r="K435" s="30" t="str">
        <f aca="false">IF($E435="","",IFERROR(E435/G435,""))</f>
        <v/>
      </c>
      <c r="L435" s="30" t="str">
        <f aca="false">IF($E435="","",IFERROR(E435/F435*1000,""))</f>
        <v/>
      </c>
      <c r="M435" s="37" t="str">
        <f aca="false">IF($E435="","",IFERROR(H435/G435,""))</f>
        <v/>
      </c>
      <c r="N435" s="30" t="str">
        <f aca="false">IF($E435="","",IFERROR(E435/H435,"—"))</f>
        <v/>
      </c>
      <c r="O435" s="30" t="str">
        <f aca="false">IF($E435="","",IFERROR(INDEX('Гео-калькулятор'!$K$7:$K$13,MATCH($C435,'Гео-калькулятор'!$B$7:$B$13,0)),""))</f>
        <v/>
      </c>
      <c r="P435" s="38" t="str">
        <f aca="false">IF($E435="","",IFERROR(N435/O435,""))</f>
        <v/>
      </c>
      <c r="Q435" s="39" t="str">
        <f aca="false">IF($E435="","",IF($I435&lt;&gt;"",$I435,N($H435)*IFERROR(INDEX('Гео-калькулятор'!$E$7:$E$13,MATCH($C435,'Гео-калькулятор'!$B$7:$B$13,0)),0)))</f>
        <v/>
      </c>
      <c r="R435" s="38" t="str">
        <f aca="false">IF($E435="","",IFERROR(Q435/H435,""))</f>
        <v/>
      </c>
      <c r="S435" s="30" t="str">
        <f aca="false">IF($E435="","",IFERROR(E435/Q435,"—"))</f>
        <v/>
      </c>
      <c r="T435" s="30" t="str">
        <f aca="false">IF($E435="","",Q435*IFERROR(INDEX('Гео-калькулятор'!$D$7:$D$13,MATCH($C435,'Гео-калькулятор'!$B$7:$B$13,0)),0))</f>
        <v/>
      </c>
      <c r="U435" s="40" t="str">
        <f aca="false">IF($E435="","",T435-E435)</f>
        <v/>
      </c>
      <c r="V435" s="41" t="str">
        <f aca="false">IF($E435="","",IFERROR(U435/E435,""))</f>
        <v/>
      </c>
      <c r="W435" s="10" t="str">
        <f aca="false">IF($E435="","",IF($I435&lt;&gt;"","факт","прогноз"))</f>
        <v/>
      </c>
      <c r="X435" s="1"/>
      <c r="Y435" s="1"/>
      <c r="Z435" s="1"/>
      <c r="AA435" s="1"/>
      <c r="AB435" s="1"/>
      <c r="AC435" s="1"/>
      <c r="AD435" s="1"/>
    </row>
    <row r="436" customFormat="false" ht="18" hidden="false" customHeight="true" outlineLevel="0" collapsed="false">
      <c r="A436" s="1"/>
      <c r="B436" s="35"/>
      <c r="C436" s="8"/>
      <c r="D436" s="26"/>
      <c r="E436" s="27"/>
      <c r="F436" s="36"/>
      <c r="G436" s="36"/>
      <c r="H436" s="36"/>
      <c r="I436" s="36"/>
      <c r="J436" s="37" t="str">
        <f aca="false">IF($E436="","",IFERROR(G436/F436,""))</f>
        <v/>
      </c>
      <c r="K436" s="30" t="str">
        <f aca="false">IF($E436="","",IFERROR(E436/G436,""))</f>
        <v/>
      </c>
      <c r="L436" s="30" t="str">
        <f aca="false">IF($E436="","",IFERROR(E436/F436*1000,""))</f>
        <v/>
      </c>
      <c r="M436" s="37" t="str">
        <f aca="false">IF($E436="","",IFERROR(H436/G436,""))</f>
        <v/>
      </c>
      <c r="N436" s="30" t="str">
        <f aca="false">IF($E436="","",IFERROR(E436/H436,"—"))</f>
        <v/>
      </c>
      <c r="O436" s="30" t="str">
        <f aca="false">IF($E436="","",IFERROR(INDEX('Гео-калькулятор'!$K$7:$K$13,MATCH($C436,'Гео-калькулятор'!$B$7:$B$13,0)),""))</f>
        <v/>
      </c>
      <c r="P436" s="38" t="str">
        <f aca="false">IF($E436="","",IFERROR(N436/O436,""))</f>
        <v/>
      </c>
      <c r="Q436" s="39" t="str">
        <f aca="false">IF($E436="","",IF($I436&lt;&gt;"",$I436,N($H436)*IFERROR(INDEX('Гео-калькулятор'!$E$7:$E$13,MATCH($C436,'Гео-калькулятор'!$B$7:$B$13,0)),0)))</f>
        <v/>
      </c>
      <c r="R436" s="38" t="str">
        <f aca="false">IF($E436="","",IFERROR(Q436/H436,""))</f>
        <v/>
      </c>
      <c r="S436" s="30" t="str">
        <f aca="false">IF($E436="","",IFERROR(E436/Q436,"—"))</f>
        <v/>
      </c>
      <c r="T436" s="30" t="str">
        <f aca="false">IF($E436="","",Q436*IFERROR(INDEX('Гео-калькулятор'!$D$7:$D$13,MATCH($C436,'Гео-калькулятор'!$B$7:$B$13,0)),0))</f>
        <v/>
      </c>
      <c r="U436" s="40" t="str">
        <f aca="false">IF($E436="","",T436-E436)</f>
        <v/>
      </c>
      <c r="V436" s="41" t="str">
        <f aca="false">IF($E436="","",IFERROR(U436/E436,""))</f>
        <v/>
      </c>
      <c r="W436" s="10" t="str">
        <f aca="false">IF($E436="","",IF($I436&lt;&gt;"","факт","прогноз"))</f>
        <v/>
      </c>
      <c r="X436" s="1"/>
      <c r="Y436" s="1"/>
      <c r="Z436" s="1"/>
      <c r="AA436" s="1"/>
      <c r="AB436" s="1"/>
      <c r="AC436" s="1"/>
      <c r="AD436" s="1"/>
    </row>
    <row r="437" customFormat="false" ht="18" hidden="false" customHeight="true" outlineLevel="0" collapsed="false">
      <c r="A437" s="1"/>
      <c r="B437" s="35"/>
      <c r="C437" s="8"/>
      <c r="D437" s="26"/>
      <c r="E437" s="27"/>
      <c r="F437" s="36"/>
      <c r="G437" s="36"/>
      <c r="H437" s="36"/>
      <c r="I437" s="36"/>
      <c r="J437" s="37" t="str">
        <f aca="false">IF($E437="","",IFERROR(G437/F437,""))</f>
        <v/>
      </c>
      <c r="K437" s="30" t="str">
        <f aca="false">IF($E437="","",IFERROR(E437/G437,""))</f>
        <v/>
      </c>
      <c r="L437" s="30" t="str">
        <f aca="false">IF($E437="","",IFERROR(E437/F437*1000,""))</f>
        <v/>
      </c>
      <c r="M437" s="37" t="str">
        <f aca="false">IF($E437="","",IFERROR(H437/G437,""))</f>
        <v/>
      </c>
      <c r="N437" s="30" t="str">
        <f aca="false">IF($E437="","",IFERROR(E437/H437,"—"))</f>
        <v/>
      </c>
      <c r="O437" s="30" t="str">
        <f aca="false">IF($E437="","",IFERROR(INDEX('Гео-калькулятор'!$K$7:$K$13,MATCH($C437,'Гео-калькулятор'!$B$7:$B$13,0)),""))</f>
        <v/>
      </c>
      <c r="P437" s="38" t="str">
        <f aca="false">IF($E437="","",IFERROR(N437/O437,""))</f>
        <v/>
      </c>
      <c r="Q437" s="39" t="str">
        <f aca="false">IF($E437="","",IF($I437&lt;&gt;"",$I437,N($H437)*IFERROR(INDEX('Гео-калькулятор'!$E$7:$E$13,MATCH($C437,'Гео-калькулятор'!$B$7:$B$13,0)),0)))</f>
        <v/>
      </c>
      <c r="R437" s="38" t="str">
        <f aca="false">IF($E437="","",IFERROR(Q437/H437,""))</f>
        <v/>
      </c>
      <c r="S437" s="30" t="str">
        <f aca="false">IF($E437="","",IFERROR(E437/Q437,"—"))</f>
        <v/>
      </c>
      <c r="T437" s="30" t="str">
        <f aca="false">IF($E437="","",Q437*IFERROR(INDEX('Гео-калькулятор'!$D$7:$D$13,MATCH($C437,'Гео-калькулятор'!$B$7:$B$13,0)),0))</f>
        <v/>
      </c>
      <c r="U437" s="40" t="str">
        <f aca="false">IF($E437="","",T437-E437)</f>
        <v/>
      </c>
      <c r="V437" s="41" t="str">
        <f aca="false">IF($E437="","",IFERROR(U437/E437,""))</f>
        <v/>
      </c>
      <c r="W437" s="10" t="str">
        <f aca="false">IF($E437="","",IF($I437&lt;&gt;"","факт","прогноз"))</f>
        <v/>
      </c>
      <c r="X437" s="1"/>
      <c r="Y437" s="1"/>
      <c r="Z437" s="1"/>
      <c r="AA437" s="1"/>
      <c r="AB437" s="1"/>
      <c r="AC437" s="1"/>
      <c r="AD437" s="1"/>
    </row>
    <row r="438" customFormat="false" ht="18" hidden="false" customHeight="true" outlineLevel="0" collapsed="false">
      <c r="A438" s="1"/>
      <c r="B438" s="35"/>
      <c r="C438" s="8"/>
      <c r="D438" s="26"/>
      <c r="E438" s="27"/>
      <c r="F438" s="36"/>
      <c r="G438" s="36"/>
      <c r="H438" s="36"/>
      <c r="I438" s="36"/>
      <c r="J438" s="37" t="str">
        <f aca="false">IF($E438="","",IFERROR(G438/F438,""))</f>
        <v/>
      </c>
      <c r="K438" s="30" t="str">
        <f aca="false">IF($E438="","",IFERROR(E438/G438,""))</f>
        <v/>
      </c>
      <c r="L438" s="30" t="str">
        <f aca="false">IF($E438="","",IFERROR(E438/F438*1000,""))</f>
        <v/>
      </c>
      <c r="M438" s="37" t="str">
        <f aca="false">IF($E438="","",IFERROR(H438/G438,""))</f>
        <v/>
      </c>
      <c r="N438" s="30" t="str">
        <f aca="false">IF($E438="","",IFERROR(E438/H438,"—"))</f>
        <v/>
      </c>
      <c r="O438" s="30" t="str">
        <f aca="false">IF($E438="","",IFERROR(INDEX('Гео-калькулятор'!$K$7:$K$13,MATCH($C438,'Гео-калькулятор'!$B$7:$B$13,0)),""))</f>
        <v/>
      </c>
      <c r="P438" s="38" t="str">
        <f aca="false">IF($E438="","",IFERROR(N438/O438,""))</f>
        <v/>
      </c>
      <c r="Q438" s="39" t="str">
        <f aca="false">IF($E438="","",IF($I438&lt;&gt;"",$I438,N($H438)*IFERROR(INDEX('Гео-калькулятор'!$E$7:$E$13,MATCH($C438,'Гео-калькулятор'!$B$7:$B$13,0)),0)))</f>
        <v/>
      </c>
      <c r="R438" s="38" t="str">
        <f aca="false">IF($E438="","",IFERROR(Q438/H438,""))</f>
        <v/>
      </c>
      <c r="S438" s="30" t="str">
        <f aca="false">IF($E438="","",IFERROR(E438/Q438,"—"))</f>
        <v/>
      </c>
      <c r="T438" s="30" t="str">
        <f aca="false">IF($E438="","",Q438*IFERROR(INDEX('Гео-калькулятор'!$D$7:$D$13,MATCH($C438,'Гео-калькулятор'!$B$7:$B$13,0)),0))</f>
        <v/>
      </c>
      <c r="U438" s="40" t="str">
        <f aca="false">IF($E438="","",T438-E438)</f>
        <v/>
      </c>
      <c r="V438" s="41" t="str">
        <f aca="false">IF($E438="","",IFERROR(U438/E438,""))</f>
        <v/>
      </c>
      <c r="W438" s="10" t="str">
        <f aca="false">IF($E438="","",IF($I438&lt;&gt;"","факт","прогноз"))</f>
        <v/>
      </c>
      <c r="X438" s="1"/>
      <c r="Y438" s="1"/>
      <c r="Z438" s="1"/>
      <c r="AA438" s="1"/>
      <c r="AB438" s="1"/>
      <c r="AC438" s="1"/>
      <c r="AD438" s="1"/>
    </row>
    <row r="439" customFormat="false" ht="18" hidden="false" customHeight="true" outlineLevel="0" collapsed="false">
      <c r="A439" s="1"/>
      <c r="B439" s="35"/>
      <c r="C439" s="8"/>
      <c r="D439" s="26"/>
      <c r="E439" s="27"/>
      <c r="F439" s="36"/>
      <c r="G439" s="36"/>
      <c r="H439" s="36"/>
      <c r="I439" s="36"/>
      <c r="J439" s="37" t="str">
        <f aca="false">IF($E439="","",IFERROR(G439/F439,""))</f>
        <v/>
      </c>
      <c r="K439" s="30" t="str">
        <f aca="false">IF($E439="","",IFERROR(E439/G439,""))</f>
        <v/>
      </c>
      <c r="L439" s="30" t="str">
        <f aca="false">IF($E439="","",IFERROR(E439/F439*1000,""))</f>
        <v/>
      </c>
      <c r="M439" s="37" t="str">
        <f aca="false">IF($E439="","",IFERROR(H439/G439,""))</f>
        <v/>
      </c>
      <c r="N439" s="30" t="str">
        <f aca="false">IF($E439="","",IFERROR(E439/H439,"—"))</f>
        <v/>
      </c>
      <c r="O439" s="30" t="str">
        <f aca="false">IF($E439="","",IFERROR(INDEX('Гео-калькулятор'!$K$7:$K$13,MATCH($C439,'Гео-калькулятор'!$B$7:$B$13,0)),""))</f>
        <v/>
      </c>
      <c r="P439" s="38" t="str">
        <f aca="false">IF($E439="","",IFERROR(N439/O439,""))</f>
        <v/>
      </c>
      <c r="Q439" s="39" t="str">
        <f aca="false">IF($E439="","",IF($I439&lt;&gt;"",$I439,N($H439)*IFERROR(INDEX('Гео-калькулятор'!$E$7:$E$13,MATCH($C439,'Гео-калькулятор'!$B$7:$B$13,0)),0)))</f>
        <v/>
      </c>
      <c r="R439" s="38" t="str">
        <f aca="false">IF($E439="","",IFERROR(Q439/H439,""))</f>
        <v/>
      </c>
      <c r="S439" s="30" t="str">
        <f aca="false">IF($E439="","",IFERROR(E439/Q439,"—"))</f>
        <v/>
      </c>
      <c r="T439" s="30" t="str">
        <f aca="false">IF($E439="","",Q439*IFERROR(INDEX('Гео-калькулятор'!$D$7:$D$13,MATCH($C439,'Гео-калькулятор'!$B$7:$B$13,0)),0))</f>
        <v/>
      </c>
      <c r="U439" s="40" t="str">
        <f aca="false">IF($E439="","",T439-E439)</f>
        <v/>
      </c>
      <c r="V439" s="41" t="str">
        <f aca="false">IF($E439="","",IFERROR(U439/E439,""))</f>
        <v/>
      </c>
      <c r="W439" s="10" t="str">
        <f aca="false">IF($E439="","",IF($I439&lt;&gt;"","факт","прогноз"))</f>
        <v/>
      </c>
      <c r="X439" s="1"/>
      <c r="Y439" s="1"/>
      <c r="Z439" s="1"/>
      <c r="AA439" s="1"/>
      <c r="AB439" s="1"/>
      <c r="AC439" s="1"/>
      <c r="AD439" s="1"/>
    </row>
    <row r="440" customFormat="false" ht="18" hidden="false" customHeight="true" outlineLevel="0" collapsed="false">
      <c r="A440" s="1"/>
      <c r="B440" s="35"/>
      <c r="C440" s="8"/>
      <c r="D440" s="26"/>
      <c r="E440" s="27"/>
      <c r="F440" s="36"/>
      <c r="G440" s="36"/>
      <c r="H440" s="36"/>
      <c r="I440" s="36"/>
      <c r="J440" s="37" t="str">
        <f aca="false">IF($E440="","",IFERROR(G440/F440,""))</f>
        <v/>
      </c>
      <c r="K440" s="30" t="str">
        <f aca="false">IF($E440="","",IFERROR(E440/G440,""))</f>
        <v/>
      </c>
      <c r="L440" s="30" t="str">
        <f aca="false">IF($E440="","",IFERROR(E440/F440*1000,""))</f>
        <v/>
      </c>
      <c r="M440" s="37" t="str">
        <f aca="false">IF($E440="","",IFERROR(H440/G440,""))</f>
        <v/>
      </c>
      <c r="N440" s="30" t="str">
        <f aca="false">IF($E440="","",IFERROR(E440/H440,"—"))</f>
        <v/>
      </c>
      <c r="O440" s="30" t="str">
        <f aca="false">IF($E440="","",IFERROR(INDEX('Гео-калькулятор'!$K$7:$K$13,MATCH($C440,'Гео-калькулятор'!$B$7:$B$13,0)),""))</f>
        <v/>
      </c>
      <c r="P440" s="38" t="str">
        <f aca="false">IF($E440="","",IFERROR(N440/O440,""))</f>
        <v/>
      </c>
      <c r="Q440" s="39" t="str">
        <f aca="false">IF($E440="","",IF($I440&lt;&gt;"",$I440,N($H440)*IFERROR(INDEX('Гео-калькулятор'!$E$7:$E$13,MATCH($C440,'Гео-калькулятор'!$B$7:$B$13,0)),0)))</f>
        <v/>
      </c>
      <c r="R440" s="38" t="str">
        <f aca="false">IF($E440="","",IFERROR(Q440/H440,""))</f>
        <v/>
      </c>
      <c r="S440" s="30" t="str">
        <f aca="false">IF($E440="","",IFERROR(E440/Q440,"—"))</f>
        <v/>
      </c>
      <c r="T440" s="30" t="str">
        <f aca="false">IF($E440="","",Q440*IFERROR(INDEX('Гео-калькулятор'!$D$7:$D$13,MATCH($C440,'Гео-калькулятор'!$B$7:$B$13,0)),0))</f>
        <v/>
      </c>
      <c r="U440" s="40" t="str">
        <f aca="false">IF($E440="","",T440-E440)</f>
        <v/>
      </c>
      <c r="V440" s="41" t="str">
        <f aca="false">IF($E440="","",IFERROR(U440/E440,""))</f>
        <v/>
      </c>
      <c r="W440" s="10" t="str">
        <f aca="false">IF($E440="","",IF($I440&lt;&gt;"","факт","прогноз"))</f>
        <v/>
      </c>
      <c r="X440" s="1"/>
      <c r="Y440" s="1"/>
      <c r="Z440" s="1"/>
      <c r="AA440" s="1"/>
      <c r="AB440" s="1"/>
      <c r="AC440" s="1"/>
      <c r="AD440" s="1"/>
    </row>
    <row r="441" customFormat="false" ht="18" hidden="false" customHeight="true" outlineLevel="0" collapsed="false">
      <c r="A441" s="1"/>
      <c r="B441" s="35"/>
      <c r="C441" s="8"/>
      <c r="D441" s="26"/>
      <c r="E441" s="27"/>
      <c r="F441" s="36"/>
      <c r="G441" s="36"/>
      <c r="H441" s="36"/>
      <c r="I441" s="36"/>
      <c r="J441" s="37" t="str">
        <f aca="false">IF($E441="","",IFERROR(G441/F441,""))</f>
        <v/>
      </c>
      <c r="K441" s="30" t="str">
        <f aca="false">IF($E441="","",IFERROR(E441/G441,""))</f>
        <v/>
      </c>
      <c r="L441" s="30" t="str">
        <f aca="false">IF($E441="","",IFERROR(E441/F441*1000,""))</f>
        <v/>
      </c>
      <c r="M441" s="37" t="str">
        <f aca="false">IF($E441="","",IFERROR(H441/G441,""))</f>
        <v/>
      </c>
      <c r="N441" s="30" t="str">
        <f aca="false">IF($E441="","",IFERROR(E441/H441,"—"))</f>
        <v/>
      </c>
      <c r="O441" s="30" t="str">
        <f aca="false">IF($E441="","",IFERROR(INDEX('Гео-калькулятор'!$K$7:$K$13,MATCH($C441,'Гео-калькулятор'!$B$7:$B$13,0)),""))</f>
        <v/>
      </c>
      <c r="P441" s="38" t="str">
        <f aca="false">IF($E441="","",IFERROR(N441/O441,""))</f>
        <v/>
      </c>
      <c r="Q441" s="39" t="str">
        <f aca="false">IF($E441="","",IF($I441&lt;&gt;"",$I441,N($H441)*IFERROR(INDEX('Гео-калькулятор'!$E$7:$E$13,MATCH($C441,'Гео-калькулятор'!$B$7:$B$13,0)),0)))</f>
        <v/>
      </c>
      <c r="R441" s="38" t="str">
        <f aca="false">IF($E441="","",IFERROR(Q441/H441,""))</f>
        <v/>
      </c>
      <c r="S441" s="30" t="str">
        <f aca="false">IF($E441="","",IFERROR(E441/Q441,"—"))</f>
        <v/>
      </c>
      <c r="T441" s="30" t="str">
        <f aca="false">IF($E441="","",Q441*IFERROR(INDEX('Гео-калькулятор'!$D$7:$D$13,MATCH($C441,'Гео-калькулятор'!$B$7:$B$13,0)),0))</f>
        <v/>
      </c>
      <c r="U441" s="40" t="str">
        <f aca="false">IF($E441="","",T441-E441)</f>
        <v/>
      </c>
      <c r="V441" s="41" t="str">
        <f aca="false">IF($E441="","",IFERROR(U441/E441,""))</f>
        <v/>
      </c>
      <c r="W441" s="10" t="str">
        <f aca="false">IF($E441="","",IF($I441&lt;&gt;"","факт","прогноз"))</f>
        <v/>
      </c>
      <c r="X441" s="1"/>
      <c r="Y441" s="1"/>
      <c r="Z441" s="1"/>
      <c r="AA441" s="1"/>
      <c r="AB441" s="1"/>
      <c r="AC441" s="1"/>
      <c r="AD441" s="1"/>
    </row>
    <row r="442" customFormat="false" ht="18" hidden="false" customHeight="true" outlineLevel="0" collapsed="false">
      <c r="A442" s="1"/>
      <c r="B442" s="35"/>
      <c r="C442" s="8"/>
      <c r="D442" s="26"/>
      <c r="E442" s="27"/>
      <c r="F442" s="36"/>
      <c r="G442" s="36"/>
      <c r="H442" s="36"/>
      <c r="I442" s="36"/>
      <c r="J442" s="37" t="str">
        <f aca="false">IF($E442="","",IFERROR(G442/F442,""))</f>
        <v/>
      </c>
      <c r="K442" s="30" t="str">
        <f aca="false">IF($E442="","",IFERROR(E442/G442,""))</f>
        <v/>
      </c>
      <c r="L442" s="30" t="str">
        <f aca="false">IF($E442="","",IFERROR(E442/F442*1000,""))</f>
        <v/>
      </c>
      <c r="M442" s="37" t="str">
        <f aca="false">IF($E442="","",IFERROR(H442/G442,""))</f>
        <v/>
      </c>
      <c r="N442" s="30" t="str">
        <f aca="false">IF($E442="","",IFERROR(E442/H442,"—"))</f>
        <v/>
      </c>
      <c r="O442" s="30" t="str">
        <f aca="false">IF($E442="","",IFERROR(INDEX('Гео-калькулятор'!$K$7:$K$13,MATCH($C442,'Гео-калькулятор'!$B$7:$B$13,0)),""))</f>
        <v/>
      </c>
      <c r="P442" s="38" t="str">
        <f aca="false">IF($E442="","",IFERROR(N442/O442,""))</f>
        <v/>
      </c>
      <c r="Q442" s="39" t="str">
        <f aca="false">IF($E442="","",IF($I442&lt;&gt;"",$I442,N($H442)*IFERROR(INDEX('Гео-калькулятор'!$E$7:$E$13,MATCH($C442,'Гео-калькулятор'!$B$7:$B$13,0)),0)))</f>
        <v/>
      </c>
      <c r="R442" s="38" t="str">
        <f aca="false">IF($E442="","",IFERROR(Q442/H442,""))</f>
        <v/>
      </c>
      <c r="S442" s="30" t="str">
        <f aca="false">IF($E442="","",IFERROR(E442/Q442,"—"))</f>
        <v/>
      </c>
      <c r="T442" s="30" t="str">
        <f aca="false">IF($E442="","",Q442*IFERROR(INDEX('Гео-калькулятор'!$D$7:$D$13,MATCH($C442,'Гео-калькулятор'!$B$7:$B$13,0)),0))</f>
        <v/>
      </c>
      <c r="U442" s="40" t="str">
        <f aca="false">IF($E442="","",T442-E442)</f>
        <v/>
      </c>
      <c r="V442" s="41" t="str">
        <f aca="false">IF($E442="","",IFERROR(U442/E442,""))</f>
        <v/>
      </c>
      <c r="W442" s="10" t="str">
        <f aca="false">IF($E442="","",IF($I442&lt;&gt;"","факт","прогноз"))</f>
        <v/>
      </c>
      <c r="X442" s="1"/>
      <c r="Y442" s="1"/>
      <c r="Z442" s="1"/>
      <c r="AA442" s="1"/>
      <c r="AB442" s="1"/>
      <c r="AC442" s="1"/>
      <c r="AD442" s="1"/>
    </row>
    <row r="443" customFormat="false" ht="18" hidden="false" customHeight="true" outlineLevel="0" collapsed="false">
      <c r="A443" s="1"/>
      <c r="B443" s="35"/>
      <c r="C443" s="8"/>
      <c r="D443" s="26"/>
      <c r="E443" s="27"/>
      <c r="F443" s="36"/>
      <c r="G443" s="36"/>
      <c r="H443" s="36"/>
      <c r="I443" s="36"/>
      <c r="J443" s="37" t="str">
        <f aca="false">IF($E443="","",IFERROR(G443/F443,""))</f>
        <v/>
      </c>
      <c r="K443" s="30" t="str">
        <f aca="false">IF($E443="","",IFERROR(E443/G443,""))</f>
        <v/>
      </c>
      <c r="L443" s="30" t="str">
        <f aca="false">IF($E443="","",IFERROR(E443/F443*1000,""))</f>
        <v/>
      </c>
      <c r="M443" s="37" t="str">
        <f aca="false">IF($E443="","",IFERROR(H443/G443,""))</f>
        <v/>
      </c>
      <c r="N443" s="30" t="str">
        <f aca="false">IF($E443="","",IFERROR(E443/H443,"—"))</f>
        <v/>
      </c>
      <c r="O443" s="30" t="str">
        <f aca="false">IF($E443="","",IFERROR(INDEX('Гео-калькулятор'!$K$7:$K$13,MATCH($C443,'Гео-калькулятор'!$B$7:$B$13,0)),""))</f>
        <v/>
      </c>
      <c r="P443" s="38" t="str">
        <f aca="false">IF($E443="","",IFERROR(N443/O443,""))</f>
        <v/>
      </c>
      <c r="Q443" s="39" t="str">
        <f aca="false">IF($E443="","",IF($I443&lt;&gt;"",$I443,N($H443)*IFERROR(INDEX('Гео-калькулятор'!$E$7:$E$13,MATCH($C443,'Гео-калькулятор'!$B$7:$B$13,0)),0)))</f>
        <v/>
      </c>
      <c r="R443" s="38" t="str">
        <f aca="false">IF($E443="","",IFERROR(Q443/H443,""))</f>
        <v/>
      </c>
      <c r="S443" s="30" t="str">
        <f aca="false">IF($E443="","",IFERROR(E443/Q443,"—"))</f>
        <v/>
      </c>
      <c r="T443" s="30" t="str">
        <f aca="false">IF($E443="","",Q443*IFERROR(INDEX('Гео-калькулятор'!$D$7:$D$13,MATCH($C443,'Гео-калькулятор'!$B$7:$B$13,0)),0))</f>
        <v/>
      </c>
      <c r="U443" s="40" t="str">
        <f aca="false">IF($E443="","",T443-E443)</f>
        <v/>
      </c>
      <c r="V443" s="41" t="str">
        <f aca="false">IF($E443="","",IFERROR(U443/E443,""))</f>
        <v/>
      </c>
      <c r="W443" s="10" t="str">
        <f aca="false">IF($E443="","",IF($I443&lt;&gt;"","факт","прогноз"))</f>
        <v/>
      </c>
      <c r="X443" s="1"/>
      <c r="Y443" s="1"/>
      <c r="Z443" s="1"/>
      <c r="AA443" s="1"/>
      <c r="AB443" s="1"/>
      <c r="AC443" s="1"/>
      <c r="AD443" s="1"/>
    </row>
    <row r="444" customFormat="false" ht="18" hidden="false" customHeight="true" outlineLevel="0" collapsed="false">
      <c r="A444" s="1"/>
      <c r="B444" s="35"/>
      <c r="C444" s="8"/>
      <c r="D444" s="26"/>
      <c r="E444" s="27"/>
      <c r="F444" s="36"/>
      <c r="G444" s="36"/>
      <c r="H444" s="36"/>
      <c r="I444" s="36"/>
      <c r="J444" s="37" t="str">
        <f aca="false">IF($E444="","",IFERROR(G444/F444,""))</f>
        <v/>
      </c>
      <c r="K444" s="30" t="str">
        <f aca="false">IF($E444="","",IFERROR(E444/G444,""))</f>
        <v/>
      </c>
      <c r="L444" s="30" t="str">
        <f aca="false">IF($E444="","",IFERROR(E444/F444*1000,""))</f>
        <v/>
      </c>
      <c r="M444" s="37" t="str">
        <f aca="false">IF($E444="","",IFERROR(H444/G444,""))</f>
        <v/>
      </c>
      <c r="N444" s="30" t="str">
        <f aca="false">IF($E444="","",IFERROR(E444/H444,"—"))</f>
        <v/>
      </c>
      <c r="O444" s="30" t="str">
        <f aca="false">IF($E444="","",IFERROR(INDEX('Гео-калькулятор'!$K$7:$K$13,MATCH($C444,'Гео-калькулятор'!$B$7:$B$13,0)),""))</f>
        <v/>
      </c>
      <c r="P444" s="38" t="str">
        <f aca="false">IF($E444="","",IFERROR(N444/O444,""))</f>
        <v/>
      </c>
      <c r="Q444" s="39" t="str">
        <f aca="false">IF($E444="","",IF($I444&lt;&gt;"",$I444,N($H444)*IFERROR(INDEX('Гео-калькулятор'!$E$7:$E$13,MATCH($C444,'Гео-калькулятор'!$B$7:$B$13,0)),0)))</f>
        <v/>
      </c>
      <c r="R444" s="38" t="str">
        <f aca="false">IF($E444="","",IFERROR(Q444/H444,""))</f>
        <v/>
      </c>
      <c r="S444" s="30" t="str">
        <f aca="false">IF($E444="","",IFERROR(E444/Q444,"—"))</f>
        <v/>
      </c>
      <c r="T444" s="30" t="str">
        <f aca="false">IF($E444="","",Q444*IFERROR(INDEX('Гео-калькулятор'!$D$7:$D$13,MATCH($C444,'Гео-калькулятор'!$B$7:$B$13,0)),0))</f>
        <v/>
      </c>
      <c r="U444" s="40" t="str">
        <f aca="false">IF($E444="","",T444-E444)</f>
        <v/>
      </c>
      <c r="V444" s="41" t="str">
        <f aca="false">IF($E444="","",IFERROR(U444/E444,""))</f>
        <v/>
      </c>
      <c r="W444" s="10" t="str">
        <f aca="false">IF($E444="","",IF($I444&lt;&gt;"","факт","прогноз"))</f>
        <v/>
      </c>
      <c r="X444" s="1"/>
      <c r="Y444" s="1"/>
      <c r="Z444" s="1"/>
      <c r="AA444" s="1"/>
      <c r="AB444" s="1"/>
      <c r="AC444" s="1"/>
      <c r="AD444" s="1"/>
    </row>
    <row r="445" customFormat="false" ht="18" hidden="false" customHeight="true" outlineLevel="0" collapsed="false">
      <c r="A445" s="1"/>
      <c r="B445" s="35"/>
      <c r="C445" s="8"/>
      <c r="D445" s="26"/>
      <c r="E445" s="27"/>
      <c r="F445" s="36"/>
      <c r="G445" s="36"/>
      <c r="H445" s="36"/>
      <c r="I445" s="36"/>
      <c r="J445" s="37" t="str">
        <f aca="false">IF($E445="","",IFERROR(G445/F445,""))</f>
        <v/>
      </c>
      <c r="K445" s="30" t="str">
        <f aca="false">IF($E445="","",IFERROR(E445/G445,""))</f>
        <v/>
      </c>
      <c r="L445" s="30" t="str">
        <f aca="false">IF($E445="","",IFERROR(E445/F445*1000,""))</f>
        <v/>
      </c>
      <c r="M445" s="37" t="str">
        <f aca="false">IF($E445="","",IFERROR(H445/G445,""))</f>
        <v/>
      </c>
      <c r="N445" s="30" t="str">
        <f aca="false">IF($E445="","",IFERROR(E445/H445,"—"))</f>
        <v/>
      </c>
      <c r="O445" s="30" t="str">
        <f aca="false">IF($E445="","",IFERROR(INDEX('Гео-калькулятор'!$K$7:$K$13,MATCH($C445,'Гео-калькулятор'!$B$7:$B$13,0)),""))</f>
        <v/>
      </c>
      <c r="P445" s="38" t="str">
        <f aca="false">IF($E445="","",IFERROR(N445/O445,""))</f>
        <v/>
      </c>
      <c r="Q445" s="39" t="str">
        <f aca="false">IF($E445="","",IF($I445&lt;&gt;"",$I445,N($H445)*IFERROR(INDEX('Гео-калькулятор'!$E$7:$E$13,MATCH($C445,'Гео-калькулятор'!$B$7:$B$13,0)),0)))</f>
        <v/>
      </c>
      <c r="R445" s="38" t="str">
        <f aca="false">IF($E445="","",IFERROR(Q445/H445,""))</f>
        <v/>
      </c>
      <c r="S445" s="30" t="str">
        <f aca="false">IF($E445="","",IFERROR(E445/Q445,"—"))</f>
        <v/>
      </c>
      <c r="T445" s="30" t="str">
        <f aca="false">IF($E445="","",Q445*IFERROR(INDEX('Гео-калькулятор'!$D$7:$D$13,MATCH($C445,'Гео-калькулятор'!$B$7:$B$13,0)),0))</f>
        <v/>
      </c>
      <c r="U445" s="40" t="str">
        <f aca="false">IF($E445="","",T445-E445)</f>
        <v/>
      </c>
      <c r="V445" s="41" t="str">
        <f aca="false">IF($E445="","",IFERROR(U445/E445,""))</f>
        <v/>
      </c>
      <c r="W445" s="10" t="str">
        <f aca="false">IF($E445="","",IF($I445&lt;&gt;"","факт","прогноз"))</f>
        <v/>
      </c>
      <c r="X445" s="1"/>
      <c r="Y445" s="1"/>
      <c r="Z445" s="1"/>
      <c r="AA445" s="1"/>
      <c r="AB445" s="1"/>
      <c r="AC445" s="1"/>
      <c r="AD445" s="1"/>
    </row>
    <row r="446" customFormat="false" ht="18" hidden="false" customHeight="true" outlineLevel="0" collapsed="false">
      <c r="A446" s="1"/>
      <c r="B446" s="35"/>
      <c r="C446" s="8"/>
      <c r="D446" s="26"/>
      <c r="E446" s="27"/>
      <c r="F446" s="36"/>
      <c r="G446" s="36"/>
      <c r="H446" s="36"/>
      <c r="I446" s="36"/>
      <c r="J446" s="37" t="str">
        <f aca="false">IF($E446="","",IFERROR(G446/F446,""))</f>
        <v/>
      </c>
      <c r="K446" s="30" t="str">
        <f aca="false">IF($E446="","",IFERROR(E446/G446,""))</f>
        <v/>
      </c>
      <c r="L446" s="30" t="str">
        <f aca="false">IF($E446="","",IFERROR(E446/F446*1000,""))</f>
        <v/>
      </c>
      <c r="M446" s="37" t="str">
        <f aca="false">IF($E446="","",IFERROR(H446/G446,""))</f>
        <v/>
      </c>
      <c r="N446" s="30" t="str">
        <f aca="false">IF($E446="","",IFERROR(E446/H446,"—"))</f>
        <v/>
      </c>
      <c r="O446" s="30" t="str">
        <f aca="false">IF($E446="","",IFERROR(INDEX('Гео-калькулятор'!$K$7:$K$13,MATCH($C446,'Гео-калькулятор'!$B$7:$B$13,0)),""))</f>
        <v/>
      </c>
      <c r="P446" s="38" t="str">
        <f aca="false">IF($E446="","",IFERROR(N446/O446,""))</f>
        <v/>
      </c>
      <c r="Q446" s="39" t="str">
        <f aca="false">IF($E446="","",IF($I446&lt;&gt;"",$I446,N($H446)*IFERROR(INDEX('Гео-калькулятор'!$E$7:$E$13,MATCH($C446,'Гео-калькулятор'!$B$7:$B$13,0)),0)))</f>
        <v/>
      </c>
      <c r="R446" s="38" t="str">
        <f aca="false">IF($E446="","",IFERROR(Q446/H446,""))</f>
        <v/>
      </c>
      <c r="S446" s="30" t="str">
        <f aca="false">IF($E446="","",IFERROR(E446/Q446,"—"))</f>
        <v/>
      </c>
      <c r="T446" s="30" t="str">
        <f aca="false">IF($E446="","",Q446*IFERROR(INDEX('Гео-калькулятор'!$D$7:$D$13,MATCH($C446,'Гео-калькулятор'!$B$7:$B$13,0)),0))</f>
        <v/>
      </c>
      <c r="U446" s="40" t="str">
        <f aca="false">IF($E446="","",T446-E446)</f>
        <v/>
      </c>
      <c r="V446" s="41" t="str">
        <f aca="false">IF($E446="","",IFERROR(U446/E446,""))</f>
        <v/>
      </c>
      <c r="W446" s="10" t="str">
        <f aca="false">IF($E446="","",IF($I446&lt;&gt;"","факт","прогноз"))</f>
        <v/>
      </c>
      <c r="X446" s="1"/>
      <c r="Y446" s="1"/>
      <c r="Z446" s="1"/>
      <c r="AA446" s="1"/>
      <c r="AB446" s="1"/>
      <c r="AC446" s="1"/>
      <c r="AD446" s="1"/>
    </row>
    <row r="447" customFormat="false" ht="18" hidden="false" customHeight="true" outlineLevel="0" collapsed="false">
      <c r="A447" s="1"/>
      <c r="B447" s="35"/>
      <c r="C447" s="8"/>
      <c r="D447" s="26"/>
      <c r="E447" s="27"/>
      <c r="F447" s="36"/>
      <c r="G447" s="36"/>
      <c r="H447" s="36"/>
      <c r="I447" s="36"/>
      <c r="J447" s="37" t="str">
        <f aca="false">IF($E447="","",IFERROR(G447/F447,""))</f>
        <v/>
      </c>
      <c r="K447" s="30" t="str">
        <f aca="false">IF($E447="","",IFERROR(E447/G447,""))</f>
        <v/>
      </c>
      <c r="L447" s="30" t="str">
        <f aca="false">IF($E447="","",IFERROR(E447/F447*1000,""))</f>
        <v/>
      </c>
      <c r="M447" s="37" t="str">
        <f aca="false">IF($E447="","",IFERROR(H447/G447,""))</f>
        <v/>
      </c>
      <c r="N447" s="30" t="str">
        <f aca="false">IF($E447="","",IFERROR(E447/H447,"—"))</f>
        <v/>
      </c>
      <c r="O447" s="30" t="str">
        <f aca="false">IF($E447="","",IFERROR(INDEX('Гео-калькулятор'!$K$7:$K$13,MATCH($C447,'Гео-калькулятор'!$B$7:$B$13,0)),""))</f>
        <v/>
      </c>
      <c r="P447" s="38" t="str">
        <f aca="false">IF($E447="","",IFERROR(N447/O447,""))</f>
        <v/>
      </c>
      <c r="Q447" s="39" t="str">
        <f aca="false">IF($E447="","",IF($I447&lt;&gt;"",$I447,N($H447)*IFERROR(INDEX('Гео-калькулятор'!$E$7:$E$13,MATCH($C447,'Гео-калькулятор'!$B$7:$B$13,0)),0)))</f>
        <v/>
      </c>
      <c r="R447" s="38" t="str">
        <f aca="false">IF($E447="","",IFERROR(Q447/H447,""))</f>
        <v/>
      </c>
      <c r="S447" s="30" t="str">
        <f aca="false">IF($E447="","",IFERROR(E447/Q447,"—"))</f>
        <v/>
      </c>
      <c r="T447" s="30" t="str">
        <f aca="false">IF($E447="","",Q447*IFERROR(INDEX('Гео-калькулятор'!$D$7:$D$13,MATCH($C447,'Гео-калькулятор'!$B$7:$B$13,0)),0))</f>
        <v/>
      </c>
      <c r="U447" s="40" t="str">
        <f aca="false">IF($E447="","",T447-E447)</f>
        <v/>
      </c>
      <c r="V447" s="41" t="str">
        <f aca="false">IF($E447="","",IFERROR(U447/E447,""))</f>
        <v/>
      </c>
      <c r="W447" s="10" t="str">
        <f aca="false">IF($E447="","",IF($I447&lt;&gt;"","факт","прогноз"))</f>
        <v/>
      </c>
      <c r="X447" s="1"/>
      <c r="Y447" s="1"/>
      <c r="Z447" s="1"/>
      <c r="AA447" s="1"/>
      <c r="AB447" s="1"/>
      <c r="AC447" s="1"/>
      <c r="AD447" s="1"/>
    </row>
    <row r="448" customFormat="false" ht="18" hidden="false" customHeight="true" outlineLevel="0" collapsed="false">
      <c r="A448" s="1"/>
      <c r="B448" s="35"/>
      <c r="C448" s="8"/>
      <c r="D448" s="26"/>
      <c r="E448" s="27"/>
      <c r="F448" s="36"/>
      <c r="G448" s="36"/>
      <c r="H448" s="36"/>
      <c r="I448" s="36"/>
      <c r="J448" s="37" t="str">
        <f aca="false">IF($E448="","",IFERROR(G448/F448,""))</f>
        <v/>
      </c>
      <c r="K448" s="30" t="str">
        <f aca="false">IF($E448="","",IFERROR(E448/G448,""))</f>
        <v/>
      </c>
      <c r="L448" s="30" t="str">
        <f aca="false">IF($E448="","",IFERROR(E448/F448*1000,""))</f>
        <v/>
      </c>
      <c r="M448" s="37" t="str">
        <f aca="false">IF($E448="","",IFERROR(H448/G448,""))</f>
        <v/>
      </c>
      <c r="N448" s="30" t="str">
        <f aca="false">IF($E448="","",IFERROR(E448/H448,"—"))</f>
        <v/>
      </c>
      <c r="O448" s="30" t="str">
        <f aca="false">IF($E448="","",IFERROR(INDEX('Гео-калькулятор'!$K$7:$K$13,MATCH($C448,'Гео-калькулятор'!$B$7:$B$13,0)),""))</f>
        <v/>
      </c>
      <c r="P448" s="38" t="str">
        <f aca="false">IF($E448="","",IFERROR(N448/O448,""))</f>
        <v/>
      </c>
      <c r="Q448" s="39" t="str">
        <f aca="false">IF($E448="","",IF($I448&lt;&gt;"",$I448,N($H448)*IFERROR(INDEX('Гео-калькулятор'!$E$7:$E$13,MATCH($C448,'Гео-калькулятор'!$B$7:$B$13,0)),0)))</f>
        <v/>
      </c>
      <c r="R448" s="38" t="str">
        <f aca="false">IF($E448="","",IFERROR(Q448/H448,""))</f>
        <v/>
      </c>
      <c r="S448" s="30" t="str">
        <f aca="false">IF($E448="","",IFERROR(E448/Q448,"—"))</f>
        <v/>
      </c>
      <c r="T448" s="30" t="str">
        <f aca="false">IF($E448="","",Q448*IFERROR(INDEX('Гео-калькулятор'!$D$7:$D$13,MATCH($C448,'Гео-калькулятор'!$B$7:$B$13,0)),0))</f>
        <v/>
      </c>
      <c r="U448" s="40" t="str">
        <f aca="false">IF($E448="","",T448-E448)</f>
        <v/>
      </c>
      <c r="V448" s="41" t="str">
        <f aca="false">IF($E448="","",IFERROR(U448/E448,""))</f>
        <v/>
      </c>
      <c r="W448" s="10" t="str">
        <f aca="false">IF($E448="","",IF($I448&lt;&gt;"","факт","прогноз"))</f>
        <v/>
      </c>
      <c r="X448" s="1"/>
      <c r="Y448" s="1"/>
      <c r="Z448" s="1"/>
      <c r="AA448" s="1"/>
      <c r="AB448" s="1"/>
      <c r="AC448" s="1"/>
      <c r="AD448" s="1"/>
    </row>
    <row r="449" customFormat="false" ht="18" hidden="false" customHeight="true" outlineLevel="0" collapsed="false">
      <c r="A449" s="1"/>
      <c r="B449" s="35"/>
      <c r="C449" s="8"/>
      <c r="D449" s="26"/>
      <c r="E449" s="27"/>
      <c r="F449" s="36"/>
      <c r="G449" s="36"/>
      <c r="H449" s="36"/>
      <c r="I449" s="36"/>
      <c r="J449" s="37" t="str">
        <f aca="false">IF($E449="","",IFERROR(G449/F449,""))</f>
        <v/>
      </c>
      <c r="K449" s="30" t="str">
        <f aca="false">IF($E449="","",IFERROR(E449/G449,""))</f>
        <v/>
      </c>
      <c r="L449" s="30" t="str">
        <f aca="false">IF($E449="","",IFERROR(E449/F449*1000,""))</f>
        <v/>
      </c>
      <c r="M449" s="37" t="str">
        <f aca="false">IF($E449="","",IFERROR(H449/G449,""))</f>
        <v/>
      </c>
      <c r="N449" s="30" t="str">
        <f aca="false">IF($E449="","",IFERROR(E449/H449,"—"))</f>
        <v/>
      </c>
      <c r="O449" s="30" t="str">
        <f aca="false">IF($E449="","",IFERROR(INDEX('Гео-калькулятор'!$K$7:$K$13,MATCH($C449,'Гео-калькулятор'!$B$7:$B$13,0)),""))</f>
        <v/>
      </c>
      <c r="P449" s="38" t="str">
        <f aca="false">IF($E449="","",IFERROR(N449/O449,""))</f>
        <v/>
      </c>
      <c r="Q449" s="39" t="str">
        <f aca="false">IF($E449="","",IF($I449&lt;&gt;"",$I449,N($H449)*IFERROR(INDEX('Гео-калькулятор'!$E$7:$E$13,MATCH($C449,'Гео-калькулятор'!$B$7:$B$13,0)),0)))</f>
        <v/>
      </c>
      <c r="R449" s="38" t="str">
        <f aca="false">IF($E449="","",IFERROR(Q449/H449,""))</f>
        <v/>
      </c>
      <c r="S449" s="30" t="str">
        <f aca="false">IF($E449="","",IFERROR(E449/Q449,"—"))</f>
        <v/>
      </c>
      <c r="T449" s="30" t="str">
        <f aca="false">IF($E449="","",Q449*IFERROR(INDEX('Гео-калькулятор'!$D$7:$D$13,MATCH($C449,'Гео-калькулятор'!$B$7:$B$13,0)),0))</f>
        <v/>
      </c>
      <c r="U449" s="40" t="str">
        <f aca="false">IF($E449="","",T449-E449)</f>
        <v/>
      </c>
      <c r="V449" s="41" t="str">
        <f aca="false">IF($E449="","",IFERROR(U449/E449,""))</f>
        <v/>
      </c>
      <c r="W449" s="10" t="str">
        <f aca="false">IF($E449="","",IF($I449&lt;&gt;"","факт","прогноз"))</f>
        <v/>
      </c>
      <c r="X449" s="1"/>
      <c r="Y449" s="1"/>
      <c r="Z449" s="1"/>
      <c r="AA449" s="1"/>
      <c r="AB449" s="1"/>
      <c r="AC449" s="1"/>
      <c r="AD449" s="1"/>
    </row>
    <row r="450" customFormat="false" ht="18" hidden="false" customHeight="true" outlineLevel="0" collapsed="false">
      <c r="A450" s="1"/>
      <c r="B450" s="35"/>
      <c r="C450" s="8"/>
      <c r="D450" s="26"/>
      <c r="E450" s="27"/>
      <c r="F450" s="36"/>
      <c r="G450" s="36"/>
      <c r="H450" s="36"/>
      <c r="I450" s="36"/>
      <c r="J450" s="37" t="str">
        <f aca="false">IF($E450="","",IFERROR(G450/F450,""))</f>
        <v/>
      </c>
      <c r="K450" s="30" t="str">
        <f aca="false">IF($E450="","",IFERROR(E450/G450,""))</f>
        <v/>
      </c>
      <c r="L450" s="30" t="str">
        <f aca="false">IF($E450="","",IFERROR(E450/F450*1000,""))</f>
        <v/>
      </c>
      <c r="M450" s="37" t="str">
        <f aca="false">IF($E450="","",IFERROR(H450/G450,""))</f>
        <v/>
      </c>
      <c r="N450" s="30" t="str">
        <f aca="false">IF($E450="","",IFERROR(E450/H450,"—"))</f>
        <v/>
      </c>
      <c r="O450" s="30" t="str">
        <f aca="false">IF($E450="","",IFERROR(INDEX('Гео-калькулятор'!$K$7:$K$13,MATCH($C450,'Гео-калькулятор'!$B$7:$B$13,0)),""))</f>
        <v/>
      </c>
      <c r="P450" s="38" t="str">
        <f aca="false">IF($E450="","",IFERROR(N450/O450,""))</f>
        <v/>
      </c>
      <c r="Q450" s="39" t="str">
        <f aca="false">IF($E450="","",IF($I450&lt;&gt;"",$I450,N($H450)*IFERROR(INDEX('Гео-калькулятор'!$E$7:$E$13,MATCH($C450,'Гео-калькулятор'!$B$7:$B$13,0)),0)))</f>
        <v/>
      </c>
      <c r="R450" s="38" t="str">
        <f aca="false">IF($E450="","",IFERROR(Q450/H450,""))</f>
        <v/>
      </c>
      <c r="S450" s="30" t="str">
        <f aca="false">IF($E450="","",IFERROR(E450/Q450,"—"))</f>
        <v/>
      </c>
      <c r="T450" s="30" t="str">
        <f aca="false">IF($E450="","",Q450*IFERROR(INDEX('Гео-калькулятор'!$D$7:$D$13,MATCH($C450,'Гео-калькулятор'!$B$7:$B$13,0)),0))</f>
        <v/>
      </c>
      <c r="U450" s="40" t="str">
        <f aca="false">IF($E450="","",T450-E450)</f>
        <v/>
      </c>
      <c r="V450" s="41" t="str">
        <f aca="false">IF($E450="","",IFERROR(U450/E450,""))</f>
        <v/>
      </c>
      <c r="W450" s="10" t="str">
        <f aca="false">IF($E450="","",IF($I450&lt;&gt;"","факт","прогноз"))</f>
        <v/>
      </c>
      <c r="X450" s="1"/>
      <c r="Y450" s="1"/>
      <c r="Z450" s="1"/>
      <c r="AA450" s="1"/>
      <c r="AB450" s="1"/>
      <c r="AC450" s="1"/>
      <c r="AD450" s="1"/>
    </row>
    <row r="451" customFormat="false" ht="18" hidden="false" customHeight="true" outlineLevel="0" collapsed="false">
      <c r="A451" s="1"/>
      <c r="B451" s="35"/>
      <c r="C451" s="8"/>
      <c r="D451" s="26"/>
      <c r="E451" s="27"/>
      <c r="F451" s="36"/>
      <c r="G451" s="36"/>
      <c r="H451" s="36"/>
      <c r="I451" s="36"/>
      <c r="J451" s="37" t="str">
        <f aca="false">IF($E451="","",IFERROR(G451/F451,""))</f>
        <v/>
      </c>
      <c r="K451" s="30" t="str">
        <f aca="false">IF($E451="","",IFERROR(E451/G451,""))</f>
        <v/>
      </c>
      <c r="L451" s="30" t="str">
        <f aca="false">IF($E451="","",IFERROR(E451/F451*1000,""))</f>
        <v/>
      </c>
      <c r="M451" s="37" t="str">
        <f aca="false">IF($E451="","",IFERROR(H451/G451,""))</f>
        <v/>
      </c>
      <c r="N451" s="30" t="str">
        <f aca="false">IF($E451="","",IFERROR(E451/H451,"—"))</f>
        <v/>
      </c>
      <c r="O451" s="30" t="str">
        <f aca="false">IF($E451="","",IFERROR(INDEX('Гео-калькулятор'!$K$7:$K$13,MATCH($C451,'Гео-калькулятор'!$B$7:$B$13,0)),""))</f>
        <v/>
      </c>
      <c r="P451" s="38" t="str">
        <f aca="false">IF($E451="","",IFERROR(N451/O451,""))</f>
        <v/>
      </c>
      <c r="Q451" s="39" t="str">
        <f aca="false">IF($E451="","",IF($I451&lt;&gt;"",$I451,N($H451)*IFERROR(INDEX('Гео-калькулятор'!$E$7:$E$13,MATCH($C451,'Гео-калькулятор'!$B$7:$B$13,0)),0)))</f>
        <v/>
      </c>
      <c r="R451" s="38" t="str">
        <f aca="false">IF($E451="","",IFERROR(Q451/H451,""))</f>
        <v/>
      </c>
      <c r="S451" s="30" t="str">
        <f aca="false">IF($E451="","",IFERROR(E451/Q451,"—"))</f>
        <v/>
      </c>
      <c r="T451" s="30" t="str">
        <f aca="false">IF($E451="","",Q451*IFERROR(INDEX('Гео-калькулятор'!$D$7:$D$13,MATCH($C451,'Гео-калькулятор'!$B$7:$B$13,0)),0))</f>
        <v/>
      </c>
      <c r="U451" s="40" t="str">
        <f aca="false">IF($E451="","",T451-E451)</f>
        <v/>
      </c>
      <c r="V451" s="41" t="str">
        <f aca="false">IF($E451="","",IFERROR(U451/E451,""))</f>
        <v/>
      </c>
      <c r="W451" s="10" t="str">
        <f aca="false">IF($E451="","",IF($I451&lt;&gt;"","факт","прогноз"))</f>
        <v/>
      </c>
      <c r="X451" s="1"/>
      <c r="Y451" s="1"/>
      <c r="Z451" s="1"/>
      <c r="AA451" s="1"/>
      <c r="AB451" s="1"/>
      <c r="AC451" s="1"/>
      <c r="AD451" s="1"/>
    </row>
    <row r="452" customFormat="false" ht="18" hidden="false" customHeight="true" outlineLevel="0" collapsed="false">
      <c r="A452" s="1"/>
      <c r="B452" s="35"/>
      <c r="C452" s="8"/>
      <c r="D452" s="26"/>
      <c r="E452" s="27"/>
      <c r="F452" s="36"/>
      <c r="G452" s="36"/>
      <c r="H452" s="36"/>
      <c r="I452" s="36"/>
      <c r="J452" s="37" t="str">
        <f aca="false">IF($E452="","",IFERROR(G452/F452,""))</f>
        <v/>
      </c>
      <c r="K452" s="30" t="str">
        <f aca="false">IF($E452="","",IFERROR(E452/G452,""))</f>
        <v/>
      </c>
      <c r="L452" s="30" t="str">
        <f aca="false">IF($E452="","",IFERROR(E452/F452*1000,""))</f>
        <v/>
      </c>
      <c r="M452" s="37" t="str">
        <f aca="false">IF($E452="","",IFERROR(H452/G452,""))</f>
        <v/>
      </c>
      <c r="N452" s="30" t="str">
        <f aca="false">IF($E452="","",IFERROR(E452/H452,"—"))</f>
        <v/>
      </c>
      <c r="O452" s="30" t="str">
        <f aca="false">IF($E452="","",IFERROR(INDEX('Гео-калькулятор'!$K$7:$K$13,MATCH($C452,'Гео-калькулятор'!$B$7:$B$13,0)),""))</f>
        <v/>
      </c>
      <c r="P452" s="38" t="str">
        <f aca="false">IF($E452="","",IFERROR(N452/O452,""))</f>
        <v/>
      </c>
      <c r="Q452" s="39" t="str">
        <f aca="false">IF($E452="","",IF($I452&lt;&gt;"",$I452,N($H452)*IFERROR(INDEX('Гео-калькулятор'!$E$7:$E$13,MATCH($C452,'Гео-калькулятор'!$B$7:$B$13,0)),0)))</f>
        <v/>
      </c>
      <c r="R452" s="38" t="str">
        <f aca="false">IF($E452="","",IFERROR(Q452/H452,""))</f>
        <v/>
      </c>
      <c r="S452" s="30" t="str">
        <f aca="false">IF($E452="","",IFERROR(E452/Q452,"—"))</f>
        <v/>
      </c>
      <c r="T452" s="30" t="str">
        <f aca="false">IF($E452="","",Q452*IFERROR(INDEX('Гео-калькулятор'!$D$7:$D$13,MATCH($C452,'Гео-калькулятор'!$B$7:$B$13,0)),0))</f>
        <v/>
      </c>
      <c r="U452" s="40" t="str">
        <f aca="false">IF($E452="","",T452-E452)</f>
        <v/>
      </c>
      <c r="V452" s="41" t="str">
        <f aca="false">IF($E452="","",IFERROR(U452/E452,""))</f>
        <v/>
      </c>
      <c r="W452" s="10" t="str">
        <f aca="false">IF($E452="","",IF($I452&lt;&gt;"","факт","прогноз"))</f>
        <v/>
      </c>
      <c r="X452" s="1"/>
      <c r="Y452" s="1"/>
      <c r="Z452" s="1"/>
      <c r="AA452" s="1"/>
      <c r="AB452" s="1"/>
      <c r="AC452" s="1"/>
      <c r="AD452" s="1"/>
    </row>
    <row r="453" customFormat="false" ht="18" hidden="false" customHeight="true" outlineLevel="0" collapsed="false">
      <c r="A453" s="1"/>
      <c r="B453" s="35"/>
      <c r="C453" s="8"/>
      <c r="D453" s="26"/>
      <c r="E453" s="27"/>
      <c r="F453" s="36"/>
      <c r="G453" s="36"/>
      <c r="H453" s="36"/>
      <c r="I453" s="36"/>
      <c r="J453" s="37" t="str">
        <f aca="false">IF($E453="","",IFERROR(G453/F453,""))</f>
        <v/>
      </c>
      <c r="K453" s="30" t="str">
        <f aca="false">IF($E453="","",IFERROR(E453/G453,""))</f>
        <v/>
      </c>
      <c r="L453" s="30" t="str">
        <f aca="false">IF($E453="","",IFERROR(E453/F453*1000,""))</f>
        <v/>
      </c>
      <c r="M453" s="37" t="str">
        <f aca="false">IF($E453="","",IFERROR(H453/G453,""))</f>
        <v/>
      </c>
      <c r="N453" s="30" t="str">
        <f aca="false">IF($E453="","",IFERROR(E453/H453,"—"))</f>
        <v/>
      </c>
      <c r="O453" s="30" t="str">
        <f aca="false">IF($E453="","",IFERROR(INDEX('Гео-калькулятор'!$K$7:$K$13,MATCH($C453,'Гео-калькулятор'!$B$7:$B$13,0)),""))</f>
        <v/>
      </c>
      <c r="P453" s="38" t="str">
        <f aca="false">IF($E453="","",IFERROR(N453/O453,""))</f>
        <v/>
      </c>
      <c r="Q453" s="39" t="str">
        <f aca="false">IF($E453="","",IF($I453&lt;&gt;"",$I453,N($H453)*IFERROR(INDEX('Гео-калькулятор'!$E$7:$E$13,MATCH($C453,'Гео-калькулятор'!$B$7:$B$13,0)),0)))</f>
        <v/>
      </c>
      <c r="R453" s="38" t="str">
        <f aca="false">IF($E453="","",IFERROR(Q453/H453,""))</f>
        <v/>
      </c>
      <c r="S453" s="30" t="str">
        <f aca="false">IF($E453="","",IFERROR(E453/Q453,"—"))</f>
        <v/>
      </c>
      <c r="T453" s="30" t="str">
        <f aca="false">IF($E453="","",Q453*IFERROR(INDEX('Гео-калькулятор'!$D$7:$D$13,MATCH($C453,'Гео-калькулятор'!$B$7:$B$13,0)),0))</f>
        <v/>
      </c>
      <c r="U453" s="40" t="str">
        <f aca="false">IF($E453="","",T453-E453)</f>
        <v/>
      </c>
      <c r="V453" s="41" t="str">
        <f aca="false">IF($E453="","",IFERROR(U453/E453,""))</f>
        <v/>
      </c>
      <c r="W453" s="10" t="str">
        <f aca="false">IF($E453="","",IF($I453&lt;&gt;"","факт","прогноз"))</f>
        <v/>
      </c>
      <c r="X453" s="1"/>
      <c r="Y453" s="1"/>
      <c r="Z453" s="1"/>
      <c r="AA453" s="1"/>
      <c r="AB453" s="1"/>
      <c r="AC453" s="1"/>
      <c r="AD453" s="1"/>
    </row>
    <row r="454" customFormat="false" ht="18" hidden="false" customHeight="true" outlineLevel="0" collapsed="false">
      <c r="A454" s="1"/>
      <c r="B454" s="35"/>
      <c r="C454" s="8"/>
      <c r="D454" s="26"/>
      <c r="E454" s="27"/>
      <c r="F454" s="36"/>
      <c r="G454" s="36"/>
      <c r="H454" s="36"/>
      <c r="I454" s="36"/>
      <c r="J454" s="37" t="str">
        <f aca="false">IF($E454="","",IFERROR(G454/F454,""))</f>
        <v/>
      </c>
      <c r="K454" s="30" t="str">
        <f aca="false">IF($E454="","",IFERROR(E454/G454,""))</f>
        <v/>
      </c>
      <c r="L454" s="30" t="str">
        <f aca="false">IF($E454="","",IFERROR(E454/F454*1000,""))</f>
        <v/>
      </c>
      <c r="M454" s="37" t="str">
        <f aca="false">IF($E454="","",IFERROR(H454/G454,""))</f>
        <v/>
      </c>
      <c r="N454" s="30" t="str">
        <f aca="false">IF($E454="","",IFERROR(E454/H454,"—"))</f>
        <v/>
      </c>
      <c r="O454" s="30" t="str">
        <f aca="false">IF($E454="","",IFERROR(INDEX('Гео-калькулятор'!$K$7:$K$13,MATCH($C454,'Гео-калькулятор'!$B$7:$B$13,0)),""))</f>
        <v/>
      </c>
      <c r="P454" s="38" t="str">
        <f aca="false">IF($E454="","",IFERROR(N454/O454,""))</f>
        <v/>
      </c>
      <c r="Q454" s="39" t="str">
        <f aca="false">IF($E454="","",IF($I454&lt;&gt;"",$I454,N($H454)*IFERROR(INDEX('Гео-калькулятор'!$E$7:$E$13,MATCH($C454,'Гео-калькулятор'!$B$7:$B$13,0)),0)))</f>
        <v/>
      </c>
      <c r="R454" s="38" t="str">
        <f aca="false">IF($E454="","",IFERROR(Q454/H454,""))</f>
        <v/>
      </c>
      <c r="S454" s="30" t="str">
        <f aca="false">IF($E454="","",IFERROR(E454/Q454,"—"))</f>
        <v/>
      </c>
      <c r="T454" s="30" t="str">
        <f aca="false">IF($E454="","",Q454*IFERROR(INDEX('Гео-калькулятор'!$D$7:$D$13,MATCH($C454,'Гео-калькулятор'!$B$7:$B$13,0)),0))</f>
        <v/>
      </c>
      <c r="U454" s="40" t="str">
        <f aca="false">IF($E454="","",T454-E454)</f>
        <v/>
      </c>
      <c r="V454" s="41" t="str">
        <f aca="false">IF($E454="","",IFERROR(U454/E454,""))</f>
        <v/>
      </c>
      <c r="W454" s="10" t="str">
        <f aca="false">IF($E454="","",IF($I454&lt;&gt;"","факт","прогноз"))</f>
        <v/>
      </c>
      <c r="X454" s="1"/>
      <c r="Y454" s="1"/>
      <c r="Z454" s="1"/>
      <c r="AA454" s="1"/>
      <c r="AB454" s="1"/>
      <c r="AC454" s="1"/>
      <c r="AD454" s="1"/>
    </row>
    <row r="455" customFormat="false" ht="18" hidden="false" customHeight="true" outlineLevel="0" collapsed="false">
      <c r="A455" s="1"/>
      <c r="B455" s="35"/>
      <c r="C455" s="8"/>
      <c r="D455" s="26"/>
      <c r="E455" s="27"/>
      <c r="F455" s="36"/>
      <c r="G455" s="36"/>
      <c r="H455" s="36"/>
      <c r="I455" s="36"/>
      <c r="J455" s="37" t="str">
        <f aca="false">IF($E455="","",IFERROR(G455/F455,""))</f>
        <v/>
      </c>
      <c r="K455" s="30" t="str">
        <f aca="false">IF($E455="","",IFERROR(E455/G455,""))</f>
        <v/>
      </c>
      <c r="L455" s="30" t="str">
        <f aca="false">IF($E455="","",IFERROR(E455/F455*1000,""))</f>
        <v/>
      </c>
      <c r="M455" s="37" t="str">
        <f aca="false">IF($E455="","",IFERROR(H455/G455,""))</f>
        <v/>
      </c>
      <c r="N455" s="30" t="str">
        <f aca="false">IF($E455="","",IFERROR(E455/H455,"—"))</f>
        <v/>
      </c>
      <c r="O455" s="30" t="str">
        <f aca="false">IF($E455="","",IFERROR(INDEX('Гео-калькулятор'!$K$7:$K$13,MATCH($C455,'Гео-калькулятор'!$B$7:$B$13,0)),""))</f>
        <v/>
      </c>
      <c r="P455" s="38" t="str">
        <f aca="false">IF($E455="","",IFERROR(N455/O455,""))</f>
        <v/>
      </c>
      <c r="Q455" s="39" t="str">
        <f aca="false">IF($E455="","",IF($I455&lt;&gt;"",$I455,N($H455)*IFERROR(INDEX('Гео-калькулятор'!$E$7:$E$13,MATCH($C455,'Гео-калькулятор'!$B$7:$B$13,0)),0)))</f>
        <v/>
      </c>
      <c r="R455" s="38" t="str">
        <f aca="false">IF($E455="","",IFERROR(Q455/H455,""))</f>
        <v/>
      </c>
      <c r="S455" s="30" t="str">
        <f aca="false">IF($E455="","",IFERROR(E455/Q455,"—"))</f>
        <v/>
      </c>
      <c r="T455" s="30" t="str">
        <f aca="false">IF($E455="","",Q455*IFERROR(INDEX('Гео-калькулятор'!$D$7:$D$13,MATCH($C455,'Гео-калькулятор'!$B$7:$B$13,0)),0))</f>
        <v/>
      </c>
      <c r="U455" s="40" t="str">
        <f aca="false">IF($E455="","",T455-E455)</f>
        <v/>
      </c>
      <c r="V455" s="41" t="str">
        <f aca="false">IF($E455="","",IFERROR(U455/E455,""))</f>
        <v/>
      </c>
      <c r="W455" s="10" t="str">
        <f aca="false">IF($E455="","",IF($I455&lt;&gt;"","факт","прогноз"))</f>
        <v/>
      </c>
      <c r="X455" s="1"/>
      <c r="Y455" s="1"/>
      <c r="Z455" s="1"/>
      <c r="AA455" s="1"/>
      <c r="AB455" s="1"/>
      <c r="AC455" s="1"/>
      <c r="AD455" s="1"/>
    </row>
    <row r="456" customFormat="false" ht="18" hidden="false" customHeight="true" outlineLevel="0" collapsed="false">
      <c r="A456" s="1"/>
      <c r="B456" s="35"/>
      <c r="C456" s="8"/>
      <c r="D456" s="26"/>
      <c r="E456" s="27"/>
      <c r="F456" s="36"/>
      <c r="G456" s="36"/>
      <c r="H456" s="36"/>
      <c r="I456" s="36"/>
      <c r="J456" s="37" t="str">
        <f aca="false">IF($E456="","",IFERROR(G456/F456,""))</f>
        <v/>
      </c>
      <c r="K456" s="30" t="str">
        <f aca="false">IF($E456="","",IFERROR(E456/G456,""))</f>
        <v/>
      </c>
      <c r="L456" s="30" t="str">
        <f aca="false">IF($E456="","",IFERROR(E456/F456*1000,""))</f>
        <v/>
      </c>
      <c r="M456" s="37" t="str">
        <f aca="false">IF($E456="","",IFERROR(H456/G456,""))</f>
        <v/>
      </c>
      <c r="N456" s="30" t="str">
        <f aca="false">IF($E456="","",IFERROR(E456/H456,"—"))</f>
        <v/>
      </c>
      <c r="O456" s="30" t="str">
        <f aca="false">IF($E456="","",IFERROR(INDEX('Гео-калькулятор'!$K$7:$K$13,MATCH($C456,'Гео-калькулятор'!$B$7:$B$13,0)),""))</f>
        <v/>
      </c>
      <c r="P456" s="38" t="str">
        <f aca="false">IF($E456="","",IFERROR(N456/O456,""))</f>
        <v/>
      </c>
      <c r="Q456" s="39" t="str">
        <f aca="false">IF($E456="","",IF($I456&lt;&gt;"",$I456,N($H456)*IFERROR(INDEX('Гео-калькулятор'!$E$7:$E$13,MATCH($C456,'Гео-калькулятор'!$B$7:$B$13,0)),0)))</f>
        <v/>
      </c>
      <c r="R456" s="38" t="str">
        <f aca="false">IF($E456="","",IFERROR(Q456/H456,""))</f>
        <v/>
      </c>
      <c r="S456" s="30" t="str">
        <f aca="false">IF($E456="","",IFERROR(E456/Q456,"—"))</f>
        <v/>
      </c>
      <c r="T456" s="30" t="str">
        <f aca="false">IF($E456="","",Q456*IFERROR(INDEX('Гео-калькулятор'!$D$7:$D$13,MATCH($C456,'Гео-калькулятор'!$B$7:$B$13,0)),0))</f>
        <v/>
      </c>
      <c r="U456" s="40" t="str">
        <f aca="false">IF($E456="","",T456-E456)</f>
        <v/>
      </c>
      <c r="V456" s="41" t="str">
        <f aca="false">IF($E456="","",IFERROR(U456/E456,""))</f>
        <v/>
      </c>
      <c r="W456" s="10" t="str">
        <f aca="false">IF($E456="","",IF($I456&lt;&gt;"","факт","прогноз"))</f>
        <v/>
      </c>
      <c r="X456" s="1"/>
      <c r="Y456" s="1"/>
      <c r="Z456" s="1"/>
      <c r="AA456" s="1"/>
      <c r="AB456" s="1"/>
      <c r="AC456" s="1"/>
      <c r="AD456" s="1"/>
    </row>
    <row r="457" customFormat="false" ht="18" hidden="false" customHeight="true" outlineLevel="0" collapsed="false">
      <c r="A457" s="1"/>
      <c r="B457" s="35"/>
      <c r="C457" s="8"/>
      <c r="D457" s="26"/>
      <c r="E457" s="27"/>
      <c r="F457" s="36"/>
      <c r="G457" s="36"/>
      <c r="H457" s="36"/>
      <c r="I457" s="36"/>
      <c r="J457" s="37" t="str">
        <f aca="false">IF($E457="","",IFERROR(G457/F457,""))</f>
        <v/>
      </c>
      <c r="K457" s="30" t="str">
        <f aca="false">IF($E457="","",IFERROR(E457/G457,""))</f>
        <v/>
      </c>
      <c r="L457" s="30" t="str">
        <f aca="false">IF($E457="","",IFERROR(E457/F457*1000,""))</f>
        <v/>
      </c>
      <c r="M457" s="37" t="str">
        <f aca="false">IF($E457="","",IFERROR(H457/G457,""))</f>
        <v/>
      </c>
      <c r="N457" s="30" t="str">
        <f aca="false">IF($E457="","",IFERROR(E457/H457,"—"))</f>
        <v/>
      </c>
      <c r="O457" s="30" t="str">
        <f aca="false">IF($E457="","",IFERROR(INDEX('Гео-калькулятор'!$K$7:$K$13,MATCH($C457,'Гео-калькулятор'!$B$7:$B$13,0)),""))</f>
        <v/>
      </c>
      <c r="P457" s="38" t="str">
        <f aca="false">IF($E457="","",IFERROR(N457/O457,""))</f>
        <v/>
      </c>
      <c r="Q457" s="39" t="str">
        <f aca="false">IF($E457="","",IF($I457&lt;&gt;"",$I457,N($H457)*IFERROR(INDEX('Гео-калькулятор'!$E$7:$E$13,MATCH($C457,'Гео-калькулятор'!$B$7:$B$13,0)),0)))</f>
        <v/>
      </c>
      <c r="R457" s="38" t="str">
        <f aca="false">IF($E457="","",IFERROR(Q457/H457,""))</f>
        <v/>
      </c>
      <c r="S457" s="30" t="str">
        <f aca="false">IF($E457="","",IFERROR(E457/Q457,"—"))</f>
        <v/>
      </c>
      <c r="T457" s="30" t="str">
        <f aca="false">IF($E457="","",Q457*IFERROR(INDEX('Гео-калькулятор'!$D$7:$D$13,MATCH($C457,'Гео-калькулятор'!$B$7:$B$13,0)),0))</f>
        <v/>
      </c>
      <c r="U457" s="40" t="str">
        <f aca="false">IF($E457="","",T457-E457)</f>
        <v/>
      </c>
      <c r="V457" s="41" t="str">
        <f aca="false">IF($E457="","",IFERROR(U457/E457,""))</f>
        <v/>
      </c>
      <c r="W457" s="10" t="str">
        <f aca="false">IF($E457="","",IF($I457&lt;&gt;"","факт","прогноз"))</f>
        <v/>
      </c>
      <c r="X457" s="1"/>
      <c r="Y457" s="1"/>
      <c r="Z457" s="1"/>
      <c r="AA457" s="1"/>
      <c r="AB457" s="1"/>
      <c r="AC457" s="1"/>
      <c r="AD457" s="1"/>
    </row>
    <row r="458" customFormat="false" ht="18" hidden="false" customHeight="true" outlineLevel="0" collapsed="false">
      <c r="A458" s="1"/>
      <c r="B458" s="35"/>
      <c r="C458" s="8"/>
      <c r="D458" s="26"/>
      <c r="E458" s="27"/>
      <c r="F458" s="36"/>
      <c r="G458" s="36"/>
      <c r="H458" s="36"/>
      <c r="I458" s="36"/>
      <c r="J458" s="37" t="str">
        <f aca="false">IF($E458="","",IFERROR(G458/F458,""))</f>
        <v/>
      </c>
      <c r="K458" s="30" t="str">
        <f aca="false">IF($E458="","",IFERROR(E458/G458,""))</f>
        <v/>
      </c>
      <c r="L458" s="30" t="str">
        <f aca="false">IF($E458="","",IFERROR(E458/F458*1000,""))</f>
        <v/>
      </c>
      <c r="M458" s="37" t="str">
        <f aca="false">IF($E458="","",IFERROR(H458/G458,""))</f>
        <v/>
      </c>
      <c r="N458" s="30" t="str">
        <f aca="false">IF($E458="","",IFERROR(E458/H458,"—"))</f>
        <v/>
      </c>
      <c r="O458" s="30" t="str">
        <f aca="false">IF($E458="","",IFERROR(INDEX('Гео-калькулятор'!$K$7:$K$13,MATCH($C458,'Гео-калькулятор'!$B$7:$B$13,0)),""))</f>
        <v/>
      </c>
      <c r="P458" s="38" t="str">
        <f aca="false">IF($E458="","",IFERROR(N458/O458,""))</f>
        <v/>
      </c>
      <c r="Q458" s="39" t="str">
        <f aca="false">IF($E458="","",IF($I458&lt;&gt;"",$I458,N($H458)*IFERROR(INDEX('Гео-калькулятор'!$E$7:$E$13,MATCH($C458,'Гео-калькулятор'!$B$7:$B$13,0)),0)))</f>
        <v/>
      </c>
      <c r="R458" s="38" t="str">
        <f aca="false">IF($E458="","",IFERROR(Q458/H458,""))</f>
        <v/>
      </c>
      <c r="S458" s="30" t="str">
        <f aca="false">IF($E458="","",IFERROR(E458/Q458,"—"))</f>
        <v/>
      </c>
      <c r="T458" s="30" t="str">
        <f aca="false">IF($E458="","",Q458*IFERROR(INDEX('Гео-калькулятор'!$D$7:$D$13,MATCH($C458,'Гео-калькулятор'!$B$7:$B$13,0)),0))</f>
        <v/>
      </c>
      <c r="U458" s="40" t="str">
        <f aca="false">IF($E458="","",T458-E458)</f>
        <v/>
      </c>
      <c r="V458" s="41" t="str">
        <f aca="false">IF($E458="","",IFERROR(U458/E458,""))</f>
        <v/>
      </c>
      <c r="W458" s="10" t="str">
        <f aca="false">IF($E458="","",IF($I458&lt;&gt;"","факт","прогноз"))</f>
        <v/>
      </c>
      <c r="X458" s="1"/>
      <c r="Y458" s="1"/>
      <c r="Z458" s="1"/>
      <c r="AA458" s="1"/>
      <c r="AB458" s="1"/>
      <c r="AC458" s="1"/>
      <c r="AD458" s="1"/>
    </row>
    <row r="459" customFormat="false" ht="18" hidden="false" customHeight="true" outlineLevel="0" collapsed="false">
      <c r="A459" s="1"/>
      <c r="B459" s="35"/>
      <c r="C459" s="8"/>
      <c r="D459" s="26"/>
      <c r="E459" s="27"/>
      <c r="F459" s="36"/>
      <c r="G459" s="36"/>
      <c r="H459" s="36"/>
      <c r="I459" s="36"/>
      <c r="J459" s="37" t="str">
        <f aca="false">IF($E459="","",IFERROR(G459/F459,""))</f>
        <v/>
      </c>
      <c r="K459" s="30" t="str">
        <f aca="false">IF($E459="","",IFERROR(E459/G459,""))</f>
        <v/>
      </c>
      <c r="L459" s="30" t="str">
        <f aca="false">IF($E459="","",IFERROR(E459/F459*1000,""))</f>
        <v/>
      </c>
      <c r="M459" s="37" t="str">
        <f aca="false">IF($E459="","",IFERROR(H459/G459,""))</f>
        <v/>
      </c>
      <c r="N459" s="30" t="str">
        <f aca="false">IF($E459="","",IFERROR(E459/H459,"—"))</f>
        <v/>
      </c>
      <c r="O459" s="30" t="str">
        <f aca="false">IF($E459="","",IFERROR(INDEX('Гео-калькулятор'!$K$7:$K$13,MATCH($C459,'Гео-калькулятор'!$B$7:$B$13,0)),""))</f>
        <v/>
      </c>
      <c r="P459" s="38" t="str">
        <f aca="false">IF($E459="","",IFERROR(N459/O459,""))</f>
        <v/>
      </c>
      <c r="Q459" s="39" t="str">
        <f aca="false">IF($E459="","",IF($I459&lt;&gt;"",$I459,N($H459)*IFERROR(INDEX('Гео-калькулятор'!$E$7:$E$13,MATCH($C459,'Гео-калькулятор'!$B$7:$B$13,0)),0)))</f>
        <v/>
      </c>
      <c r="R459" s="38" t="str">
        <f aca="false">IF($E459="","",IFERROR(Q459/H459,""))</f>
        <v/>
      </c>
      <c r="S459" s="30" t="str">
        <f aca="false">IF($E459="","",IFERROR(E459/Q459,"—"))</f>
        <v/>
      </c>
      <c r="T459" s="30" t="str">
        <f aca="false">IF($E459="","",Q459*IFERROR(INDEX('Гео-калькулятор'!$D$7:$D$13,MATCH($C459,'Гео-калькулятор'!$B$7:$B$13,0)),0))</f>
        <v/>
      </c>
      <c r="U459" s="40" t="str">
        <f aca="false">IF($E459="","",T459-E459)</f>
        <v/>
      </c>
      <c r="V459" s="41" t="str">
        <f aca="false">IF($E459="","",IFERROR(U459/E459,""))</f>
        <v/>
      </c>
      <c r="W459" s="10" t="str">
        <f aca="false">IF($E459="","",IF($I459&lt;&gt;"","факт","прогноз"))</f>
        <v/>
      </c>
      <c r="X459" s="1"/>
      <c r="Y459" s="1"/>
      <c r="Z459" s="1"/>
      <c r="AA459" s="1"/>
      <c r="AB459" s="1"/>
      <c r="AC459" s="1"/>
      <c r="AD459" s="1"/>
    </row>
    <row r="460" customFormat="false" ht="18" hidden="false" customHeight="true" outlineLevel="0" collapsed="false">
      <c r="A460" s="1"/>
      <c r="B460" s="35"/>
      <c r="C460" s="8"/>
      <c r="D460" s="26"/>
      <c r="E460" s="27"/>
      <c r="F460" s="36"/>
      <c r="G460" s="36"/>
      <c r="H460" s="36"/>
      <c r="I460" s="36"/>
      <c r="J460" s="37" t="str">
        <f aca="false">IF($E460="","",IFERROR(G460/F460,""))</f>
        <v/>
      </c>
      <c r="K460" s="30" t="str">
        <f aca="false">IF($E460="","",IFERROR(E460/G460,""))</f>
        <v/>
      </c>
      <c r="L460" s="30" t="str">
        <f aca="false">IF($E460="","",IFERROR(E460/F460*1000,""))</f>
        <v/>
      </c>
      <c r="M460" s="37" t="str">
        <f aca="false">IF($E460="","",IFERROR(H460/G460,""))</f>
        <v/>
      </c>
      <c r="N460" s="30" t="str">
        <f aca="false">IF($E460="","",IFERROR(E460/H460,"—"))</f>
        <v/>
      </c>
      <c r="O460" s="30" t="str">
        <f aca="false">IF($E460="","",IFERROR(INDEX('Гео-калькулятор'!$K$7:$K$13,MATCH($C460,'Гео-калькулятор'!$B$7:$B$13,0)),""))</f>
        <v/>
      </c>
      <c r="P460" s="38" t="str">
        <f aca="false">IF($E460="","",IFERROR(N460/O460,""))</f>
        <v/>
      </c>
      <c r="Q460" s="39" t="str">
        <f aca="false">IF($E460="","",IF($I460&lt;&gt;"",$I460,N($H460)*IFERROR(INDEX('Гео-калькулятор'!$E$7:$E$13,MATCH($C460,'Гео-калькулятор'!$B$7:$B$13,0)),0)))</f>
        <v/>
      </c>
      <c r="R460" s="38" t="str">
        <f aca="false">IF($E460="","",IFERROR(Q460/H460,""))</f>
        <v/>
      </c>
      <c r="S460" s="30" t="str">
        <f aca="false">IF($E460="","",IFERROR(E460/Q460,"—"))</f>
        <v/>
      </c>
      <c r="T460" s="30" t="str">
        <f aca="false">IF($E460="","",Q460*IFERROR(INDEX('Гео-калькулятор'!$D$7:$D$13,MATCH($C460,'Гео-калькулятор'!$B$7:$B$13,0)),0))</f>
        <v/>
      </c>
      <c r="U460" s="40" t="str">
        <f aca="false">IF($E460="","",T460-E460)</f>
        <v/>
      </c>
      <c r="V460" s="41" t="str">
        <f aca="false">IF($E460="","",IFERROR(U460/E460,""))</f>
        <v/>
      </c>
      <c r="W460" s="10" t="str">
        <f aca="false">IF($E460="","",IF($I460&lt;&gt;"","факт","прогноз"))</f>
        <v/>
      </c>
      <c r="X460" s="1"/>
      <c r="Y460" s="1"/>
      <c r="Z460" s="1"/>
      <c r="AA460" s="1"/>
      <c r="AB460" s="1"/>
      <c r="AC460" s="1"/>
      <c r="AD460" s="1"/>
    </row>
    <row r="461" customFormat="false" ht="18" hidden="false" customHeight="true" outlineLevel="0" collapsed="false">
      <c r="A461" s="1"/>
      <c r="B461" s="35"/>
      <c r="C461" s="8"/>
      <c r="D461" s="26"/>
      <c r="E461" s="27"/>
      <c r="F461" s="36"/>
      <c r="G461" s="36"/>
      <c r="H461" s="36"/>
      <c r="I461" s="36"/>
      <c r="J461" s="37" t="str">
        <f aca="false">IF($E461="","",IFERROR(G461/F461,""))</f>
        <v/>
      </c>
      <c r="K461" s="30" t="str">
        <f aca="false">IF($E461="","",IFERROR(E461/G461,""))</f>
        <v/>
      </c>
      <c r="L461" s="30" t="str">
        <f aca="false">IF($E461="","",IFERROR(E461/F461*1000,""))</f>
        <v/>
      </c>
      <c r="M461" s="37" t="str">
        <f aca="false">IF($E461="","",IFERROR(H461/G461,""))</f>
        <v/>
      </c>
      <c r="N461" s="30" t="str">
        <f aca="false">IF($E461="","",IFERROR(E461/H461,"—"))</f>
        <v/>
      </c>
      <c r="O461" s="30" t="str">
        <f aca="false">IF($E461="","",IFERROR(INDEX('Гео-калькулятор'!$K$7:$K$13,MATCH($C461,'Гео-калькулятор'!$B$7:$B$13,0)),""))</f>
        <v/>
      </c>
      <c r="P461" s="38" t="str">
        <f aca="false">IF($E461="","",IFERROR(N461/O461,""))</f>
        <v/>
      </c>
      <c r="Q461" s="39" t="str">
        <f aca="false">IF($E461="","",IF($I461&lt;&gt;"",$I461,N($H461)*IFERROR(INDEX('Гео-калькулятор'!$E$7:$E$13,MATCH($C461,'Гео-калькулятор'!$B$7:$B$13,0)),0)))</f>
        <v/>
      </c>
      <c r="R461" s="38" t="str">
        <f aca="false">IF($E461="","",IFERROR(Q461/H461,""))</f>
        <v/>
      </c>
      <c r="S461" s="30" t="str">
        <f aca="false">IF($E461="","",IFERROR(E461/Q461,"—"))</f>
        <v/>
      </c>
      <c r="T461" s="30" t="str">
        <f aca="false">IF($E461="","",Q461*IFERROR(INDEX('Гео-калькулятор'!$D$7:$D$13,MATCH($C461,'Гео-калькулятор'!$B$7:$B$13,0)),0))</f>
        <v/>
      </c>
      <c r="U461" s="40" t="str">
        <f aca="false">IF($E461="","",T461-E461)</f>
        <v/>
      </c>
      <c r="V461" s="41" t="str">
        <f aca="false">IF($E461="","",IFERROR(U461/E461,""))</f>
        <v/>
      </c>
      <c r="W461" s="10" t="str">
        <f aca="false">IF($E461="","",IF($I461&lt;&gt;"","факт","прогноз"))</f>
        <v/>
      </c>
      <c r="X461" s="1"/>
      <c r="Y461" s="1"/>
      <c r="Z461" s="1"/>
      <c r="AA461" s="1"/>
      <c r="AB461" s="1"/>
      <c r="AC461" s="1"/>
      <c r="AD461" s="1"/>
    </row>
    <row r="462" customFormat="false" ht="18" hidden="false" customHeight="true" outlineLevel="0" collapsed="false">
      <c r="A462" s="1"/>
      <c r="B462" s="35"/>
      <c r="C462" s="8"/>
      <c r="D462" s="26"/>
      <c r="E462" s="27"/>
      <c r="F462" s="36"/>
      <c r="G462" s="36"/>
      <c r="H462" s="36"/>
      <c r="I462" s="36"/>
      <c r="J462" s="37" t="str">
        <f aca="false">IF($E462="","",IFERROR(G462/F462,""))</f>
        <v/>
      </c>
      <c r="K462" s="30" t="str">
        <f aca="false">IF($E462="","",IFERROR(E462/G462,""))</f>
        <v/>
      </c>
      <c r="L462" s="30" t="str">
        <f aca="false">IF($E462="","",IFERROR(E462/F462*1000,""))</f>
        <v/>
      </c>
      <c r="M462" s="37" t="str">
        <f aca="false">IF($E462="","",IFERROR(H462/G462,""))</f>
        <v/>
      </c>
      <c r="N462" s="30" t="str">
        <f aca="false">IF($E462="","",IFERROR(E462/H462,"—"))</f>
        <v/>
      </c>
      <c r="O462" s="30" t="str">
        <f aca="false">IF($E462="","",IFERROR(INDEX('Гео-калькулятор'!$K$7:$K$13,MATCH($C462,'Гео-калькулятор'!$B$7:$B$13,0)),""))</f>
        <v/>
      </c>
      <c r="P462" s="38" t="str">
        <f aca="false">IF($E462="","",IFERROR(N462/O462,""))</f>
        <v/>
      </c>
      <c r="Q462" s="39" t="str">
        <f aca="false">IF($E462="","",IF($I462&lt;&gt;"",$I462,N($H462)*IFERROR(INDEX('Гео-калькулятор'!$E$7:$E$13,MATCH($C462,'Гео-калькулятор'!$B$7:$B$13,0)),0)))</f>
        <v/>
      </c>
      <c r="R462" s="38" t="str">
        <f aca="false">IF($E462="","",IFERROR(Q462/H462,""))</f>
        <v/>
      </c>
      <c r="S462" s="30" t="str">
        <f aca="false">IF($E462="","",IFERROR(E462/Q462,"—"))</f>
        <v/>
      </c>
      <c r="T462" s="30" t="str">
        <f aca="false">IF($E462="","",Q462*IFERROR(INDEX('Гео-калькулятор'!$D$7:$D$13,MATCH($C462,'Гео-калькулятор'!$B$7:$B$13,0)),0))</f>
        <v/>
      </c>
      <c r="U462" s="40" t="str">
        <f aca="false">IF($E462="","",T462-E462)</f>
        <v/>
      </c>
      <c r="V462" s="41" t="str">
        <f aca="false">IF($E462="","",IFERROR(U462/E462,""))</f>
        <v/>
      </c>
      <c r="W462" s="10" t="str">
        <f aca="false">IF($E462="","",IF($I462&lt;&gt;"","факт","прогноз"))</f>
        <v/>
      </c>
      <c r="X462" s="1"/>
      <c r="Y462" s="1"/>
      <c r="Z462" s="1"/>
      <c r="AA462" s="1"/>
      <c r="AB462" s="1"/>
      <c r="AC462" s="1"/>
      <c r="AD462" s="1"/>
    </row>
    <row r="463" customFormat="false" ht="18" hidden="false" customHeight="true" outlineLevel="0" collapsed="false">
      <c r="A463" s="1"/>
      <c r="B463" s="35"/>
      <c r="C463" s="8"/>
      <c r="D463" s="26"/>
      <c r="E463" s="27"/>
      <c r="F463" s="36"/>
      <c r="G463" s="36"/>
      <c r="H463" s="36"/>
      <c r="I463" s="36"/>
      <c r="J463" s="37" t="str">
        <f aca="false">IF($E463="","",IFERROR(G463/F463,""))</f>
        <v/>
      </c>
      <c r="K463" s="30" t="str">
        <f aca="false">IF($E463="","",IFERROR(E463/G463,""))</f>
        <v/>
      </c>
      <c r="L463" s="30" t="str">
        <f aca="false">IF($E463="","",IFERROR(E463/F463*1000,""))</f>
        <v/>
      </c>
      <c r="M463" s="37" t="str">
        <f aca="false">IF($E463="","",IFERROR(H463/G463,""))</f>
        <v/>
      </c>
      <c r="N463" s="30" t="str">
        <f aca="false">IF($E463="","",IFERROR(E463/H463,"—"))</f>
        <v/>
      </c>
      <c r="O463" s="30" t="str">
        <f aca="false">IF($E463="","",IFERROR(INDEX('Гео-калькулятор'!$K$7:$K$13,MATCH($C463,'Гео-калькулятор'!$B$7:$B$13,0)),""))</f>
        <v/>
      </c>
      <c r="P463" s="38" t="str">
        <f aca="false">IF($E463="","",IFERROR(N463/O463,""))</f>
        <v/>
      </c>
      <c r="Q463" s="39" t="str">
        <f aca="false">IF($E463="","",IF($I463&lt;&gt;"",$I463,N($H463)*IFERROR(INDEX('Гео-калькулятор'!$E$7:$E$13,MATCH($C463,'Гео-калькулятор'!$B$7:$B$13,0)),0)))</f>
        <v/>
      </c>
      <c r="R463" s="38" t="str">
        <f aca="false">IF($E463="","",IFERROR(Q463/H463,""))</f>
        <v/>
      </c>
      <c r="S463" s="30" t="str">
        <f aca="false">IF($E463="","",IFERROR(E463/Q463,"—"))</f>
        <v/>
      </c>
      <c r="T463" s="30" t="str">
        <f aca="false">IF($E463="","",Q463*IFERROR(INDEX('Гео-калькулятор'!$D$7:$D$13,MATCH($C463,'Гео-калькулятор'!$B$7:$B$13,0)),0))</f>
        <v/>
      </c>
      <c r="U463" s="40" t="str">
        <f aca="false">IF($E463="","",T463-E463)</f>
        <v/>
      </c>
      <c r="V463" s="41" t="str">
        <f aca="false">IF($E463="","",IFERROR(U463/E463,""))</f>
        <v/>
      </c>
      <c r="W463" s="10" t="str">
        <f aca="false">IF($E463="","",IF($I463&lt;&gt;"","факт","прогноз"))</f>
        <v/>
      </c>
      <c r="X463" s="1"/>
      <c r="Y463" s="1"/>
      <c r="Z463" s="1"/>
      <c r="AA463" s="1"/>
      <c r="AB463" s="1"/>
      <c r="AC463" s="1"/>
      <c r="AD463" s="1"/>
    </row>
    <row r="464" customFormat="false" ht="18" hidden="false" customHeight="true" outlineLevel="0" collapsed="false">
      <c r="A464" s="1"/>
      <c r="B464" s="35"/>
      <c r="C464" s="8"/>
      <c r="D464" s="26"/>
      <c r="E464" s="27"/>
      <c r="F464" s="36"/>
      <c r="G464" s="36"/>
      <c r="H464" s="36"/>
      <c r="I464" s="36"/>
      <c r="J464" s="37" t="str">
        <f aca="false">IF($E464="","",IFERROR(G464/F464,""))</f>
        <v/>
      </c>
      <c r="K464" s="30" t="str">
        <f aca="false">IF($E464="","",IFERROR(E464/G464,""))</f>
        <v/>
      </c>
      <c r="L464" s="30" t="str">
        <f aca="false">IF($E464="","",IFERROR(E464/F464*1000,""))</f>
        <v/>
      </c>
      <c r="M464" s="37" t="str">
        <f aca="false">IF($E464="","",IFERROR(H464/G464,""))</f>
        <v/>
      </c>
      <c r="N464" s="30" t="str">
        <f aca="false">IF($E464="","",IFERROR(E464/H464,"—"))</f>
        <v/>
      </c>
      <c r="O464" s="30" t="str">
        <f aca="false">IF($E464="","",IFERROR(INDEX('Гео-калькулятор'!$K$7:$K$13,MATCH($C464,'Гео-калькулятор'!$B$7:$B$13,0)),""))</f>
        <v/>
      </c>
      <c r="P464" s="38" t="str">
        <f aca="false">IF($E464="","",IFERROR(N464/O464,""))</f>
        <v/>
      </c>
      <c r="Q464" s="39" t="str">
        <f aca="false">IF($E464="","",IF($I464&lt;&gt;"",$I464,N($H464)*IFERROR(INDEX('Гео-калькулятор'!$E$7:$E$13,MATCH($C464,'Гео-калькулятор'!$B$7:$B$13,0)),0)))</f>
        <v/>
      </c>
      <c r="R464" s="38" t="str">
        <f aca="false">IF($E464="","",IFERROR(Q464/H464,""))</f>
        <v/>
      </c>
      <c r="S464" s="30" t="str">
        <f aca="false">IF($E464="","",IFERROR(E464/Q464,"—"))</f>
        <v/>
      </c>
      <c r="T464" s="30" t="str">
        <f aca="false">IF($E464="","",Q464*IFERROR(INDEX('Гео-калькулятор'!$D$7:$D$13,MATCH($C464,'Гео-калькулятор'!$B$7:$B$13,0)),0))</f>
        <v/>
      </c>
      <c r="U464" s="40" t="str">
        <f aca="false">IF($E464="","",T464-E464)</f>
        <v/>
      </c>
      <c r="V464" s="41" t="str">
        <f aca="false">IF($E464="","",IFERROR(U464/E464,""))</f>
        <v/>
      </c>
      <c r="W464" s="10" t="str">
        <f aca="false">IF($E464="","",IF($I464&lt;&gt;"","факт","прогноз"))</f>
        <v/>
      </c>
      <c r="X464" s="1"/>
      <c r="Y464" s="1"/>
      <c r="Z464" s="1"/>
      <c r="AA464" s="1"/>
      <c r="AB464" s="1"/>
      <c r="AC464" s="1"/>
      <c r="AD464" s="1"/>
    </row>
    <row r="465" customFormat="false" ht="18" hidden="false" customHeight="true" outlineLevel="0" collapsed="false">
      <c r="A465" s="1"/>
      <c r="B465" s="35"/>
      <c r="C465" s="8"/>
      <c r="D465" s="26"/>
      <c r="E465" s="27"/>
      <c r="F465" s="36"/>
      <c r="G465" s="36"/>
      <c r="H465" s="36"/>
      <c r="I465" s="36"/>
      <c r="J465" s="37" t="str">
        <f aca="false">IF($E465="","",IFERROR(G465/F465,""))</f>
        <v/>
      </c>
      <c r="K465" s="30" t="str">
        <f aca="false">IF($E465="","",IFERROR(E465/G465,""))</f>
        <v/>
      </c>
      <c r="L465" s="30" t="str">
        <f aca="false">IF($E465="","",IFERROR(E465/F465*1000,""))</f>
        <v/>
      </c>
      <c r="M465" s="37" t="str">
        <f aca="false">IF($E465="","",IFERROR(H465/G465,""))</f>
        <v/>
      </c>
      <c r="N465" s="30" t="str">
        <f aca="false">IF($E465="","",IFERROR(E465/H465,"—"))</f>
        <v/>
      </c>
      <c r="O465" s="30" t="str">
        <f aca="false">IF($E465="","",IFERROR(INDEX('Гео-калькулятор'!$K$7:$K$13,MATCH($C465,'Гео-калькулятор'!$B$7:$B$13,0)),""))</f>
        <v/>
      </c>
      <c r="P465" s="38" t="str">
        <f aca="false">IF($E465="","",IFERROR(N465/O465,""))</f>
        <v/>
      </c>
      <c r="Q465" s="39" t="str">
        <f aca="false">IF($E465="","",IF($I465&lt;&gt;"",$I465,N($H465)*IFERROR(INDEX('Гео-калькулятор'!$E$7:$E$13,MATCH($C465,'Гео-калькулятор'!$B$7:$B$13,0)),0)))</f>
        <v/>
      </c>
      <c r="R465" s="38" t="str">
        <f aca="false">IF($E465="","",IFERROR(Q465/H465,""))</f>
        <v/>
      </c>
      <c r="S465" s="30" t="str">
        <f aca="false">IF($E465="","",IFERROR(E465/Q465,"—"))</f>
        <v/>
      </c>
      <c r="T465" s="30" t="str">
        <f aca="false">IF($E465="","",Q465*IFERROR(INDEX('Гео-калькулятор'!$D$7:$D$13,MATCH($C465,'Гео-калькулятор'!$B$7:$B$13,0)),0))</f>
        <v/>
      </c>
      <c r="U465" s="40" t="str">
        <f aca="false">IF($E465="","",T465-E465)</f>
        <v/>
      </c>
      <c r="V465" s="41" t="str">
        <f aca="false">IF($E465="","",IFERROR(U465/E465,""))</f>
        <v/>
      </c>
      <c r="W465" s="10" t="str">
        <f aca="false">IF($E465="","",IF($I465&lt;&gt;"","факт","прогноз"))</f>
        <v/>
      </c>
      <c r="X465" s="1"/>
      <c r="Y465" s="1"/>
      <c r="Z465" s="1"/>
      <c r="AA465" s="1"/>
      <c r="AB465" s="1"/>
      <c r="AC465" s="1"/>
      <c r="AD465" s="1"/>
    </row>
    <row r="466" customFormat="false" ht="18" hidden="false" customHeight="true" outlineLevel="0" collapsed="false">
      <c r="A466" s="1"/>
      <c r="B466" s="35"/>
      <c r="C466" s="8"/>
      <c r="D466" s="26"/>
      <c r="E466" s="27"/>
      <c r="F466" s="36"/>
      <c r="G466" s="36"/>
      <c r="H466" s="36"/>
      <c r="I466" s="36"/>
      <c r="J466" s="37" t="str">
        <f aca="false">IF($E466="","",IFERROR(G466/F466,""))</f>
        <v/>
      </c>
      <c r="K466" s="30" t="str">
        <f aca="false">IF($E466="","",IFERROR(E466/G466,""))</f>
        <v/>
      </c>
      <c r="L466" s="30" t="str">
        <f aca="false">IF($E466="","",IFERROR(E466/F466*1000,""))</f>
        <v/>
      </c>
      <c r="M466" s="37" t="str">
        <f aca="false">IF($E466="","",IFERROR(H466/G466,""))</f>
        <v/>
      </c>
      <c r="N466" s="30" t="str">
        <f aca="false">IF($E466="","",IFERROR(E466/H466,"—"))</f>
        <v/>
      </c>
      <c r="O466" s="30" t="str">
        <f aca="false">IF($E466="","",IFERROR(INDEX('Гео-калькулятор'!$K$7:$K$13,MATCH($C466,'Гео-калькулятор'!$B$7:$B$13,0)),""))</f>
        <v/>
      </c>
      <c r="P466" s="38" t="str">
        <f aca="false">IF($E466="","",IFERROR(N466/O466,""))</f>
        <v/>
      </c>
      <c r="Q466" s="39" t="str">
        <f aca="false">IF($E466="","",IF($I466&lt;&gt;"",$I466,N($H466)*IFERROR(INDEX('Гео-калькулятор'!$E$7:$E$13,MATCH($C466,'Гео-калькулятор'!$B$7:$B$13,0)),0)))</f>
        <v/>
      </c>
      <c r="R466" s="38" t="str">
        <f aca="false">IF($E466="","",IFERROR(Q466/H466,""))</f>
        <v/>
      </c>
      <c r="S466" s="30" t="str">
        <f aca="false">IF($E466="","",IFERROR(E466/Q466,"—"))</f>
        <v/>
      </c>
      <c r="T466" s="30" t="str">
        <f aca="false">IF($E466="","",Q466*IFERROR(INDEX('Гео-калькулятор'!$D$7:$D$13,MATCH($C466,'Гео-калькулятор'!$B$7:$B$13,0)),0))</f>
        <v/>
      </c>
      <c r="U466" s="40" t="str">
        <f aca="false">IF($E466="","",T466-E466)</f>
        <v/>
      </c>
      <c r="V466" s="41" t="str">
        <f aca="false">IF($E466="","",IFERROR(U466/E466,""))</f>
        <v/>
      </c>
      <c r="W466" s="10" t="str">
        <f aca="false">IF($E466="","",IF($I466&lt;&gt;"","факт","прогноз"))</f>
        <v/>
      </c>
      <c r="X466" s="1"/>
      <c r="Y466" s="1"/>
      <c r="Z466" s="1"/>
      <c r="AA466" s="1"/>
      <c r="AB466" s="1"/>
      <c r="AC466" s="1"/>
      <c r="AD466" s="1"/>
    </row>
    <row r="467" customFormat="false" ht="18" hidden="false" customHeight="true" outlineLevel="0" collapsed="false">
      <c r="A467" s="1"/>
      <c r="B467" s="35"/>
      <c r="C467" s="8"/>
      <c r="D467" s="26"/>
      <c r="E467" s="27"/>
      <c r="F467" s="36"/>
      <c r="G467" s="36"/>
      <c r="H467" s="36"/>
      <c r="I467" s="36"/>
      <c r="J467" s="37" t="str">
        <f aca="false">IF($E467="","",IFERROR(G467/F467,""))</f>
        <v/>
      </c>
      <c r="K467" s="30" t="str">
        <f aca="false">IF($E467="","",IFERROR(E467/G467,""))</f>
        <v/>
      </c>
      <c r="L467" s="30" t="str">
        <f aca="false">IF($E467="","",IFERROR(E467/F467*1000,""))</f>
        <v/>
      </c>
      <c r="M467" s="37" t="str">
        <f aca="false">IF($E467="","",IFERROR(H467/G467,""))</f>
        <v/>
      </c>
      <c r="N467" s="30" t="str">
        <f aca="false">IF($E467="","",IFERROR(E467/H467,"—"))</f>
        <v/>
      </c>
      <c r="O467" s="30" t="str">
        <f aca="false">IF($E467="","",IFERROR(INDEX('Гео-калькулятор'!$K$7:$K$13,MATCH($C467,'Гео-калькулятор'!$B$7:$B$13,0)),""))</f>
        <v/>
      </c>
      <c r="P467" s="38" t="str">
        <f aca="false">IF($E467="","",IFERROR(N467/O467,""))</f>
        <v/>
      </c>
      <c r="Q467" s="39" t="str">
        <f aca="false">IF($E467="","",IF($I467&lt;&gt;"",$I467,N($H467)*IFERROR(INDEX('Гео-калькулятор'!$E$7:$E$13,MATCH($C467,'Гео-калькулятор'!$B$7:$B$13,0)),0)))</f>
        <v/>
      </c>
      <c r="R467" s="38" t="str">
        <f aca="false">IF($E467="","",IFERROR(Q467/H467,""))</f>
        <v/>
      </c>
      <c r="S467" s="30" t="str">
        <f aca="false">IF($E467="","",IFERROR(E467/Q467,"—"))</f>
        <v/>
      </c>
      <c r="T467" s="30" t="str">
        <f aca="false">IF($E467="","",Q467*IFERROR(INDEX('Гео-калькулятор'!$D$7:$D$13,MATCH($C467,'Гео-калькулятор'!$B$7:$B$13,0)),0))</f>
        <v/>
      </c>
      <c r="U467" s="40" t="str">
        <f aca="false">IF($E467="","",T467-E467)</f>
        <v/>
      </c>
      <c r="V467" s="41" t="str">
        <f aca="false">IF($E467="","",IFERROR(U467/E467,""))</f>
        <v/>
      </c>
      <c r="W467" s="10" t="str">
        <f aca="false">IF($E467="","",IF($I467&lt;&gt;"","факт","прогноз"))</f>
        <v/>
      </c>
      <c r="X467" s="1"/>
      <c r="Y467" s="1"/>
      <c r="Z467" s="1"/>
      <c r="AA467" s="1"/>
      <c r="AB467" s="1"/>
      <c r="AC467" s="1"/>
      <c r="AD467" s="1"/>
    </row>
    <row r="468" customFormat="false" ht="18" hidden="false" customHeight="true" outlineLevel="0" collapsed="false">
      <c r="A468" s="1"/>
      <c r="B468" s="35"/>
      <c r="C468" s="8"/>
      <c r="D468" s="26"/>
      <c r="E468" s="27"/>
      <c r="F468" s="36"/>
      <c r="G468" s="36"/>
      <c r="H468" s="36"/>
      <c r="I468" s="36"/>
      <c r="J468" s="37" t="str">
        <f aca="false">IF($E468="","",IFERROR(G468/F468,""))</f>
        <v/>
      </c>
      <c r="K468" s="30" t="str">
        <f aca="false">IF($E468="","",IFERROR(E468/G468,""))</f>
        <v/>
      </c>
      <c r="L468" s="30" t="str">
        <f aca="false">IF($E468="","",IFERROR(E468/F468*1000,""))</f>
        <v/>
      </c>
      <c r="M468" s="37" t="str">
        <f aca="false">IF($E468="","",IFERROR(H468/G468,""))</f>
        <v/>
      </c>
      <c r="N468" s="30" t="str">
        <f aca="false">IF($E468="","",IFERROR(E468/H468,"—"))</f>
        <v/>
      </c>
      <c r="O468" s="30" t="str">
        <f aca="false">IF($E468="","",IFERROR(INDEX('Гео-калькулятор'!$K$7:$K$13,MATCH($C468,'Гео-калькулятор'!$B$7:$B$13,0)),""))</f>
        <v/>
      </c>
      <c r="P468" s="38" t="str">
        <f aca="false">IF($E468="","",IFERROR(N468/O468,""))</f>
        <v/>
      </c>
      <c r="Q468" s="39" t="str">
        <f aca="false">IF($E468="","",IF($I468&lt;&gt;"",$I468,N($H468)*IFERROR(INDEX('Гео-калькулятор'!$E$7:$E$13,MATCH($C468,'Гео-калькулятор'!$B$7:$B$13,0)),0)))</f>
        <v/>
      </c>
      <c r="R468" s="38" t="str">
        <f aca="false">IF($E468="","",IFERROR(Q468/H468,""))</f>
        <v/>
      </c>
      <c r="S468" s="30" t="str">
        <f aca="false">IF($E468="","",IFERROR(E468/Q468,"—"))</f>
        <v/>
      </c>
      <c r="T468" s="30" t="str">
        <f aca="false">IF($E468="","",Q468*IFERROR(INDEX('Гео-калькулятор'!$D$7:$D$13,MATCH($C468,'Гео-калькулятор'!$B$7:$B$13,0)),0))</f>
        <v/>
      </c>
      <c r="U468" s="40" t="str">
        <f aca="false">IF($E468="","",T468-E468)</f>
        <v/>
      </c>
      <c r="V468" s="41" t="str">
        <f aca="false">IF($E468="","",IFERROR(U468/E468,""))</f>
        <v/>
      </c>
      <c r="W468" s="10" t="str">
        <f aca="false">IF($E468="","",IF($I468&lt;&gt;"","факт","прогноз"))</f>
        <v/>
      </c>
      <c r="X468" s="1"/>
      <c r="Y468" s="1"/>
      <c r="Z468" s="1"/>
      <c r="AA468" s="1"/>
      <c r="AB468" s="1"/>
      <c r="AC468" s="1"/>
      <c r="AD468" s="1"/>
    </row>
    <row r="469" customFormat="false" ht="18" hidden="false" customHeight="true" outlineLevel="0" collapsed="false">
      <c r="A469" s="1"/>
      <c r="B469" s="35"/>
      <c r="C469" s="8"/>
      <c r="D469" s="26"/>
      <c r="E469" s="27"/>
      <c r="F469" s="36"/>
      <c r="G469" s="36"/>
      <c r="H469" s="36"/>
      <c r="I469" s="36"/>
      <c r="J469" s="37" t="str">
        <f aca="false">IF($E469="","",IFERROR(G469/F469,""))</f>
        <v/>
      </c>
      <c r="K469" s="30" t="str">
        <f aca="false">IF($E469="","",IFERROR(E469/G469,""))</f>
        <v/>
      </c>
      <c r="L469" s="30" t="str">
        <f aca="false">IF($E469="","",IFERROR(E469/F469*1000,""))</f>
        <v/>
      </c>
      <c r="M469" s="37" t="str">
        <f aca="false">IF($E469="","",IFERROR(H469/G469,""))</f>
        <v/>
      </c>
      <c r="N469" s="30" t="str">
        <f aca="false">IF($E469="","",IFERROR(E469/H469,"—"))</f>
        <v/>
      </c>
      <c r="O469" s="30" t="str">
        <f aca="false">IF($E469="","",IFERROR(INDEX('Гео-калькулятор'!$K$7:$K$13,MATCH($C469,'Гео-калькулятор'!$B$7:$B$13,0)),""))</f>
        <v/>
      </c>
      <c r="P469" s="38" t="str">
        <f aca="false">IF($E469="","",IFERROR(N469/O469,""))</f>
        <v/>
      </c>
      <c r="Q469" s="39" t="str">
        <f aca="false">IF($E469="","",IF($I469&lt;&gt;"",$I469,N($H469)*IFERROR(INDEX('Гео-калькулятор'!$E$7:$E$13,MATCH($C469,'Гео-калькулятор'!$B$7:$B$13,0)),0)))</f>
        <v/>
      </c>
      <c r="R469" s="38" t="str">
        <f aca="false">IF($E469="","",IFERROR(Q469/H469,""))</f>
        <v/>
      </c>
      <c r="S469" s="30" t="str">
        <f aca="false">IF($E469="","",IFERROR(E469/Q469,"—"))</f>
        <v/>
      </c>
      <c r="T469" s="30" t="str">
        <f aca="false">IF($E469="","",Q469*IFERROR(INDEX('Гео-калькулятор'!$D$7:$D$13,MATCH($C469,'Гео-калькулятор'!$B$7:$B$13,0)),0))</f>
        <v/>
      </c>
      <c r="U469" s="40" t="str">
        <f aca="false">IF($E469="","",T469-E469)</f>
        <v/>
      </c>
      <c r="V469" s="41" t="str">
        <f aca="false">IF($E469="","",IFERROR(U469/E469,""))</f>
        <v/>
      </c>
      <c r="W469" s="10" t="str">
        <f aca="false">IF($E469="","",IF($I469&lt;&gt;"","факт","прогноз"))</f>
        <v/>
      </c>
      <c r="X469" s="1"/>
      <c r="Y469" s="1"/>
      <c r="Z469" s="1"/>
      <c r="AA469" s="1"/>
      <c r="AB469" s="1"/>
      <c r="AC469" s="1"/>
      <c r="AD469" s="1"/>
    </row>
    <row r="470" customFormat="false" ht="18" hidden="false" customHeight="true" outlineLevel="0" collapsed="false">
      <c r="A470" s="1"/>
      <c r="B470" s="35"/>
      <c r="C470" s="8"/>
      <c r="D470" s="26"/>
      <c r="E470" s="27"/>
      <c r="F470" s="36"/>
      <c r="G470" s="36"/>
      <c r="H470" s="36"/>
      <c r="I470" s="36"/>
      <c r="J470" s="37" t="str">
        <f aca="false">IF($E470="","",IFERROR(G470/F470,""))</f>
        <v/>
      </c>
      <c r="K470" s="30" t="str">
        <f aca="false">IF($E470="","",IFERROR(E470/G470,""))</f>
        <v/>
      </c>
      <c r="L470" s="30" t="str">
        <f aca="false">IF($E470="","",IFERROR(E470/F470*1000,""))</f>
        <v/>
      </c>
      <c r="M470" s="37" t="str">
        <f aca="false">IF($E470="","",IFERROR(H470/G470,""))</f>
        <v/>
      </c>
      <c r="N470" s="30" t="str">
        <f aca="false">IF($E470="","",IFERROR(E470/H470,"—"))</f>
        <v/>
      </c>
      <c r="O470" s="30" t="str">
        <f aca="false">IF($E470="","",IFERROR(INDEX('Гео-калькулятор'!$K$7:$K$13,MATCH($C470,'Гео-калькулятор'!$B$7:$B$13,0)),""))</f>
        <v/>
      </c>
      <c r="P470" s="38" t="str">
        <f aca="false">IF($E470="","",IFERROR(N470/O470,""))</f>
        <v/>
      </c>
      <c r="Q470" s="39" t="str">
        <f aca="false">IF($E470="","",IF($I470&lt;&gt;"",$I470,N($H470)*IFERROR(INDEX('Гео-калькулятор'!$E$7:$E$13,MATCH($C470,'Гео-калькулятор'!$B$7:$B$13,0)),0)))</f>
        <v/>
      </c>
      <c r="R470" s="38" t="str">
        <f aca="false">IF($E470="","",IFERROR(Q470/H470,""))</f>
        <v/>
      </c>
      <c r="S470" s="30" t="str">
        <f aca="false">IF($E470="","",IFERROR(E470/Q470,"—"))</f>
        <v/>
      </c>
      <c r="T470" s="30" t="str">
        <f aca="false">IF($E470="","",Q470*IFERROR(INDEX('Гео-калькулятор'!$D$7:$D$13,MATCH($C470,'Гео-калькулятор'!$B$7:$B$13,0)),0))</f>
        <v/>
      </c>
      <c r="U470" s="40" t="str">
        <f aca="false">IF($E470="","",T470-E470)</f>
        <v/>
      </c>
      <c r="V470" s="41" t="str">
        <f aca="false">IF($E470="","",IFERROR(U470/E470,""))</f>
        <v/>
      </c>
      <c r="W470" s="10" t="str">
        <f aca="false">IF($E470="","",IF($I470&lt;&gt;"","факт","прогноз"))</f>
        <v/>
      </c>
      <c r="X470" s="1"/>
      <c r="Y470" s="1"/>
      <c r="Z470" s="1"/>
      <c r="AA470" s="1"/>
      <c r="AB470" s="1"/>
      <c r="AC470" s="1"/>
      <c r="AD470" s="1"/>
    </row>
    <row r="471" customFormat="false" ht="18" hidden="false" customHeight="true" outlineLevel="0" collapsed="false">
      <c r="A471" s="1"/>
      <c r="B471" s="35"/>
      <c r="C471" s="8"/>
      <c r="D471" s="26"/>
      <c r="E471" s="27"/>
      <c r="F471" s="36"/>
      <c r="G471" s="36"/>
      <c r="H471" s="36"/>
      <c r="I471" s="36"/>
      <c r="J471" s="37" t="str">
        <f aca="false">IF($E471="","",IFERROR(G471/F471,""))</f>
        <v/>
      </c>
      <c r="K471" s="30" t="str">
        <f aca="false">IF($E471="","",IFERROR(E471/G471,""))</f>
        <v/>
      </c>
      <c r="L471" s="30" t="str">
        <f aca="false">IF($E471="","",IFERROR(E471/F471*1000,""))</f>
        <v/>
      </c>
      <c r="M471" s="37" t="str">
        <f aca="false">IF($E471="","",IFERROR(H471/G471,""))</f>
        <v/>
      </c>
      <c r="N471" s="30" t="str">
        <f aca="false">IF($E471="","",IFERROR(E471/H471,"—"))</f>
        <v/>
      </c>
      <c r="O471" s="30" t="str">
        <f aca="false">IF($E471="","",IFERROR(INDEX('Гео-калькулятор'!$K$7:$K$13,MATCH($C471,'Гео-калькулятор'!$B$7:$B$13,0)),""))</f>
        <v/>
      </c>
      <c r="P471" s="38" t="str">
        <f aca="false">IF($E471="","",IFERROR(N471/O471,""))</f>
        <v/>
      </c>
      <c r="Q471" s="39" t="str">
        <f aca="false">IF($E471="","",IF($I471&lt;&gt;"",$I471,N($H471)*IFERROR(INDEX('Гео-калькулятор'!$E$7:$E$13,MATCH($C471,'Гео-калькулятор'!$B$7:$B$13,0)),0)))</f>
        <v/>
      </c>
      <c r="R471" s="38" t="str">
        <f aca="false">IF($E471="","",IFERROR(Q471/H471,""))</f>
        <v/>
      </c>
      <c r="S471" s="30" t="str">
        <f aca="false">IF($E471="","",IFERROR(E471/Q471,"—"))</f>
        <v/>
      </c>
      <c r="T471" s="30" t="str">
        <f aca="false">IF($E471="","",Q471*IFERROR(INDEX('Гео-калькулятор'!$D$7:$D$13,MATCH($C471,'Гео-калькулятор'!$B$7:$B$13,0)),0))</f>
        <v/>
      </c>
      <c r="U471" s="40" t="str">
        <f aca="false">IF($E471="","",T471-E471)</f>
        <v/>
      </c>
      <c r="V471" s="41" t="str">
        <f aca="false">IF($E471="","",IFERROR(U471/E471,""))</f>
        <v/>
      </c>
      <c r="W471" s="10" t="str">
        <f aca="false">IF($E471="","",IF($I471&lt;&gt;"","факт","прогноз"))</f>
        <v/>
      </c>
      <c r="X471" s="1"/>
      <c r="Y471" s="1"/>
      <c r="Z471" s="1"/>
      <c r="AA471" s="1"/>
      <c r="AB471" s="1"/>
      <c r="AC471" s="1"/>
      <c r="AD471" s="1"/>
    </row>
    <row r="472" customFormat="false" ht="18" hidden="false" customHeight="true" outlineLevel="0" collapsed="false">
      <c r="A472" s="1"/>
      <c r="B472" s="35"/>
      <c r="C472" s="8"/>
      <c r="D472" s="26"/>
      <c r="E472" s="27"/>
      <c r="F472" s="36"/>
      <c r="G472" s="36"/>
      <c r="H472" s="36"/>
      <c r="I472" s="36"/>
      <c r="J472" s="37" t="str">
        <f aca="false">IF($E472="","",IFERROR(G472/F472,""))</f>
        <v/>
      </c>
      <c r="K472" s="30" t="str">
        <f aca="false">IF($E472="","",IFERROR(E472/G472,""))</f>
        <v/>
      </c>
      <c r="L472" s="30" t="str">
        <f aca="false">IF($E472="","",IFERROR(E472/F472*1000,""))</f>
        <v/>
      </c>
      <c r="M472" s="37" t="str">
        <f aca="false">IF($E472="","",IFERROR(H472/G472,""))</f>
        <v/>
      </c>
      <c r="N472" s="30" t="str">
        <f aca="false">IF($E472="","",IFERROR(E472/H472,"—"))</f>
        <v/>
      </c>
      <c r="O472" s="30" t="str">
        <f aca="false">IF($E472="","",IFERROR(INDEX('Гео-калькулятор'!$K$7:$K$13,MATCH($C472,'Гео-калькулятор'!$B$7:$B$13,0)),""))</f>
        <v/>
      </c>
      <c r="P472" s="38" t="str">
        <f aca="false">IF($E472="","",IFERROR(N472/O472,""))</f>
        <v/>
      </c>
      <c r="Q472" s="39" t="str">
        <f aca="false">IF($E472="","",IF($I472&lt;&gt;"",$I472,N($H472)*IFERROR(INDEX('Гео-калькулятор'!$E$7:$E$13,MATCH($C472,'Гео-калькулятор'!$B$7:$B$13,0)),0)))</f>
        <v/>
      </c>
      <c r="R472" s="38" t="str">
        <f aca="false">IF($E472="","",IFERROR(Q472/H472,""))</f>
        <v/>
      </c>
      <c r="S472" s="30" t="str">
        <f aca="false">IF($E472="","",IFERROR(E472/Q472,"—"))</f>
        <v/>
      </c>
      <c r="T472" s="30" t="str">
        <f aca="false">IF($E472="","",Q472*IFERROR(INDEX('Гео-калькулятор'!$D$7:$D$13,MATCH($C472,'Гео-калькулятор'!$B$7:$B$13,0)),0))</f>
        <v/>
      </c>
      <c r="U472" s="40" t="str">
        <f aca="false">IF($E472="","",T472-E472)</f>
        <v/>
      </c>
      <c r="V472" s="41" t="str">
        <f aca="false">IF($E472="","",IFERROR(U472/E472,""))</f>
        <v/>
      </c>
      <c r="W472" s="10" t="str">
        <f aca="false">IF($E472="","",IF($I472&lt;&gt;"","факт","прогноз"))</f>
        <v/>
      </c>
      <c r="X472" s="1"/>
      <c r="Y472" s="1"/>
      <c r="Z472" s="1"/>
      <c r="AA472" s="1"/>
      <c r="AB472" s="1"/>
      <c r="AC472" s="1"/>
      <c r="AD472" s="1"/>
    </row>
    <row r="473" customFormat="false" ht="18" hidden="false" customHeight="true" outlineLevel="0" collapsed="false">
      <c r="A473" s="1"/>
      <c r="B473" s="35"/>
      <c r="C473" s="8"/>
      <c r="D473" s="26"/>
      <c r="E473" s="27"/>
      <c r="F473" s="36"/>
      <c r="G473" s="36"/>
      <c r="H473" s="36"/>
      <c r="I473" s="36"/>
      <c r="J473" s="37" t="str">
        <f aca="false">IF($E473="","",IFERROR(G473/F473,""))</f>
        <v/>
      </c>
      <c r="K473" s="30" t="str">
        <f aca="false">IF($E473="","",IFERROR(E473/G473,""))</f>
        <v/>
      </c>
      <c r="L473" s="30" t="str">
        <f aca="false">IF($E473="","",IFERROR(E473/F473*1000,""))</f>
        <v/>
      </c>
      <c r="M473" s="37" t="str">
        <f aca="false">IF($E473="","",IFERROR(H473/G473,""))</f>
        <v/>
      </c>
      <c r="N473" s="30" t="str">
        <f aca="false">IF($E473="","",IFERROR(E473/H473,"—"))</f>
        <v/>
      </c>
      <c r="O473" s="30" t="str">
        <f aca="false">IF($E473="","",IFERROR(INDEX('Гео-калькулятор'!$K$7:$K$13,MATCH($C473,'Гео-калькулятор'!$B$7:$B$13,0)),""))</f>
        <v/>
      </c>
      <c r="P473" s="38" t="str">
        <f aca="false">IF($E473="","",IFERROR(N473/O473,""))</f>
        <v/>
      </c>
      <c r="Q473" s="39" t="str">
        <f aca="false">IF($E473="","",IF($I473&lt;&gt;"",$I473,N($H473)*IFERROR(INDEX('Гео-калькулятор'!$E$7:$E$13,MATCH($C473,'Гео-калькулятор'!$B$7:$B$13,0)),0)))</f>
        <v/>
      </c>
      <c r="R473" s="38" t="str">
        <f aca="false">IF($E473="","",IFERROR(Q473/H473,""))</f>
        <v/>
      </c>
      <c r="S473" s="30" t="str">
        <f aca="false">IF($E473="","",IFERROR(E473/Q473,"—"))</f>
        <v/>
      </c>
      <c r="T473" s="30" t="str">
        <f aca="false">IF($E473="","",Q473*IFERROR(INDEX('Гео-калькулятор'!$D$7:$D$13,MATCH($C473,'Гео-калькулятор'!$B$7:$B$13,0)),0))</f>
        <v/>
      </c>
      <c r="U473" s="40" t="str">
        <f aca="false">IF($E473="","",T473-E473)</f>
        <v/>
      </c>
      <c r="V473" s="41" t="str">
        <f aca="false">IF($E473="","",IFERROR(U473/E473,""))</f>
        <v/>
      </c>
      <c r="W473" s="10" t="str">
        <f aca="false">IF($E473="","",IF($I473&lt;&gt;"","факт","прогноз"))</f>
        <v/>
      </c>
      <c r="X473" s="1"/>
      <c r="Y473" s="1"/>
      <c r="Z473" s="1"/>
      <c r="AA473" s="1"/>
      <c r="AB473" s="1"/>
      <c r="AC473" s="1"/>
      <c r="AD473" s="1"/>
    </row>
    <row r="474" customFormat="false" ht="18" hidden="false" customHeight="true" outlineLevel="0" collapsed="false">
      <c r="A474" s="1"/>
      <c r="B474" s="35"/>
      <c r="C474" s="8"/>
      <c r="D474" s="26"/>
      <c r="E474" s="27"/>
      <c r="F474" s="36"/>
      <c r="G474" s="36"/>
      <c r="H474" s="36"/>
      <c r="I474" s="36"/>
      <c r="J474" s="37" t="str">
        <f aca="false">IF($E474="","",IFERROR(G474/F474,""))</f>
        <v/>
      </c>
      <c r="K474" s="30" t="str">
        <f aca="false">IF($E474="","",IFERROR(E474/G474,""))</f>
        <v/>
      </c>
      <c r="L474" s="30" t="str">
        <f aca="false">IF($E474="","",IFERROR(E474/F474*1000,""))</f>
        <v/>
      </c>
      <c r="M474" s="37" t="str">
        <f aca="false">IF($E474="","",IFERROR(H474/G474,""))</f>
        <v/>
      </c>
      <c r="N474" s="30" t="str">
        <f aca="false">IF($E474="","",IFERROR(E474/H474,"—"))</f>
        <v/>
      </c>
      <c r="O474" s="30" t="str">
        <f aca="false">IF($E474="","",IFERROR(INDEX('Гео-калькулятор'!$K$7:$K$13,MATCH($C474,'Гео-калькулятор'!$B$7:$B$13,0)),""))</f>
        <v/>
      </c>
      <c r="P474" s="38" t="str">
        <f aca="false">IF($E474="","",IFERROR(N474/O474,""))</f>
        <v/>
      </c>
      <c r="Q474" s="39" t="str">
        <f aca="false">IF($E474="","",IF($I474&lt;&gt;"",$I474,N($H474)*IFERROR(INDEX('Гео-калькулятор'!$E$7:$E$13,MATCH($C474,'Гео-калькулятор'!$B$7:$B$13,0)),0)))</f>
        <v/>
      </c>
      <c r="R474" s="38" t="str">
        <f aca="false">IF($E474="","",IFERROR(Q474/H474,""))</f>
        <v/>
      </c>
      <c r="S474" s="30" t="str">
        <f aca="false">IF($E474="","",IFERROR(E474/Q474,"—"))</f>
        <v/>
      </c>
      <c r="T474" s="30" t="str">
        <f aca="false">IF($E474="","",Q474*IFERROR(INDEX('Гео-калькулятор'!$D$7:$D$13,MATCH($C474,'Гео-калькулятор'!$B$7:$B$13,0)),0))</f>
        <v/>
      </c>
      <c r="U474" s="40" t="str">
        <f aca="false">IF($E474="","",T474-E474)</f>
        <v/>
      </c>
      <c r="V474" s="41" t="str">
        <f aca="false">IF($E474="","",IFERROR(U474/E474,""))</f>
        <v/>
      </c>
      <c r="W474" s="10" t="str">
        <f aca="false">IF($E474="","",IF($I474&lt;&gt;"","факт","прогноз"))</f>
        <v/>
      </c>
      <c r="X474" s="1"/>
      <c r="Y474" s="1"/>
      <c r="Z474" s="1"/>
      <c r="AA474" s="1"/>
      <c r="AB474" s="1"/>
      <c r="AC474" s="1"/>
      <c r="AD474" s="1"/>
    </row>
    <row r="475" customFormat="false" ht="18" hidden="false" customHeight="true" outlineLevel="0" collapsed="false">
      <c r="A475" s="1"/>
      <c r="B475" s="35"/>
      <c r="C475" s="8"/>
      <c r="D475" s="26"/>
      <c r="E475" s="27"/>
      <c r="F475" s="36"/>
      <c r="G475" s="36"/>
      <c r="H475" s="36"/>
      <c r="I475" s="36"/>
      <c r="J475" s="37" t="str">
        <f aca="false">IF($E475="","",IFERROR(G475/F475,""))</f>
        <v/>
      </c>
      <c r="K475" s="30" t="str">
        <f aca="false">IF($E475="","",IFERROR(E475/G475,""))</f>
        <v/>
      </c>
      <c r="L475" s="30" t="str">
        <f aca="false">IF($E475="","",IFERROR(E475/F475*1000,""))</f>
        <v/>
      </c>
      <c r="M475" s="37" t="str">
        <f aca="false">IF($E475="","",IFERROR(H475/G475,""))</f>
        <v/>
      </c>
      <c r="N475" s="30" t="str">
        <f aca="false">IF($E475="","",IFERROR(E475/H475,"—"))</f>
        <v/>
      </c>
      <c r="O475" s="30" t="str">
        <f aca="false">IF($E475="","",IFERROR(INDEX('Гео-калькулятор'!$K$7:$K$13,MATCH($C475,'Гео-калькулятор'!$B$7:$B$13,0)),""))</f>
        <v/>
      </c>
      <c r="P475" s="38" t="str">
        <f aca="false">IF($E475="","",IFERROR(N475/O475,""))</f>
        <v/>
      </c>
      <c r="Q475" s="39" t="str">
        <f aca="false">IF($E475="","",IF($I475&lt;&gt;"",$I475,N($H475)*IFERROR(INDEX('Гео-калькулятор'!$E$7:$E$13,MATCH($C475,'Гео-калькулятор'!$B$7:$B$13,0)),0)))</f>
        <v/>
      </c>
      <c r="R475" s="38" t="str">
        <f aca="false">IF($E475="","",IFERROR(Q475/H475,""))</f>
        <v/>
      </c>
      <c r="S475" s="30" t="str">
        <f aca="false">IF($E475="","",IFERROR(E475/Q475,"—"))</f>
        <v/>
      </c>
      <c r="T475" s="30" t="str">
        <f aca="false">IF($E475="","",Q475*IFERROR(INDEX('Гео-калькулятор'!$D$7:$D$13,MATCH($C475,'Гео-калькулятор'!$B$7:$B$13,0)),0))</f>
        <v/>
      </c>
      <c r="U475" s="40" t="str">
        <f aca="false">IF($E475="","",T475-E475)</f>
        <v/>
      </c>
      <c r="V475" s="41" t="str">
        <f aca="false">IF($E475="","",IFERROR(U475/E475,""))</f>
        <v/>
      </c>
      <c r="W475" s="10" t="str">
        <f aca="false">IF($E475="","",IF($I475&lt;&gt;"","факт","прогноз"))</f>
        <v/>
      </c>
      <c r="X475" s="1"/>
      <c r="Y475" s="1"/>
      <c r="Z475" s="1"/>
      <c r="AA475" s="1"/>
      <c r="AB475" s="1"/>
      <c r="AC475" s="1"/>
      <c r="AD475" s="1"/>
    </row>
    <row r="476" customFormat="false" ht="18" hidden="false" customHeight="true" outlineLevel="0" collapsed="false">
      <c r="A476" s="1"/>
      <c r="B476" s="35"/>
      <c r="C476" s="8"/>
      <c r="D476" s="26"/>
      <c r="E476" s="27"/>
      <c r="F476" s="36"/>
      <c r="G476" s="36"/>
      <c r="H476" s="36"/>
      <c r="I476" s="36"/>
      <c r="J476" s="37" t="str">
        <f aca="false">IF($E476="","",IFERROR(G476/F476,""))</f>
        <v/>
      </c>
      <c r="K476" s="30" t="str">
        <f aca="false">IF($E476="","",IFERROR(E476/G476,""))</f>
        <v/>
      </c>
      <c r="L476" s="30" t="str">
        <f aca="false">IF($E476="","",IFERROR(E476/F476*1000,""))</f>
        <v/>
      </c>
      <c r="M476" s="37" t="str">
        <f aca="false">IF($E476="","",IFERROR(H476/G476,""))</f>
        <v/>
      </c>
      <c r="N476" s="30" t="str">
        <f aca="false">IF($E476="","",IFERROR(E476/H476,"—"))</f>
        <v/>
      </c>
      <c r="O476" s="30" t="str">
        <f aca="false">IF($E476="","",IFERROR(INDEX('Гео-калькулятор'!$K$7:$K$13,MATCH($C476,'Гео-калькулятор'!$B$7:$B$13,0)),""))</f>
        <v/>
      </c>
      <c r="P476" s="38" t="str">
        <f aca="false">IF($E476="","",IFERROR(N476/O476,""))</f>
        <v/>
      </c>
      <c r="Q476" s="39" t="str">
        <f aca="false">IF($E476="","",IF($I476&lt;&gt;"",$I476,N($H476)*IFERROR(INDEX('Гео-калькулятор'!$E$7:$E$13,MATCH($C476,'Гео-калькулятор'!$B$7:$B$13,0)),0)))</f>
        <v/>
      </c>
      <c r="R476" s="38" t="str">
        <f aca="false">IF($E476="","",IFERROR(Q476/H476,""))</f>
        <v/>
      </c>
      <c r="S476" s="30" t="str">
        <f aca="false">IF($E476="","",IFERROR(E476/Q476,"—"))</f>
        <v/>
      </c>
      <c r="T476" s="30" t="str">
        <f aca="false">IF($E476="","",Q476*IFERROR(INDEX('Гео-калькулятор'!$D$7:$D$13,MATCH($C476,'Гео-калькулятор'!$B$7:$B$13,0)),0))</f>
        <v/>
      </c>
      <c r="U476" s="40" t="str">
        <f aca="false">IF($E476="","",T476-E476)</f>
        <v/>
      </c>
      <c r="V476" s="41" t="str">
        <f aca="false">IF($E476="","",IFERROR(U476/E476,""))</f>
        <v/>
      </c>
      <c r="W476" s="10" t="str">
        <f aca="false">IF($E476="","",IF($I476&lt;&gt;"","факт","прогноз"))</f>
        <v/>
      </c>
      <c r="X476" s="1"/>
      <c r="Y476" s="1"/>
      <c r="Z476" s="1"/>
      <c r="AA476" s="1"/>
      <c r="AB476" s="1"/>
      <c r="AC476" s="1"/>
      <c r="AD476" s="1"/>
    </row>
    <row r="477" customFormat="false" ht="18" hidden="false" customHeight="true" outlineLevel="0" collapsed="false">
      <c r="A477" s="1"/>
      <c r="B477" s="35"/>
      <c r="C477" s="8"/>
      <c r="D477" s="26"/>
      <c r="E477" s="27"/>
      <c r="F477" s="36"/>
      <c r="G477" s="36"/>
      <c r="H477" s="36"/>
      <c r="I477" s="36"/>
      <c r="J477" s="37" t="str">
        <f aca="false">IF($E477="","",IFERROR(G477/F477,""))</f>
        <v/>
      </c>
      <c r="K477" s="30" t="str">
        <f aca="false">IF($E477="","",IFERROR(E477/G477,""))</f>
        <v/>
      </c>
      <c r="L477" s="30" t="str">
        <f aca="false">IF($E477="","",IFERROR(E477/F477*1000,""))</f>
        <v/>
      </c>
      <c r="M477" s="37" t="str">
        <f aca="false">IF($E477="","",IFERROR(H477/G477,""))</f>
        <v/>
      </c>
      <c r="N477" s="30" t="str">
        <f aca="false">IF($E477="","",IFERROR(E477/H477,"—"))</f>
        <v/>
      </c>
      <c r="O477" s="30" t="str">
        <f aca="false">IF($E477="","",IFERROR(INDEX('Гео-калькулятор'!$K$7:$K$13,MATCH($C477,'Гео-калькулятор'!$B$7:$B$13,0)),""))</f>
        <v/>
      </c>
      <c r="P477" s="38" t="str">
        <f aca="false">IF($E477="","",IFERROR(N477/O477,""))</f>
        <v/>
      </c>
      <c r="Q477" s="39" t="str">
        <f aca="false">IF($E477="","",IF($I477&lt;&gt;"",$I477,N($H477)*IFERROR(INDEX('Гео-калькулятор'!$E$7:$E$13,MATCH($C477,'Гео-калькулятор'!$B$7:$B$13,0)),0)))</f>
        <v/>
      </c>
      <c r="R477" s="38" t="str">
        <f aca="false">IF($E477="","",IFERROR(Q477/H477,""))</f>
        <v/>
      </c>
      <c r="S477" s="30" t="str">
        <f aca="false">IF($E477="","",IFERROR(E477/Q477,"—"))</f>
        <v/>
      </c>
      <c r="T477" s="30" t="str">
        <f aca="false">IF($E477="","",Q477*IFERROR(INDEX('Гео-калькулятор'!$D$7:$D$13,MATCH($C477,'Гео-калькулятор'!$B$7:$B$13,0)),0))</f>
        <v/>
      </c>
      <c r="U477" s="40" t="str">
        <f aca="false">IF($E477="","",T477-E477)</f>
        <v/>
      </c>
      <c r="V477" s="41" t="str">
        <f aca="false">IF($E477="","",IFERROR(U477/E477,""))</f>
        <v/>
      </c>
      <c r="W477" s="10" t="str">
        <f aca="false">IF($E477="","",IF($I477&lt;&gt;"","факт","прогноз"))</f>
        <v/>
      </c>
      <c r="X477" s="1"/>
      <c r="Y477" s="1"/>
      <c r="Z477" s="1"/>
      <c r="AA477" s="1"/>
      <c r="AB477" s="1"/>
      <c r="AC477" s="1"/>
      <c r="AD477" s="1"/>
    </row>
    <row r="478" customFormat="false" ht="18" hidden="false" customHeight="true" outlineLevel="0" collapsed="false">
      <c r="A478" s="1"/>
      <c r="B478" s="35"/>
      <c r="C478" s="8"/>
      <c r="D478" s="26"/>
      <c r="E478" s="27"/>
      <c r="F478" s="36"/>
      <c r="G478" s="36"/>
      <c r="H478" s="36"/>
      <c r="I478" s="36"/>
      <c r="J478" s="37" t="str">
        <f aca="false">IF($E478="","",IFERROR(G478/F478,""))</f>
        <v/>
      </c>
      <c r="K478" s="30" t="str">
        <f aca="false">IF($E478="","",IFERROR(E478/G478,""))</f>
        <v/>
      </c>
      <c r="L478" s="30" t="str">
        <f aca="false">IF($E478="","",IFERROR(E478/F478*1000,""))</f>
        <v/>
      </c>
      <c r="M478" s="37" t="str">
        <f aca="false">IF($E478="","",IFERROR(H478/G478,""))</f>
        <v/>
      </c>
      <c r="N478" s="30" t="str">
        <f aca="false">IF($E478="","",IFERROR(E478/H478,"—"))</f>
        <v/>
      </c>
      <c r="O478" s="30" t="str">
        <f aca="false">IF($E478="","",IFERROR(INDEX('Гео-калькулятор'!$K$7:$K$13,MATCH($C478,'Гео-калькулятор'!$B$7:$B$13,0)),""))</f>
        <v/>
      </c>
      <c r="P478" s="38" t="str">
        <f aca="false">IF($E478="","",IFERROR(N478/O478,""))</f>
        <v/>
      </c>
      <c r="Q478" s="39" t="str">
        <f aca="false">IF($E478="","",IF($I478&lt;&gt;"",$I478,N($H478)*IFERROR(INDEX('Гео-калькулятор'!$E$7:$E$13,MATCH($C478,'Гео-калькулятор'!$B$7:$B$13,0)),0)))</f>
        <v/>
      </c>
      <c r="R478" s="38" t="str">
        <f aca="false">IF($E478="","",IFERROR(Q478/H478,""))</f>
        <v/>
      </c>
      <c r="S478" s="30" t="str">
        <f aca="false">IF($E478="","",IFERROR(E478/Q478,"—"))</f>
        <v/>
      </c>
      <c r="T478" s="30" t="str">
        <f aca="false">IF($E478="","",Q478*IFERROR(INDEX('Гео-калькулятор'!$D$7:$D$13,MATCH($C478,'Гео-калькулятор'!$B$7:$B$13,0)),0))</f>
        <v/>
      </c>
      <c r="U478" s="40" t="str">
        <f aca="false">IF($E478="","",T478-E478)</f>
        <v/>
      </c>
      <c r="V478" s="41" t="str">
        <f aca="false">IF($E478="","",IFERROR(U478/E478,""))</f>
        <v/>
      </c>
      <c r="W478" s="10" t="str">
        <f aca="false">IF($E478="","",IF($I478&lt;&gt;"","факт","прогноз"))</f>
        <v/>
      </c>
      <c r="X478" s="1"/>
      <c r="Y478" s="1"/>
      <c r="Z478" s="1"/>
      <c r="AA478" s="1"/>
      <c r="AB478" s="1"/>
      <c r="AC478" s="1"/>
      <c r="AD478" s="1"/>
    </row>
    <row r="479" customFormat="false" ht="18" hidden="false" customHeight="true" outlineLevel="0" collapsed="false">
      <c r="A479" s="1"/>
      <c r="B479" s="35"/>
      <c r="C479" s="8"/>
      <c r="D479" s="26"/>
      <c r="E479" s="27"/>
      <c r="F479" s="36"/>
      <c r="G479" s="36"/>
      <c r="H479" s="36"/>
      <c r="I479" s="36"/>
      <c r="J479" s="37" t="str">
        <f aca="false">IF($E479="","",IFERROR(G479/F479,""))</f>
        <v/>
      </c>
      <c r="K479" s="30" t="str">
        <f aca="false">IF($E479="","",IFERROR(E479/G479,""))</f>
        <v/>
      </c>
      <c r="L479" s="30" t="str">
        <f aca="false">IF($E479="","",IFERROR(E479/F479*1000,""))</f>
        <v/>
      </c>
      <c r="M479" s="37" t="str">
        <f aca="false">IF($E479="","",IFERROR(H479/G479,""))</f>
        <v/>
      </c>
      <c r="N479" s="30" t="str">
        <f aca="false">IF($E479="","",IFERROR(E479/H479,"—"))</f>
        <v/>
      </c>
      <c r="O479" s="30" t="str">
        <f aca="false">IF($E479="","",IFERROR(INDEX('Гео-калькулятор'!$K$7:$K$13,MATCH($C479,'Гео-калькулятор'!$B$7:$B$13,0)),""))</f>
        <v/>
      </c>
      <c r="P479" s="38" t="str">
        <f aca="false">IF($E479="","",IFERROR(N479/O479,""))</f>
        <v/>
      </c>
      <c r="Q479" s="39" t="str">
        <f aca="false">IF($E479="","",IF($I479&lt;&gt;"",$I479,N($H479)*IFERROR(INDEX('Гео-калькулятор'!$E$7:$E$13,MATCH($C479,'Гео-калькулятор'!$B$7:$B$13,0)),0)))</f>
        <v/>
      </c>
      <c r="R479" s="38" t="str">
        <f aca="false">IF($E479="","",IFERROR(Q479/H479,""))</f>
        <v/>
      </c>
      <c r="S479" s="30" t="str">
        <f aca="false">IF($E479="","",IFERROR(E479/Q479,"—"))</f>
        <v/>
      </c>
      <c r="T479" s="30" t="str">
        <f aca="false">IF($E479="","",Q479*IFERROR(INDEX('Гео-калькулятор'!$D$7:$D$13,MATCH($C479,'Гео-калькулятор'!$B$7:$B$13,0)),0))</f>
        <v/>
      </c>
      <c r="U479" s="40" t="str">
        <f aca="false">IF($E479="","",T479-E479)</f>
        <v/>
      </c>
      <c r="V479" s="41" t="str">
        <f aca="false">IF($E479="","",IFERROR(U479/E479,""))</f>
        <v/>
      </c>
      <c r="W479" s="10" t="str">
        <f aca="false">IF($E479="","",IF($I479&lt;&gt;"","факт","прогноз"))</f>
        <v/>
      </c>
      <c r="X479" s="1"/>
      <c r="Y479" s="1"/>
      <c r="Z479" s="1"/>
      <c r="AA479" s="1"/>
      <c r="AB479" s="1"/>
      <c r="AC479" s="1"/>
      <c r="AD479" s="1"/>
    </row>
    <row r="480" customFormat="false" ht="18" hidden="false" customHeight="true" outlineLevel="0" collapsed="false">
      <c r="A480" s="1"/>
      <c r="B480" s="35"/>
      <c r="C480" s="8"/>
      <c r="D480" s="26"/>
      <c r="E480" s="27"/>
      <c r="F480" s="36"/>
      <c r="G480" s="36"/>
      <c r="H480" s="36"/>
      <c r="I480" s="36"/>
      <c r="J480" s="37" t="str">
        <f aca="false">IF($E480="","",IFERROR(G480/F480,""))</f>
        <v/>
      </c>
      <c r="K480" s="30" t="str">
        <f aca="false">IF($E480="","",IFERROR(E480/G480,""))</f>
        <v/>
      </c>
      <c r="L480" s="30" t="str">
        <f aca="false">IF($E480="","",IFERROR(E480/F480*1000,""))</f>
        <v/>
      </c>
      <c r="M480" s="37" t="str">
        <f aca="false">IF($E480="","",IFERROR(H480/G480,""))</f>
        <v/>
      </c>
      <c r="N480" s="30" t="str">
        <f aca="false">IF($E480="","",IFERROR(E480/H480,"—"))</f>
        <v/>
      </c>
      <c r="O480" s="30" t="str">
        <f aca="false">IF($E480="","",IFERROR(INDEX('Гео-калькулятор'!$K$7:$K$13,MATCH($C480,'Гео-калькулятор'!$B$7:$B$13,0)),""))</f>
        <v/>
      </c>
      <c r="P480" s="38" t="str">
        <f aca="false">IF($E480="","",IFERROR(N480/O480,""))</f>
        <v/>
      </c>
      <c r="Q480" s="39" t="str">
        <f aca="false">IF($E480="","",IF($I480&lt;&gt;"",$I480,N($H480)*IFERROR(INDEX('Гео-калькулятор'!$E$7:$E$13,MATCH($C480,'Гео-калькулятор'!$B$7:$B$13,0)),0)))</f>
        <v/>
      </c>
      <c r="R480" s="38" t="str">
        <f aca="false">IF($E480="","",IFERROR(Q480/H480,""))</f>
        <v/>
      </c>
      <c r="S480" s="30" t="str">
        <f aca="false">IF($E480="","",IFERROR(E480/Q480,"—"))</f>
        <v/>
      </c>
      <c r="T480" s="30" t="str">
        <f aca="false">IF($E480="","",Q480*IFERROR(INDEX('Гео-калькулятор'!$D$7:$D$13,MATCH($C480,'Гео-калькулятор'!$B$7:$B$13,0)),0))</f>
        <v/>
      </c>
      <c r="U480" s="40" t="str">
        <f aca="false">IF($E480="","",T480-E480)</f>
        <v/>
      </c>
      <c r="V480" s="41" t="str">
        <f aca="false">IF($E480="","",IFERROR(U480/E480,""))</f>
        <v/>
      </c>
      <c r="W480" s="10" t="str">
        <f aca="false">IF($E480="","",IF($I480&lt;&gt;"","факт","прогноз"))</f>
        <v/>
      </c>
      <c r="X480" s="1"/>
      <c r="Y480" s="1"/>
      <c r="Z480" s="1"/>
      <c r="AA480" s="1"/>
      <c r="AB480" s="1"/>
      <c r="AC480" s="1"/>
      <c r="AD480" s="1"/>
    </row>
    <row r="481" customFormat="false" ht="18" hidden="false" customHeight="true" outlineLevel="0" collapsed="false">
      <c r="A481" s="1"/>
      <c r="B481" s="35"/>
      <c r="C481" s="8"/>
      <c r="D481" s="26"/>
      <c r="E481" s="27"/>
      <c r="F481" s="36"/>
      <c r="G481" s="36"/>
      <c r="H481" s="36"/>
      <c r="I481" s="36"/>
      <c r="J481" s="37" t="str">
        <f aca="false">IF($E481="","",IFERROR(G481/F481,""))</f>
        <v/>
      </c>
      <c r="K481" s="30" t="str">
        <f aca="false">IF($E481="","",IFERROR(E481/G481,""))</f>
        <v/>
      </c>
      <c r="L481" s="30" t="str">
        <f aca="false">IF($E481="","",IFERROR(E481/F481*1000,""))</f>
        <v/>
      </c>
      <c r="M481" s="37" t="str">
        <f aca="false">IF($E481="","",IFERROR(H481/G481,""))</f>
        <v/>
      </c>
      <c r="N481" s="30" t="str">
        <f aca="false">IF($E481="","",IFERROR(E481/H481,"—"))</f>
        <v/>
      </c>
      <c r="O481" s="30" t="str">
        <f aca="false">IF($E481="","",IFERROR(INDEX('Гео-калькулятор'!$K$7:$K$13,MATCH($C481,'Гео-калькулятор'!$B$7:$B$13,0)),""))</f>
        <v/>
      </c>
      <c r="P481" s="38" t="str">
        <f aca="false">IF($E481="","",IFERROR(N481/O481,""))</f>
        <v/>
      </c>
      <c r="Q481" s="39" t="str">
        <f aca="false">IF($E481="","",IF($I481&lt;&gt;"",$I481,N($H481)*IFERROR(INDEX('Гео-калькулятор'!$E$7:$E$13,MATCH($C481,'Гео-калькулятор'!$B$7:$B$13,0)),0)))</f>
        <v/>
      </c>
      <c r="R481" s="38" t="str">
        <f aca="false">IF($E481="","",IFERROR(Q481/H481,""))</f>
        <v/>
      </c>
      <c r="S481" s="30" t="str">
        <f aca="false">IF($E481="","",IFERROR(E481/Q481,"—"))</f>
        <v/>
      </c>
      <c r="T481" s="30" t="str">
        <f aca="false">IF($E481="","",Q481*IFERROR(INDEX('Гео-калькулятор'!$D$7:$D$13,MATCH($C481,'Гео-калькулятор'!$B$7:$B$13,0)),0))</f>
        <v/>
      </c>
      <c r="U481" s="40" t="str">
        <f aca="false">IF($E481="","",T481-E481)</f>
        <v/>
      </c>
      <c r="V481" s="41" t="str">
        <f aca="false">IF($E481="","",IFERROR(U481/E481,""))</f>
        <v/>
      </c>
      <c r="W481" s="10" t="str">
        <f aca="false">IF($E481="","",IF($I481&lt;&gt;"","факт","прогноз"))</f>
        <v/>
      </c>
      <c r="X481" s="1"/>
      <c r="Y481" s="1"/>
      <c r="Z481" s="1"/>
      <c r="AA481" s="1"/>
      <c r="AB481" s="1"/>
      <c r="AC481" s="1"/>
      <c r="AD481" s="1"/>
    </row>
    <row r="482" customFormat="false" ht="18" hidden="false" customHeight="true" outlineLevel="0" collapsed="false">
      <c r="A482" s="1"/>
      <c r="B482" s="35"/>
      <c r="C482" s="8"/>
      <c r="D482" s="26"/>
      <c r="E482" s="27"/>
      <c r="F482" s="36"/>
      <c r="G482" s="36"/>
      <c r="H482" s="36"/>
      <c r="I482" s="36"/>
      <c r="J482" s="37" t="str">
        <f aca="false">IF($E482="","",IFERROR(G482/F482,""))</f>
        <v/>
      </c>
      <c r="K482" s="30" t="str">
        <f aca="false">IF($E482="","",IFERROR(E482/G482,""))</f>
        <v/>
      </c>
      <c r="L482" s="30" t="str">
        <f aca="false">IF($E482="","",IFERROR(E482/F482*1000,""))</f>
        <v/>
      </c>
      <c r="M482" s="37" t="str">
        <f aca="false">IF($E482="","",IFERROR(H482/G482,""))</f>
        <v/>
      </c>
      <c r="N482" s="30" t="str">
        <f aca="false">IF($E482="","",IFERROR(E482/H482,"—"))</f>
        <v/>
      </c>
      <c r="O482" s="30" t="str">
        <f aca="false">IF($E482="","",IFERROR(INDEX('Гео-калькулятор'!$K$7:$K$13,MATCH($C482,'Гео-калькулятор'!$B$7:$B$13,0)),""))</f>
        <v/>
      </c>
      <c r="P482" s="38" t="str">
        <f aca="false">IF($E482="","",IFERROR(N482/O482,""))</f>
        <v/>
      </c>
      <c r="Q482" s="39" t="str">
        <f aca="false">IF($E482="","",IF($I482&lt;&gt;"",$I482,N($H482)*IFERROR(INDEX('Гео-калькулятор'!$E$7:$E$13,MATCH($C482,'Гео-калькулятор'!$B$7:$B$13,0)),0)))</f>
        <v/>
      </c>
      <c r="R482" s="38" t="str">
        <f aca="false">IF($E482="","",IFERROR(Q482/H482,""))</f>
        <v/>
      </c>
      <c r="S482" s="30" t="str">
        <f aca="false">IF($E482="","",IFERROR(E482/Q482,"—"))</f>
        <v/>
      </c>
      <c r="T482" s="30" t="str">
        <f aca="false">IF($E482="","",Q482*IFERROR(INDEX('Гео-калькулятор'!$D$7:$D$13,MATCH($C482,'Гео-калькулятор'!$B$7:$B$13,0)),0))</f>
        <v/>
      </c>
      <c r="U482" s="40" t="str">
        <f aca="false">IF($E482="","",T482-E482)</f>
        <v/>
      </c>
      <c r="V482" s="41" t="str">
        <f aca="false">IF($E482="","",IFERROR(U482/E482,""))</f>
        <v/>
      </c>
      <c r="W482" s="10" t="str">
        <f aca="false">IF($E482="","",IF($I482&lt;&gt;"","факт","прогноз"))</f>
        <v/>
      </c>
      <c r="X482" s="1"/>
      <c r="Y482" s="1"/>
      <c r="Z482" s="1"/>
      <c r="AA482" s="1"/>
      <c r="AB482" s="1"/>
      <c r="AC482" s="1"/>
      <c r="AD482" s="1"/>
    </row>
    <row r="483" customFormat="false" ht="18" hidden="false" customHeight="true" outlineLevel="0" collapsed="false">
      <c r="A483" s="1"/>
      <c r="B483" s="35"/>
      <c r="C483" s="8"/>
      <c r="D483" s="26"/>
      <c r="E483" s="27"/>
      <c r="F483" s="36"/>
      <c r="G483" s="36"/>
      <c r="H483" s="36"/>
      <c r="I483" s="36"/>
      <c r="J483" s="37" t="str">
        <f aca="false">IF($E483="","",IFERROR(G483/F483,""))</f>
        <v/>
      </c>
      <c r="K483" s="30" t="str">
        <f aca="false">IF($E483="","",IFERROR(E483/G483,""))</f>
        <v/>
      </c>
      <c r="L483" s="30" t="str">
        <f aca="false">IF($E483="","",IFERROR(E483/F483*1000,""))</f>
        <v/>
      </c>
      <c r="M483" s="37" t="str">
        <f aca="false">IF($E483="","",IFERROR(H483/G483,""))</f>
        <v/>
      </c>
      <c r="N483" s="30" t="str">
        <f aca="false">IF($E483="","",IFERROR(E483/H483,"—"))</f>
        <v/>
      </c>
      <c r="O483" s="30" t="str">
        <f aca="false">IF($E483="","",IFERROR(INDEX('Гео-калькулятор'!$K$7:$K$13,MATCH($C483,'Гео-калькулятор'!$B$7:$B$13,0)),""))</f>
        <v/>
      </c>
      <c r="P483" s="38" t="str">
        <f aca="false">IF($E483="","",IFERROR(N483/O483,""))</f>
        <v/>
      </c>
      <c r="Q483" s="39" t="str">
        <f aca="false">IF($E483="","",IF($I483&lt;&gt;"",$I483,N($H483)*IFERROR(INDEX('Гео-калькулятор'!$E$7:$E$13,MATCH($C483,'Гео-калькулятор'!$B$7:$B$13,0)),0)))</f>
        <v/>
      </c>
      <c r="R483" s="38" t="str">
        <f aca="false">IF($E483="","",IFERROR(Q483/H483,""))</f>
        <v/>
      </c>
      <c r="S483" s="30" t="str">
        <f aca="false">IF($E483="","",IFERROR(E483/Q483,"—"))</f>
        <v/>
      </c>
      <c r="T483" s="30" t="str">
        <f aca="false">IF($E483="","",Q483*IFERROR(INDEX('Гео-калькулятор'!$D$7:$D$13,MATCH($C483,'Гео-калькулятор'!$B$7:$B$13,0)),0))</f>
        <v/>
      </c>
      <c r="U483" s="40" t="str">
        <f aca="false">IF($E483="","",T483-E483)</f>
        <v/>
      </c>
      <c r="V483" s="41" t="str">
        <f aca="false">IF($E483="","",IFERROR(U483/E483,""))</f>
        <v/>
      </c>
      <c r="W483" s="10" t="str">
        <f aca="false">IF($E483="","",IF($I483&lt;&gt;"","факт","прогноз"))</f>
        <v/>
      </c>
      <c r="X483" s="1"/>
      <c r="Y483" s="1"/>
      <c r="Z483" s="1"/>
      <c r="AA483" s="1"/>
      <c r="AB483" s="1"/>
      <c r="AC483" s="1"/>
      <c r="AD483" s="1"/>
    </row>
    <row r="484" customFormat="false" ht="18" hidden="false" customHeight="true" outlineLevel="0" collapsed="false">
      <c r="A484" s="1"/>
      <c r="B484" s="35"/>
      <c r="C484" s="8"/>
      <c r="D484" s="26"/>
      <c r="E484" s="27"/>
      <c r="F484" s="36"/>
      <c r="G484" s="36"/>
      <c r="H484" s="36"/>
      <c r="I484" s="36"/>
      <c r="J484" s="37" t="str">
        <f aca="false">IF($E484="","",IFERROR(G484/F484,""))</f>
        <v/>
      </c>
      <c r="K484" s="30" t="str">
        <f aca="false">IF($E484="","",IFERROR(E484/G484,""))</f>
        <v/>
      </c>
      <c r="L484" s="30" t="str">
        <f aca="false">IF($E484="","",IFERROR(E484/F484*1000,""))</f>
        <v/>
      </c>
      <c r="M484" s="37" t="str">
        <f aca="false">IF($E484="","",IFERROR(H484/G484,""))</f>
        <v/>
      </c>
      <c r="N484" s="30" t="str">
        <f aca="false">IF($E484="","",IFERROR(E484/H484,"—"))</f>
        <v/>
      </c>
      <c r="O484" s="30" t="str">
        <f aca="false">IF($E484="","",IFERROR(INDEX('Гео-калькулятор'!$K$7:$K$13,MATCH($C484,'Гео-калькулятор'!$B$7:$B$13,0)),""))</f>
        <v/>
      </c>
      <c r="P484" s="38" t="str">
        <f aca="false">IF($E484="","",IFERROR(N484/O484,""))</f>
        <v/>
      </c>
      <c r="Q484" s="39" t="str">
        <f aca="false">IF($E484="","",IF($I484&lt;&gt;"",$I484,N($H484)*IFERROR(INDEX('Гео-калькулятор'!$E$7:$E$13,MATCH($C484,'Гео-калькулятор'!$B$7:$B$13,0)),0)))</f>
        <v/>
      </c>
      <c r="R484" s="38" t="str">
        <f aca="false">IF($E484="","",IFERROR(Q484/H484,""))</f>
        <v/>
      </c>
      <c r="S484" s="30" t="str">
        <f aca="false">IF($E484="","",IFERROR(E484/Q484,"—"))</f>
        <v/>
      </c>
      <c r="T484" s="30" t="str">
        <f aca="false">IF($E484="","",Q484*IFERROR(INDEX('Гео-калькулятор'!$D$7:$D$13,MATCH($C484,'Гео-калькулятор'!$B$7:$B$13,0)),0))</f>
        <v/>
      </c>
      <c r="U484" s="40" t="str">
        <f aca="false">IF($E484="","",T484-E484)</f>
        <v/>
      </c>
      <c r="V484" s="41" t="str">
        <f aca="false">IF($E484="","",IFERROR(U484/E484,""))</f>
        <v/>
      </c>
      <c r="W484" s="10" t="str">
        <f aca="false">IF($E484="","",IF($I484&lt;&gt;"","факт","прогноз"))</f>
        <v/>
      </c>
      <c r="X484" s="1"/>
      <c r="Y484" s="1"/>
      <c r="Z484" s="1"/>
      <c r="AA484" s="1"/>
      <c r="AB484" s="1"/>
      <c r="AC484" s="1"/>
      <c r="AD484" s="1"/>
    </row>
    <row r="485" customFormat="false" ht="18" hidden="false" customHeight="true" outlineLevel="0" collapsed="false">
      <c r="A485" s="1"/>
      <c r="B485" s="35"/>
      <c r="C485" s="8"/>
      <c r="D485" s="26"/>
      <c r="E485" s="27"/>
      <c r="F485" s="36"/>
      <c r="G485" s="36"/>
      <c r="H485" s="36"/>
      <c r="I485" s="36"/>
      <c r="J485" s="37" t="str">
        <f aca="false">IF($E485="","",IFERROR(G485/F485,""))</f>
        <v/>
      </c>
      <c r="K485" s="30" t="str">
        <f aca="false">IF($E485="","",IFERROR(E485/G485,""))</f>
        <v/>
      </c>
      <c r="L485" s="30" t="str">
        <f aca="false">IF($E485="","",IFERROR(E485/F485*1000,""))</f>
        <v/>
      </c>
      <c r="M485" s="37" t="str">
        <f aca="false">IF($E485="","",IFERROR(H485/G485,""))</f>
        <v/>
      </c>
      <c r="N485" s="30" t="str">
        <f aca="false">IF($E485="","",IFERROR(E485/H485,"—"))</f>
        <v/>
      </c>
      <c r="O485" s="30" t="str">
        <f aca="false">IF($E485="","",IFERROR(INDEX('Гео-калькулятор'!$K$7:$K$13,MATCH($C485,'Гео-калькулятор'!$B$7:$B$13,0)),""))</f>
        <v/>
      </c>
      <c r="P485" s="38" t="str">
        <f aca="false">IF($E485="","",IFERROR(N485/O485,""))</f>
        <v/>
      </c>
      <c r="Q485" s="39" t="str">
        <f aca="false">IF($E485="","",IF($I485&lt;&gt;"",$I485,N($H485)*IFERROR(INDEX('Гео-калькулятор'!$E$7:$E$13,MATCH($C485,'Гео-калькулятор'!$B$7:$B$13,0)),0)))</f>
        <v/>
      </c>
      <c r="R485" s="38" t="str">
        <f aca="false">IF($E485="","",IFERROR(Q485/H485,""))</f>
        <v/>
      </c>
      <c r="S485" s="30" t="str">
        <f aca="false">IF($E485="","",IFERROR(E485/Q485,"—"))</f>
        <v/>
      </c>
      <c r="T485" s="30" t="str">
        <f aca="false">IF($E485="","",Q485*IFERROR(INDEX('Гео-калькулятор'!$D$7:$D$13,MATCH($C485,'Гео-калькулятор'!$B$7:$B$13,0)),0))</f>
        <v/>
      </c>
      <c r="U485" s="40" t="str">
        <f aca="false">IF($E485="","",T485-E485)</f>
        <v/>
      </c>
      <c r="V485" s="41" t="str">
        <f aca="false">IF($E485="","",IFERROR(U485/E485,""))</f>
        <v/>
      </c>
      <c r="W485" s="10" t="str">
        <f aca="false">IF($E485="","",IF($I485&lt;&gt;"","факт","прогноз"))</f>
        <v/>
      </c>
      <c r="X485" s="1"/>
      <c r="Y485" s="1"/>
      <c r="Z485" s="1"/>
      <c r="AA485" s="1"/>
      <c r="AB485" s="1"/>
      <c r="AC485" s="1"/>
      <c r="AD485" s="1"/>
    </row>
    <row r="486" customFormat="false" ht="18" hidden="false" customHeight="true" outlineLevel="0" collapsed="false">
      <c r="A486" s="1"/>
      <c r="B486" s="35"/>
      <c r="C486" s="8"/>
      <c r="D486" s="26"/>
      <c r="E486" s="27"/>
      <c r="F486" s="36"/>
      <c r="G486" s="36"/>
      <c r="H486" s="36"/>
      <c r="I486" s="36"/>
      <c r="J486" s="37" t="str">
        <f aca="false">IF($E486="","",IFERROR(G486/F486,""))</f>
        <v/>
      </c>
      <c r="K486" s="30" t="str">
        <f aca="false">IF($E486="","",IFERROR(E486/G486,""))</f>
        <v/>
      </c>
      <c r="L486" s="30" t="str">
        <f aca="false">IF($E486="","",IFERROR(E486/F486*1000,""))</f>
        <v/>
      </c>
      <c r="M486" s="37" t="str">
        <f aca="false">IF($E486="","",IFERROR(H486/G486,""))</f>
        <v/>
      </c>
      <c r="N486" s="30" t="str">
        <f aca="false">IF($E486="","",IFERROR(E486/H486,"—"))</f>
        <v/>
      </c>
      <c r="O486" s="30" t="str">
        <f aca="false">IF($E486="","",IFERROR(INDEX('Гео-калькулятор'!$K$7:$K$13,MATCH($C486,'Гео-калькулятор'!$B$7:$B$13,0)),""))</f>
        <v/>
      </c>
      <c r="P486" s="38" t="str">
        <f aca="false">IF($E486="","",IFERROR(N486/O486,""))</f>
        <v/>
      </c>
      <c r="Q486" s="39" t="str">
        <f aca="false">IF($E486="","",IF($I486&lt;&gt;"",$I486,N($H486)*IFERROR(INDEX('Гео-калькулятор'!$E$7:$E$13,MATCH($C486,'Гео-калькулятор'!$B$7:$B$13,0)),0)))</f>
        <v/>
      </c>
      <c r="R486" s="38" t="str">
        <f aca="false">IF($E486="","",IFERROR(Q486/H486,""))</f>
        <v/>
      </c>
      <c r="S486" s="30" t="str">
        <f aca="false">IF($E486="","",IFERROR(E486/Q486,"—"))</f>
        <v/>
      </c>
      <c r="T486" s="30" t="str">
        <f aca="false">IF($E486="","",Q486*IFERROR(INDEX('Гео-калькулятор'!$D$7:$D$13,MATCH($C486,'Гео-калькулятор'!$B$7:$B$13,0)),0))</f>
        <v/>
      </c>
      <c r="U486" s="40" t="str">
        <f aca="false">IF($E486="","",T486-E486)</f>
        <v/>
      </c>
      <c r="V486" s="41" t="str">
        <f aca="false">IF($E486="","",IFERROR(U486/E486,""))</f>
        <v/>
      </c>
      <c r="W486" s="10" t="str">
        <f aca="false">IF($E486="","",IF($I486&lt;&gt;"","факт","прогноз"))</f>
        <v/>
      </c>
      <c r="X486" s="1"/>
      <c r="Y486" s="1"/>
      <c r="Z486" s="1"/>
      <c r="AA486" s="1"/>
      <c r="AB486" s="1"/>
      <c r="AC486" s="1"/>
      <c r="AD486" s="1"/>
    </row>
    <row r="487" customFormat="false" ht="18" hidden="false" customHeight="true" outlineLevel="0" collapsed="false">
      <c r="A487" s="1"/>
      <c r="B487" s="35"/>
      <c r="C487" s="8"/>
      <c r="D487" s="26"/>
      <c r="E487" s="27"/>
      <c r="F487" s="36"/>
      <c r="G487" s="36"/>
      <c r="H487" s="36"/>
      <c r="I487" s="36"/>
      <c r="J487" s="37" t="str">
        <f aca="false">IF($E487="","",IFERROR(G487/F487,""))</f>
        <v/>
      </c>
      <c r="K487" s="30" t="str">
        <f aca="false">IF($E487="","",IFERROR(E487/G487,""))</f>
        <v/>
      </c>
      <c r="L487" s="30" t="str">
        <f aca="false">IF($E487="","",IFERROR(E487/F487*1000,""))</f>
        <v/>
      </c>
      <c r="M487" s="37" t="str">
        <f aca="false">IF($E487="","",IFERROR(H487/G487,""))</f>
        <v/>
      </c>
      <c r="N487" s="30" t="str">
        <f aca="false">IF($E487="","",IFERROR(E487/H487,"—"))</f>
        <v/>
      </c>
      <c r="O487" s="30" t="str">
        <f aca="false">IF($E487="","",IFERROR(INDEX('Гео-калькулятор'!$K$7:$K$13,MATCH($C487,'Гео-калькулятор'!$B$7:$B$13,0)),""))</f>
        <v/>
      </c>
      <c r="P487" s="38" t="str">
        <f aca="false">IF($E487="","",IFERROR(N487/O487,""))</f>
        <v/>
      </c>
      <c r="Q487" s="39" t="str">
        <f aca="false">IF($E487="","",IF($I487&lt;&gt;"",$I487,N($H487)*IFERROR(INDEX('Гео-калькулятор'!$E$7:$E$13,MATCH($C487,'Гео-калькулятор'!$B$7:$B$13,0)),0)))</f>
        <v/>
      </c>
      <c r="R487" s="38" t="str">
        <f aca="false">IF($E487="","",IFERROR(Q487/H487,""))</f>
        <v/>
      </c>
      <c r="S487" s="30" t="str">
        <f aca="false">IF($E487="","",IFERROR(E487/Q487,"—"))</f>
        <v/>
      </c>
      <c r="T487" s="30" t="str">
        <f aca="false">IF($E487="","",Q487*IFERROR(INDEX('Гео-калькулятор'!$D$7:$D$13,MATCH($C487,'Гео-калькулятор'!$B$7:$B$13,0)),0))</f>
        <v/>
      </c>
      <c r="U487" s="40" t="str">
        <f aca="false">IF($E487="","",T487-E487)</f>
        <v/>
      </c>
      <c r="V487" s="41" t="str">
        <f aca="false">IF($E487="","",IFERROR(U487/E487,""))</f>
        <v/>
      </c>
      <c r="W487" s="10" t="str">
        <f aca="false">IF($E487="","",IF($I487&lt;&gt;"","факт","прогноз"))</f>
        <v/>
      </c>
      <c r="X487" s="1"/>
      <c r="Y487" s="1"/>
      <c r="Z487" s="1"/>
      <c r="AA487" s="1"/>
      <c r="AB487" s="1"/>
      <c r="AC487" s="1"/>
      <c r="AD487" s="1"/>
    </row>
    <row r="488" customFormat="false" ht="18" hidden="false" customHeight="true" outlineLevel="0" collapsed="false">
      <c r="A488" s="1"/>
      <c r="B488" s="35"/>
      <c r="C488" s="8"/>
      <c r="D488" s="26"/>
      <c r="E488" s="27"/>
      <c r="F488" s="36"/>
      <c r="G488" s="36"/>
      <c r="H488" s="36"/>
      <c r="I488" s="36"/>
      <c r="J488" s="37" t="str">
        <f aca="false">IF($E488="","",IFERROR(G488/F488,""))</f>
        <v/>
      </c>
      <c r="K488" s="30" t="str">
        <f aca="false">IF($E488="","",IFERROR(E488/G488,""))</f>
        <v/>
      </c>
      <c r="L488" s="30" t="str">
        <f aca="false">IF($E488="","",IFERROR(E488/F488*1000,""))</f>
        <v/>
      </c>
      <c r="M488" s="37" t="str">
        <f aca="false">IF($E488="","",IFERROR(H488/G488,""))</f>
        <v/>
      </c>
      <c r="N488" s="30" t="str">
        <f aca="false">IF($E488="","",IFERROR(E488/H488,"—"))</f>
        <v/>
      </c>
      <c r="O488" s="30" t="str">
        <f aca="false">IF($E488="","",IFERROR(INDEX('Гео-калькулятор'!$K$7:$K$13,MATCH($C488,'Гео-калькулятор'!$B$7:$B$13,0)),""))</f>
        <v/>
      </c>
      <c r="P488" s="38" t="str">
        <f aca="false">IF($E488="","",IFERROR(N488/O488,""))</f>
        <v/>
      </c>
      <c r="Q488" s="39" t="str">
        <f aca="false">IF($E488="","",IF($I488&lt;&gt;"",$I488,N($H488)*IFERROR(INDEX('Гео-калькулятор'!$E$7:$E$13,MATCH($C488,'Гео-калькулятор'!$B$7:$B$13,0)),0)))</f>
        <v/>
      </c>
      <c r="R488" s="38" t="str">
        <f aca="false">IF($E488="","",IFERROR(Q488/H488,""))</f>
        <v/>
      </c>
      <c r="S488" s="30" t="str">
        <f aca="false">IF($E488="","",IFERROR(E488/Q488,"—"))</f>
        <v/>
      </c>
      <c r="T488" s="30" t="str">
        <f aca="false">IF($E488="","",Q488*IFERROR(INDEX('Гео-калькулятор'!$D$7:$D$13,MATCH($C488,'Гео-калькулятор'!$B$7:$B$13,0)),0))</f>
        <v/>
      </c>
      <c r="U488" s="40" t="str">
        <f aca="false">IF($E488="","",T488-E488)</f>
        <v/>
      </c>
      <c r="V488" s="41" t="str">
        <f aca="false">IF($E488="","",IFERROR(U488/E488,""))</f>
        <v/>
      </c>
      <c r="W488" s="10" t="str">
        <f aca="false">IF($E488="","",IF($I488&lt;&gt;"","факт","прогноз"))</f>
        <v/>
      </c>
      <c r="X488" s="1"/>
      <c r="Y488" s="1"/>
      <c r="Z488" s="1"/>
      <c r="AA488" s="1"/>
      <c r="AB488" s="1"/>
      <c r="AC488" s="1"/>
      <c r="AD488" s="1"/>
    </row>
    <row r="489" customFormat="false" ht="18" hidden="false" customHeight="true" outlineLevel="0" collapsed="false">
      <c r="A489" s="1"/>
      <c r="B489" s="35"/>
      <c r="C489" s="8"/>
      <c r="D489" s="26"/>
      <c r="E489" s="27"/>
      <c r="F489" s="36"/>
      <c r="G489" s="36"/>
      <c r="H489" s="36"/>
      <c r="I489" s="36"/>
      <c r="J489" s="37" t="str">
        <f aca="false">IF($E489="","",IFERROR(G489/F489,""))</f>
        <v/>
      </c>
      <c r="K489" s="30" t="str">
        <f aca="false">IF($E489="","",IFERROR(E489/G489,""))</f>
        <v/>
      </c>
      <c r="L489" s="30" t="str">
        <f aca="false">IF($E489="","",IFERROR(E489/F489*1000,""))</f>
        <v/>
      </c>
      <c r="M489" s="37" t="str">
        <f aca="false">IF($E489="","",IFERROR(H489/G489,""))</f>
        <v/>
      </c>
      <c r="N489" s="30" t="str">
        <f aca="false">IF($E489="","",IFERROR(E489/H489,"—"))</f>
        <v/>
      </c>
      <c r="O489" s="30" t="str">
        <f aca="false">IF($E489="","",IFERROR(INDEX('Гео-калькулятор'!$K$7:$K$13,MATCH($C489,'Гео-калькулятор'!$B$7:$B$13,0)),""))</f>
        <v/>
      </c>
      <c r="P489" s="38" t="str">
        <f aca="false">IF($E489="","",IFERROR(N489/O489,""))</f>
        <v/>
      </c>
      <c r="Q489" s="39" t="str">
        <f aca="false">IF($E489="","",IF($I489&lt;&gt;"",$I489,N($H489)*IFERROR(INDEX('Гео-калькулятор'!$E$7:$E$13,MATCH($C489,'Гео-калькулятор'!$B$7:$B$13,0)),0)))</f>
        <v/>
      </c>
      <c r="R489" s="38" t="str">
        <f aca="false">IF($E489="","",IFERROR(Q489/H489,""))</f>
        <v/>
      </c>
      <c r="S489" s="30" t="str">
        <f aca="false">IF($E489="","",IFERROR(E489/Q489,"—"))</f>
        <v/>
      </c>
      <c r="T489" s="30" t="str">
        <f aca="false">IF($E489="","",Q489*IFERROR(INDEX('Гео-калькулятор'!$D$7:$D$13,MATCH($C489,'Гео-калькулятор'!$B$7:$B$13,0)),0))</f>
        <v/>
      </c>
      <c r="U489" s="40" t="str">
        <f aca="false">IF($E489="","",T489-E489)</f>
        <v/>
      </c>
      <c r="V489" s="41" t="str">
        <f aca="false">IF($E489="","",IFERROR(U489/E489,""))</f>
        <v/>
      </c>
      <c r="W489" s="10" t="str">
        <f aca="false">IF($E489="","",IF($I489&lt;&gt;"","факт","прогноз"))</f>
        <v/>
      </c>
      <c r="X489" s="1"/>
      <c r="Y489" s="1"/>
      <c r="Z489" s="1"/>
      <c r="AA489" s="1"/>
      <c r="AB489" s="1"/>
      <c r="AC489" s="1"/>
      <c r="AD489" s="1"/>
    </row>
    <row r="490" customFormat="false" ht="18" hidden="false" customHeight="true" outlineLevel="0" collapsed="false">
      <c r="A490" s="1"/>
      <c r="B490" s="35"/>
      <c r="C490" s="8"/>
      <c r="D490" s="26"/>
      <c r="E490" s="27"/>
      <c r="F490" s="36"/>
      <c r="G490" s="36"/>
      <c r="H490" s="36"/>
      <c r="I490" s="36"/>
      <c r="J490" s="37" t="str">
        <f aca="false">IF($E490="","",IFERROR(G490/F490,""))</f>
        <v/>
      </c>
      <c r="K490" s="30" t="str">
        <f aca="false">IF($E490="","",IFERROR(E490/G490,""))</f>
        <v/>
      </c>
      <c r="L490" s="30" t="str">
        <f aca="false">IF($E490="","",IFERROR(E490/F490*1000,""))</f>
        <v/>
      </c>
      <c r="M490" s="37" t="str">
        <f aca="false">IF($E490="","",IFERROR(H490/G490,""))</f>
        <v/>
      </c>
      <c r="N490" s="30" t="str">
        <f aca="false">IF($E490="","",IFERROR(E490/H490,"—"))</f>
        <v/>
      </c>
      <c r="O490" s="30" t="str">
        <f aca="false">IF($E490="","",IFERROR(INDEX('Гео-калькулятор'!$K$7:$K$13,MATCH($C490,'Гео-калькулятор'!$B$7:$B$13,0)),""))</f>
        <v/>
      </c>
      <c r="P490" s="38" t="str">
        <f aca="false">IF($E490="","",IFERROR(N490/O490,""))</f>
        <v/>
      </c>
      <c r="Q490" s="39" t="str">
        <f aca="false">IF($E490="","",IF($I490&lt;&gt;"",$I490,N($H490)*IFERROR(INDEX('Гео-калькулятор'!$E$7:$E$13,MATCH($C490,'Гео-калькулятор'!$B$7:$B$13,0)),0)))</f>
        <v/>
      </c>
      <c r="R490" s="38" t="str">
        <f aca="false">IF($E490="","",IFERROR(Q490/H490,""))</f>
        <v/>
      </c>
      <c r="S490" s="30" t="str">
        <f aca="false">IF($E490="","",IFERROR(E490/Q490,"—"))</f>
        <v/>
      </c>
      <c r="T490" s="30" t="str">
        <f aca="false">IF($E490="","",Q490*IFERROR(INDEX('Гео-калькулятор'!$D$7:$D$13,MATCH($C490,'Гео-калькулятор'!$B$7:$B$13,0)),0))</f>
        <v/>
      </c>
      <c r="U490" s="40" t="str">
        <f aca="false">IF($E490="","",T490-E490)</f>
        <v/>
      </c>
      <c r="V490" s="41" t="str">
        <f aca="false">IF($E490="","",IFERROR(U490/E490,""))</f>
        <v/>
      </c>
      <c r="W490" s="10" t="str">
        <f aca="false">IF($E490="","",IF($I490&lt;&gt;"","факт","прогноз"))</f>
        <v/>
      </c>
      <c r="X490" s="1"/>
      <c r="Y490" s="1"/>
      <c r="Z490" s="1"/>
      <c r="AA490" s="1"/>
      <c r="AB490" s="1"/>
      <c r="AC490" s="1"/>
      <c r="AD490" s="1"/>
    </row>
    <row r="491" customFormat="false" ht="18" hidden="false" customHeight="true" outlineLevel="0" collapsed="false">
      <c r="A491" s="1"/>
      <c r="B491" s="35"/>
      <c r="C491" s="8"/>
      <c r="D491" s="26"/>
      <c r="E491" s="27"/>
      <c r="F491" s="36"/>
      <c r="G491" s="36"/>
      <c r="H491" s="36"/>
      <c r="I491" s="36"/>
      <c r="J491" s="37" t="str">
        <f aca="false">IF($E491="","",IFERROR(G491/F491,""))</f>
        <v/>
      </c>
      <c r="K491" s="30" t="str">
        <f aca="false">IF($E491="","",IFERROR(E491/G491,""))</f>
        <v/>
      </c>
      <c r="L491" s="30" t="str">
        <f aca="false">IF($E491="","",IFERROR(E491/F491*1000,""))</f>
        <v/>
      </c>
      <c r="M491" s="37" t="str">
        <f aca="false">IF($E491="","",IFERROR(H491/G491,""))</f>
        <v/>
      </c>
      <c r="N491" s="30" t="str">
        <f aca="false">IF($E491="","",IFERROR(E491/H491,"—"))</f>
        <v/>
      </c>
      <c r="O491" s="30" t="str">
        <f aca="false">IF($E491="","",IFERROR(INDEX('Гео-калькулятор'!$K$7:$K$13,MATCH($C491,'Гео-калькулятор'!$B$7:$B$13,0)),""))</f>
        <v/>
      </c>
      <c r="P491" s="38" t="str">
        <f aca="false">IF($E491="","",IFERROR(N491/O491,""))</f>
        <v/>
      </c>
      <c r="Q491" s="39" t="str">
        <f aca="false">IF($E491="","",IF($I491&lt;&gt;"",$I491,N($H491)*IFERROR(INDEX('Гео-калькулятор'!$E$7:$E$13,MATCH($C491,'Гео-калькулятор'!$B$7:$B$13,0)),0)))</f>
        <v/>
      </c>
      <c r="R491" s="38" t="str">
        <f aca="false">IF($E491="","",IFERROR(Q491/H491,""))</f>
        <v/>
      </c>
      <c r="S491" s="30" t="str">
        <f aca="false">IF($E491="","",IFERROR(E491/Q491,"—"))</f>
        <v/>
      </c>
      <c r="T491" s="30" t="str">
        <f aca="false">IF($E491="","",Q491*IFERROR(INDEX('Гео-калькулятор'!$D$7:$D$13,MATCH($C491,'Гео-калькулятор'!$B$7:$B$13,0)),0))</f>
        <v/>
      </c>
      <c r="U491" s="40" t="str">
        <f aca="false">IF($E491="","",T491-E491)</f>
        <v/>
      </c>
      <c r="V491" s="41" t="str">
        <f aca="false">IF($E491="","",IFERROR(U491/E491,""))</f>
        <v/>
      </c>
      <c r="W491" s="10" t="str">
        <f aca="false">IF($E491="","",IF($I491&lt;&gt;"","факт","прогноз"))</f>
        <v/>
      </c>
      <c r="X491" s="1"/>
      <c r="Y491" s="1"/>
      <c r="Z491" s="1"/>
      <c r="AA491" s="1"/>
      <c r="AB491" s="1"/>
      <c r="AC491" s="1"/>
      <c r="AD491" s="1"/>
    </row>
    <row r="492" customFormat="false" ht="18" hidden="false" customHeight="true" outlineLevel="0" collapsed="false">
      <c r="A492" s="1"/>
      <c r="B492" s="35"/>
      <c r="C492" s="8"/>
      <c r="D492" s="26"/>
      <c r="E492" s="27"/>
      <c r="F492" s="36"/>
      <c r="G492" s="36"/>
      <c r="H492" s="36"/>
      <c r="I492" s="36"/>
      <c r="J492" s="37" t="str">
        <f aca="false">IF($E492="","",IFERROR(G492/F492,""))</f>
        <v/>
      </c>
      <c r="K492" s="30" t="str">
        <f aca="false">IF($E492="","",IFERROR(E492/G492,""))</f>
        <v/>
      </c>
      <c r="L492" s="30" t="str">
        <f aca="false">IF($E492="","",IFERROR(E492/F492*1000,""))</f>
        <v/>
      </c>
      <c r="M492" s="37" t="str">
        <f aca="false">IF($E492="","",IFERROR(H492/G492,""))</f>
        <v/>
      </c>
      <c r="N492" s="30" t="str">
        <f aca="false">IF($E492="","",IFERROR(E492/H492,"—"))</f>
        <v/>
      </c>
      <c r="O492" s="30" t="str">
        <f aca="false">IF($E492="","",IFERROR(INDEX('Гео-калькулятор'!$K$7:$K$13,MATCH($C492,'Гео-калькулятор'!$B$7:$B$13,0)),""))</f>
        <v/>
      </c>
      <c r="P492" s="38" t="str">
        <f aca="false">IF($E492="","",IFERROR(N492/O492,""))</f>
        <v/>
      </c>
      <c r="Q492" s="39" t="str">
        <f aca="false">IF($E492="","",IF($I492&lt;&gt;"",$I492,N($H492)*IFERROR(INDEX('Гео-калькулятор'!$E$7:$E$13,MATCH($C492,'Гео-калькулятор'!$B$7:$B$13,0)),0)))</f>
        <v/>
      </c>
      <c r="R492" s="38" t="str">
        <f aca="false">IF($E492="","",IFERROR(Q492/H492,""))</f>
        <v/>
      </c>
      <c r="S492" s="30" t="str">
        <f aca="false">IF($E492="","",IFERROR(E492/Q492,"—"))</f>
        <v/>
      </c>
      <c r="T492" s="30" t="str">
        <f aca="false">IF($E492="","",Q492*IFERROR(INDEX('Гео-калькулятор'!$D$7:$D$13,MATCH($C492,'Гео-калькулятор'!$B$7:$B$13,0)),0))</f>
        <v/>
      </c>
      <c r="U492" s="40" t="str">
        <f aca="false">IF($E492="","",T492-E492)</f>
        <v/>
      </c>
      <c r="V492" s="41" t="str">
        <f aca="false">IF($E492="","",IFERROR(U492/E492,""))</f>
        <v/>
      </c>
      <c r="W492" s="10" t="str">
        <f aca="false">IF($E492="","",IF($I492&lt;&gt;"","факт","прогноз"))</f>
        <v/>
      </c>
      <c r="X492" s="1"/>
      <c r="Y492" s="1"/>
      <c r="Z492" s="1"/>
      <c r="AA492" s="1"/>
      <c r="AB492" s="1"/>
      <c r="AC492" s="1"/>
      <c r="AD492" s="1"/>
    </row>
    <row r="493" customFormat="false" ht="18" hidden="false" customHeight="true" outlineLevel="0" collapsed="false">
      <c r="A493" s="1"/>
      <c r="B493" s="35"/>
      <c r="C493" s="8"/>
      <c r="D493" s="26"/>
      <c r="E493" s="27"/>
      <c r="F493" s="36"/>
      <c r="G493" s="36"/>
      <c r="H493" s="36"/>
      <c r="I493" s="36"/>
      <c r="J493" s="37" t="str">
        <f aca="false">IF($E493="","",IFERROR(G493/F493,""))</f>
        <v/>
      </c>
      <c r="K493" s="30" t="str">
        <f aca="false">IF($E493="","",IFERROR(E493/G493,""))</f>
        <v/>
      </c>
      <c r="L493" s="30" t="str">
        <f aca="false">IF($E493="","",IFERROR(E493/F493*1000,""))</f>
        <v/>
      </c>
      <c r="M493" s="37" t="str">
        <f aca="false">IF($E493="","",IFERROR(H493/G493,""))</f>
        <v/>
      </c>
      <c r="N493" s="30" t="str">
        <f aca="false">IF($E493="","",IFERROR(E493/H493,"—"))</f>
        <v/>
      </c>
      <c r="O493" s="30" t="str">
        <f aca="false">IF($E493="","",IFERROR(INDEX('Гео-калькулятор'!$K$7:$K$13,MATCH($C493,'Гео-калькулятор'!$B$7:$B$13,0)),""))</f>
        <v/>
      </c>
      <c r="P493" s="38" t="str">
        <f aca="false">IF($E493="","",IFERROR(N493/O493,""))</f>
        <v/>
      </c>
      <c r="Q493" s="39" t="str">
        <f aca="false">IF($E493="","",IF($I493&lt;&gt;"",$I493,N($H493)*IFERROR(INDEX('Гео-калькулятор'!$E$7:$E$13,MATCH($C493,'Гео-калькулятор'!$B$7:$B$13,0)),0)))</f>
        <v/>
      </c>
      <c r="R493" s="38" t="str">
        <f aca="false">IF($E493="","",IFERROR(Q493/H493,""))</f>
        <v/>
      </c>
      <c r="S493" s="30" t="str">
        <f aca="false">IF($E493="","",IFERROR(E493/Q493,"—"))</f>
        <v/>
      </c>
      <c r="T493" s="30" t="str">
        <f aca="false">IF($E493="","",Q493*IFERROR(INDEX('Гео-калькулятор'!$D$7:$D$13,MATCH($C493,'Гео-калькулятор'!$B$7:$B$13,0)),0))</f>
        <v/>
      </c>
      <c r="U493" s="40" t="str">
        <f aca="false">IF($E493="","",T493-E493)</f>
        <v/>
      </c>
      <c r="V493" s="41" t="str">
        <f aca="false">IF($E493="","",IFERROR(U493/E493,""))</f>
        <v/>
      </c>
      <c r="W493" s="10" t="str">
        <f aca="false">IF($E493="","",IF($I493&lt;&gt;"","факт","прогноз"))</f>
        <v/>
      </c>
      <c r="X493" s="1"/>
      <c r="Y493" s="1"/>
      <c r="Z493" s="1"/>
      <c r="AA493" s="1"/>
      <c r="AB493" s="1"/>
      <c r="AC493" s="1"/>
      <c r="AD493" s="1"/>
    </row>
    <row r="494" customFormat="false" ht="18" hidden="false" customHeight="true" outlineLevel="0" collapsed="false">
      <c r="A494" s="1"/>
      <c r="B494" s="35"/>
      <c r="C494" s="8"/>
      <c r="D494" s="26"/>
      <c r="E494" s="27"/>
      <c r="F494" s="36"/>
      <c r="G494" s="36"/>
      <c r="H494" s="36"/>
      <c r="I494" s="36"/>
      <c r="J494" s="37" t="str">
        <f aca="false">IF($E494="","",IFERROR(G494/F494,""))</f>
        <v/>
      </c>
      <c r="K494" s="30" t="str">
        <f aca="false">IF($E494="","",IFERROR(E494/G494,""))</f>
        <v/>
      </c>
      <c r="L494" s="30" t="str">
        <f aca="false">IF($E494="","",IFERROR(E494/F494*1000,""))</f>
        <v/>
      </c>
      <c r="M494" s="37" t="str">
        <f aca="false">IF($E494="","",IFERROR(H494/G494,""))</f>
        <v/>
      </c>
      <c r="N494" s="30" t="str">
        <f aca="false">IF($E494="","",IFERROR(E494/H494,"—"))</f>
        <v/>
      </c>
      <c r="O494" s="30" t="str">
        <f aca="false">IF($E494="","",IFERROR(INDEX('Гео-калькулятор'!$K$7:$K$13,MATCH($C494,'Гео-калькулятор'!$B$7:$B$13,0)),""))</f>
        <v/>
      </c>
      <c r="P494" s="38" t="str">
        <f aca="false">IF($E494="","",IFERROR(N494/O494,""))</f>
        <v/>
      </c>
      <c r="Q494" s="39" t="str">
        <f aca="false">IF($E494="","",IF($I494&lt;&gt;"",$I494,N($H494)*IFERROR(INDEX('Гео-калькулятор'!$E$7:$E$13,MATCH($C494,'Гео-калькулятор'!$B$7:$B$13,0)),0)))</f>
        <v/>
      </c>
      <c r="R494" s="38" t="str">
        <f aca="false">IF($E494="","",IFERROR(Q494/H494,""))</f>
        <v/>
      </c>
      <c r="S494" s="30" t="str">
        <f aca="false">IF($E494="","",IFERROR(E494/Q494,"—"))</f>
        <v/>
      </c>
      <c r="T494" s="30" t="str">
        <f aca="false">IF($E494="","",Q494*IFERROR(INDEX('Гео-калькулятор'!$D$7:$D$13,MATCH($C494,'Гео-калькулятор'!$B$7:$B$13,0)),0))</f>
        <v/>
      </c>
      <c r="U494" s="40" t="str">
        <f aca="false">IF($E494="","",T494-E494)</f>
        <v/>
      </c>
      <c r="V494" s="41" t="str">
        <f aca="false">IF($E494="","",IFERROR(U494/E494,""))</f>
        <v/>
      </c>
      <c r="W494" s="10" t="str">
        <f aca="false">IF($E494="","",IF($I494&lt;&gt;"","факт","прогноз"))</f>
        <v/>
      </c>
      <c r="X494" s="1"/>
      <c r="Y494" s="1"/>
      <c r="Z494" s="1"/>
      <c r="AA494" s="1"/>
      <c r="AB494" s="1"/>
      <c r="AC494" s="1"/>
      <c r="AD494" s="1"/>
    </row>
    <row r="495" customFormat="false" ht="18" hidden="false" customHeight="true" outlineLevel="0" collapsed="false">
      <c r="A495" s="1"/>
      <c r="B495" s="35"/>
      <c r="C495" s="8"/>
      <c r="D495" s="26"/>
      <c r="E495" s="27"/>
      <c r="F495" s="36"/>
      <c r="G495" s="36"/>
      <c r="H495" s="36"/>
      <c r="I495" s="36"/>
      <c r="J495" s="37" t="str">
        <f aca="false">IF($E495="","",IFERROR(G495/F495,""))</f>
        <v/>
      </c>
      <c r="K495" s="30" t="str">
        <f aca="false">IF($E495="","",IFERROR(E495/G495,""))</f>
        <v/>
      </c>
      <c r="L495" s="30" t="str">
        <f aca="false">IF($E495="","",IFERROR(E495/F495*1000,""))</f>
        <v/>
      </c>
      <c r="M495" s="37" t="str">
        <f aca="false">IF($E495="","",IFERROR(H495/G495,""))</f>
        <v/>
      </c>
      <c r="N495" s="30" t="str">
        <f aca="false">IF($E495="","",IFERROR(E495/H495,"—"))</f>
        <v/>
      </c>
      <c r="O495" s="30" t="str">
        <f aca="false">IF($E495="","",IFERROR(INDEX('Гео-калькулятор'!$K$7:$K$13,MATCH($C495,'Гео-калькулятор'!$B$7:$B$13,0)),""))</f>
        <v/>
      </c>
      <c r="P495" s="38" t="str">
        <f aca="false">IF($E495="","",IFERROR(N495/O495,""))</f>
        <v/>
      </c>
      <c r="Q495" s="39" t="str">
        <f aca="false">IF($E495="","",IF($I495&lt;&gt;"",$I495,N($H495)*IFERROR(INDEX('Гео-калькулятор'!$E$7:$E$13,MATCH($C495,'Гео-калькулятор'!$B$7:$B$13,0)),0)))</f>
        <v/>
      </c>
      <c r="R495" s="38" t="str">
        <f aca="false">IF($E495="","",IFERROR(Q495/H495,""))</f>
        <v/>
      </c>
      <c r="S495" s="30" t="str">
        <f aca="false">IF($E495="","",IFERROR(E495/Q495,"—"))</f>
        <v/>
      </c>
      <c r="T495" s="30" t="str">
        <f aca="false">IF($E495="","",Q495*IFERROR(INDEX('Гео-калькулятор'!$D$7:$D$13,MATCH($C495,'Гео-калькулятор'!$B$7:$B$13,0)),0))</f>
        <v/>
      </c>
      <c r="U495" s="40" t="str">
        <f aca="false">IF($E495="","",T495-E495)</f>
        <v/>
      </c>
      <c r="V495" s="41" t="str">
        <f aca="false">IF($E495="","",IFERROR(U495/E495,""))</f>
        <v/>
      </c>
      <c r="W495" s="10" t="str">
        <f aca="false">IF($E495="","",IF($I495&lt;&gt;"","факт","прогноз"))</f>
        <v/>
      </c>
      <c r="X495" s="1"/>
      <c r="Y495" s="1"/>
      <c r="Z495" s="1"/>
      <c r="AA495" s="1"/>
      <c r="AB495" s="1"/>
      <c r="AC495" s="1"/>
      <c r="AD495" s="1"/>
    </row>
    <row r="496" customFormat="false" ht="18" hidden="false" customHeight="true" outlineLevel="0" collapsed="false">
      <c r="A496" s="1"/>
      <c r="B496" s="35"/>
      <c r="C496" s="8"/>
      <c r="D496" s="26"/>
      <c r="E496" s="27"/>
      <c r="F496" s="36"/>
      <c r="G496" s="36"/>
      <c r="H496" s="36"/>
      <c r="I496" s="36"/>
      <c r="J496" s="37" t="str">
        <f aca="false">IF($E496="","",IFERROR(G496/F496,""))</f>
        <v/>
      </c>
      <c r="K496" s="30" t="str">
        <f aca="false">IF($E496="","",IFERROR(E496/G496,""))</f>
        <v/>
      </c>
      <c r="L496" s="30" t="str">
        <f aca="false">IF($E496="","",IFERROR(E496/F496*1000,""))</f>
        <v/>
      </c>
      <c r="M496" s="37" t="str">
        <f aca="false">IF($E496="","",IFERROR(H496/G496,""))</f>
        <v/>
      </c>
      <c r="N496" s="30" t="str">
        <f aca="false">IF($E496="","",IFERROR(E496/H496,"—"))</f>
        <v/>
      </c>
      <c r="O496" s="30" t="str">
        <f aca="false">IF($E496="","",IFERROR(INDEX('Гео-калькулятор'!$K$7:$K$13,MATCH($C496,'Гео-калькулятор'!$B$7:$B$13,0)),""))</f>
        <v/>
      </c>
      <c r="P496" s="38" t="str">
        <f aca="false">IF($E496="","",IFERROR(N496/O496,""))</f>
        <v/>
      </c>
      <c r="Q496" s="39" t="str">
        <f aca="false">IF($E496="","",IF($I496&lt;&gt;"",$I496,N($H496)*IFERROR(INDEX('Гео-калькулятор'!$E$7:$E$13,MATCH($C496,'Гео-калькулятор'!$B$7:$B$13,0)),0)))</f>
        <v/>
      </c>
      <c r="R496" s="38" t="str">
        <f aca="false">IF($E496="","",IFERROR(Q496/H496,""))</f>
        <v/>
      </c>
      <c r="S496" s="30" t="str">
        <f aca="false">IF($E496="","",IFERROR(E496/Q496,"—"))</f>
        <v/>
      </c>
      <c r="T496" s="30" t="str">
        <f aca="false">IF($E496="","",Q496*IFERROR(INDEX('Гео-калькулятор'!$D$7:$D$13,MATCH($C496,'Гео-калькулятор'!$B$7:$B$13,0)),0))</f>
        <v/>
      </c>
      <c r="U496" s="40" t="str">
        <f aca="false">IF($E496="","",T496-E496)</f>
        <v/>
      </c>
      <c r="V496" s="41" t="str">
        <f aca="false">IF($E496="","",IFERROR(U496/E496,""))</f>
        <v/>
      </c>
      <c r="W496" s="10" t="str">
        <f aca="false">IF($E496="","",IF($I496&lt;&gt;"","факт","прогноз"))</f>
        <v/>
      </c>
      <c r="X496" s="1"/>
      <c r="Y496" s="1"/>
      <c r="Z496" s="1"/>
      <c r="AA496" s="1"/>
      <c r="AB496" s="1"/>
      <c r="AC496" s="1"/>
      <c r="AD496" s="1"/>
    </row>
    <row r="497" customFormat="false" ht="18" hidden="false" customHeight="true" outlineLevel="0" collapsed="false">
      <c r="A497" s="1"/>
      <c r="B497" s="35"/>
      <c r="C497" s="8"/>
      <c r="D497" s="26"/>
      <c r="E497" s="27"/>
      <c r="F497" s="36"/>
      <c r="G497" s="36"/>
      <c r="H497" s="36"/>
      <c r="I497" s="36"/>
      <c r="J497" s="37" t="str">
        <f aca="false">IF($E497="","",IFERROR(G497/F497,""))</f>
        <v/>
      </c>
      <c r="K497" s="30" t="str">
        <f aca="false">IF($E497="","",IFERROR(E497/G497,""))</f>
        <v/>
      </c>
      <c r="L497" s="30" t="str">
        <f aca="false">IF($E497="","",IFERROR(E497/F497*1000,""))</f>
        <v/>
      </c>
      <c r="M497" s="37" t="str">
        <f aca="false">IF($E497="","",IFERROR(H497/G497,""))</f>
        <v/>
      </c>
      <c r="N497" s="30" t="str">
        <f aca="false">IF($E497="","",IFERROR(E497/H497,"—"))</f>
        <v/>
      </c>
      <c r="O497" s="30" t="str">
        <f aca="false">IF($E497="","",IFERROR(INDEX('Гео-калькулятор'!$K$7:$K$13,MATCH($C497,'Гео-калькулятор'!$B$7:$B$13,0)),""))</f>
        <v/>
      </c>
      <c r="P497" s="38" t="str">
        <f aca="false">IF($E497="","",IFERROR(N497/O497,""))</f>
        <v/>
      </c>
      <c r="Q497" s="39" t="str">
        <f aca="false">IF($E497="","",IF($I497&lt;&gt;"",$I497,N($H497)*IFERROR(INDEX('Гео-калькулятор'!$E$7:$E$13,MATCH($C497,'Гео-калькулятор'!$B$7:$B$13,0)),0)))</f>
        <v/>
      </c>
      <c r="R497" s="38" t="str">
        <f aca="false">IF($E497="","",IFERROR(Q497/H497,""))</f>
        <v/>
      </c>
      <c r="S497" s="30" t="str">
        <f aca="false">IF($E497="","",IFERROR(E497/Q497,"—"))</f>
        <v/>
      </c>
      <c r="T497" s="30" t="str">
        <f aca="false">IF($E497="","",Q497*IFERROR(INDEX('Гео-калькулятор'!$D$7:$D$13,MATCH($C497,'Гео-калькулятор'!$B$7:$B$13,0)),0))</f>
        <v/>
      </c>
      <c r="U497" s="40" t="str">
        <f aca="false">IF($E497="","",T497-E497)</f>
        <v/>
      </c>
      <c r="V497" s="41" t="str">
        <f aca="false">IF($E497="","",IFERROR(U497/E497,""))</f>
        <v/>
      </c>
      <c r="W497" s="10" t="str">
        <f aca="false">IF($E497="","",IF($I497&lt;&gt;"","факт","прогноз"))</f>
        <v/>
      </c>
      <c r="X497" s="1"/>
      <c r="Y497" s="1"/>
      <c r="Z497" s="1"/>
      <c r="AA497" s="1"/>
      <c r="AB497" s="1"/>
      <c r="AC497" s="1"/>
      <c r="AD497" s="1"/>
    </row>
    <row r="498" customFormat="false" ht="18" hidden="false" customHeight="true" outlineLevel="0" collapsed="false">
      <c r="A498" s="1"/>
      <c r="B498" s="35"/>
      <c r="C498" s="8"/>
      <c r="D498" s="26"/>
      <c r="E498" s="27"/>
      <c r="F498" s="36"/>
      <c r="G498" s="36"/>
      <c r="H498" s="36"/>
      <c r="I498" s="36"/>
      <c r="J498" s="37" t="str">
        <f aca="false">IF($E498="","",IFERROR(G498/F498,""))</f>
        <v/>
      </c>
      <c r="K498" s="30" t="str">
        <f aca="false">IF($E498="","",IFERROR(E498/G498,""))</f>
        <v/>
      </c>
      <c r="L498" s="30" t="str">
        <f aca="false">IF($E498="","",IFERROR(E498/F498*1000,""))</f>
        <v/>
      </c>
      <c r="M498" s="37" t="str">
        <f aca="false">IF($E498="","",IFERROR(H498/G498,""))</f>
        <v/>
      </c>
      <c r="N498" s="30" t="str">
        <f aca="false">IF($E498="","",IFERROR(E498/H498,"—"))</f>
        <v/>
      </c>
      <c r="O498" s="30" t="str">
        <f aca="false">IF($E498="","",IFERROR(INDEX('Гео-калькулятор'!$K$7:$K$13,MATCH($C498,'Гео-калькулятор'!$B$7:$B$13,0)),""))</f>
        <v/>
      </c>
      <c r="P498" s="38" t="str">
        <f aca="false">IF($E498="","",IFERROR(N498/O498,""))</f>
        <v/>
      </c>
      <c r="Q498" s="39" t="str">
        <f aca="false">IF($E498="","",IF($I498&lt;&gt;"",$I498,N($H498)*IFERROR(INDEX('Гео-калькулятор'!$E$7:$E$13,MATCH($C498,'Гео-калькулятор'!$B$7:$B$13,0)),0)))</f>
        <v/>
      </c>
      <c r="R498" s="38" t="str">
        <f aca="false">IF($E498="","",IFERROR(Q498/H498,""))</f>
        <v/>
      </c>
      <c r="S498" s="30" t="str">
        <f aca="false">IF($E498="","",IFERROR(E498/Q498,"—"))</f>
        <v/>
      </c>
      <c r="T498" s="30" t="str">
        <f aca="false">IF($E498="","",Q498*IFERROR(INDEX('Гео-калькулятор'!$D$7:$D$13,MATCH($C498,'Гео-калькулятор'!$B$7:$B$13,0)),0))</f>
        <v/>
      </c>
      <c r="U498" s="40" t="str">
        <f aca="false">IF($E498="","",T498-E498)</f>
        <v/>
      </c>
      <c r="V498" s="41" t="str">
        <f aca="false">IF($E498="","",IFERROR(U498/E498,""))</f>
        <v/>
      </c>
      <c r="W498" s="10" t="str">
        <f aca="false">IF($E498="","",IF($I498&lt;&gt;"","факт","прогноз"))</f>
        <v/>
      </c>
      <c r="X498" s="1"/>
      <c r="Y498" s="1"/>
      <c r="Z498" s="1"/>
      <c r="AA498" s="1"/>
      <c r="AB498" s="1"/>
      <c r="AC498" s="1"/>
      <c r="AD498" s="1"/>
    </row>
    <row r="499" customFormat="false" ht="18" hidden="false" customHeight="true" outlineLevel="0" collapsed="false">
      <c r="A499" s="1"/>
      <c r="B499" s="35"/>
      <c r="C499" s="8"/>
      <c r="D499" s="26"/>
      <c r="E499" s="27"/>
      <c r="F499" s="36"/>
      <c r="G499" s="36"/>
      <c r="H499" s="36"/>
      <c r="I499" s="36"/>
      <c r="J499" s="37" t="str">
        <f aca="false">IF($E499="","",IFERROR(G499/F499,""))</f>
        <v/>
      </c>
      <c r="K499" s="30" t="str">
        <f aca="false">IF($E499="","",IFERROR(E499/G499,""))</f>
        <v/>
      </c>
      <c r="L499" s="30" t="str">
        <f aca="false">IF($E499="","",IFERROR(E499/F499*1000,""))</f>
        <v/>
      </c>
      <c r="M499" s="37" t="str">
        <f aca="false">IF($E499="","",IFERROR(H499/G499,""))</f>
        <v/>
      </c>
      <c r="N499" s="30" t="str">
        <f aca="false">IF($E499="","",IFERROR(E499/H499,"—"))</f>
        <v/>
      </c>
      <c r="O499" s="30" t="str">
        <f aca="false">IF($E499="","",IFERROR(INDEX('Гео-калькулятор'!$K$7:$K$13,MATCH($C499,'Гео-калькулятор'!$B$7:$B$13,0)),""))</f>
        <v/>
      </c>
      <c r="P499" s="38" t="str">
        <f aca="false">IF($E499="","",IFERROR(N499/O499,""))</f>
        <v/>
      </c>
      <c r="Q499" s="39" t="str">
        <f aca="false">IF($E499="","",IF($I499&lt;&gt;"",$I499,N($H499)*IFERROR(INDEX('Гео-калькулятор'!$E$7:$E$13,MATCH($C499,'Гео-калькулятор'!$B$7:$B$13,0)),0)))</f>
        <v/>
      </c>
      <c r="R499" s="38" t="str">
        <f aca="false">IF($E499="","",IFERROR(Q499/H499,""))</f>
        <v/>
      </c>
      <c r="S499" s="30" t="str">
        <f aca="false">IF($E499="","",IFERROR(E499/Q499,"—"))</f>
        <v/>
      </c>
      <c r="T499" s="30" t="str">
        <f aca="false">IF($E499="","",Q499*IFERROR(INDEX('Гео-калькулятор'!$D$7:$D$13,MATCH($C499,'Гео-калькулятор'!$B$7:$B$13,0)),0))</f>
        <v/>
      </c>
      <c r="U499" s="40" t="str">
        <f aca="false">IF($E499="","",T499-E499)</f>
        <v/>
      </c>
      <c r="V499" s="41" t="str">
        <f aca="false">IF($E499="","",IFERROR(U499/E499,""))</f>
        <v/>
      </c>
      <c r="W499" s="10" t="str">
        <f aca="false">IF($E499="","",IF($I499&lt;&gt;"","факт","прогноз"))</f>
        <v/>
      </c>
      <c r="X499" s="1"/>
      <c r="Y499" s="1"/>
      <c r="Z499" s="1"/>
      <c r="AA499" s="1"/>
      <c r="AB499" s="1"/>
      <c r="AC499" s="1"/>
      <c r="AD499" s="1"/>
    </row>
    <row r="500" customFormat="false" ht="18" hidden="false" customHeight="true" outlineLevel="0" collapsed="false">
      <c r="A500" s="1"/>
      <c r="B500" s="35"/>
      <c r="C500" s="8"/>
      <c r="D500" s="26"/>
      <c r="E500" s="27"/>
      <c r="F500" s="36"/>
      <c r="G500" s="36"/>
      <c r="H500" s="36"/>
      <c r="I500" s="36"/>
      <c r="J500" s="37" t="str">
        <f aca="false">IF($E500="","",IFERROR(G500/F500,""))</f>
        <v/>
      </c>
      <c r="K500" s="30" t="str">
        <f aca="false">IF($E500="","",IFERROR(E500/G500,""))</f>
        <v/>
      </c>
      <c r="L500" s="30" t="str">
        <f aca="false">IF($E500="","",IFERROR(E500/F500*1000,""))</f>
        <v/>
      </c>
      <c r="M500" s="37" t="str">
        <f aca="false">IF($E500="","",IFERROR(H500/G500,""))</f>
        <v/>
      </c>
      <c r="N500" s="30" t="str">
        <f aca="false">IF($E500="","",IFERROR(E500/H500,"—"))</f>
        <v/>
      </c>
      <c r="O500" s="30" t="str">
        <f aca="false">IF($E500="","",IFERROR(INDEX('Гео-калькулятор'!$K$7:$K$13,MATCH($C500,'Гео-калькулятор'!$B$7:$B$13,0)),""))</f>
        <v/>
      </c>
      <c r="P500" s="38" t="str">
        <f aca="false">IF($E500="","",IFERROR(N500/O500,""))</f>
        <v/>
      </c>
      <c r="Q500" s="39" t="str">
        <f aca="false">IF($E500="","",IF($I500&lt;&gt;"",$I500,N($H500)*IFERROR(INDEX('Гео-калькулятор'!$E$7:$E$13,MATCH($C500,'Гео-калькулятор'!$B$7:$B$13,0)),0)))</f>
        <v/>
      </c>
      <c r="R500" s="38" t="str">
        <f aca="false">IF($E500="","",IFERROR(Q500/H500,""))</f>
        <v/>
      </c>
      <c r="S500" s="30" t="str">
        <f aca="false">IF($E500="","",IFERROR(E500/Q500,"—"))</f>
        <v/>
      </c>
      <c r="T500" s="30" t="str">
        <f aca="false">IF($E500="","",Q500*IFERROR(INDEX('Гео-калькулятор'!$D$7:$D$13,MATCH($C500,'Гео-калькулятор'!$B$7:$B$13,0)),0))</f>
        <v/>
      </c>
      <c r="U500" s="40" t="str">
        <f aca="false">IF($E500="","",T500-E500)</f>
        <v/>
      </c>
      <c r="V500" s="41" t="str">
        <f aca="false">IF($E500="","",IFERROR(U500/E500,""))</f>
        <v/>
      </c>
      <c r="W500" s="10" t="str">
        <f aca="false">IF($E500="","",IF($I500&lt;&gt;"","факт","прогноз"))</f>
        <v/>
      </c>
      <c r="X500" s="1"/>
      <c r="Y500" s="1"/>
      <c r="Z500" s="1"/>
      <c r="AA500" s="1"/>
      <c r="AB500" s="1"/>
      <c r="AC500" s="1"/>
      <c r="AD500" s="1"/>
    </row>
    <row r="501" customFormat="false" ht="18" hidden="false" customHeight="true" outlineLevel="0" collapsed="false">
      <c r="A501" s="1"/>
      <c r="B501" s="35"/>
      <c r="C501" s="8"/>
      <c r="D501" s="26"/>
      <c r="E501" s="27"/>
      <c r="F501" s="36"/>
      <c r="G501" s="36"/>
      <c r="H501" s="36"/>
      <c r="I501" s="36"/>
      <c r="J501" s="37" t="str">
        <f aca="false">IF($E501="","",IFERROR(G501/F501,""))</f>
        <v/>
      </c>
      <c r="K501" s="30" t="str">
        <f aca="false">IF($E501="","",IFERROR(E501/G501,""))</f>
        <v/>
      </c>
      <c r="L501" s="30" t="str">
        <f aca="false">IF($E501="","",IFERROR(E501/F501*1000,""))</f>
        <v/>
      </c>
      <c r="M501" s="37" t="str">
        <f aca="false">IF($E501="","",IFERROR(H501/G501,""))</f>
        <v/>
      </c>
      <c r="N501" s="30" t="str">
        <f aca="false">IF($E501="","",IFERROR(E501/H501,"—"))</f>
        <v/>
      </c>
      <c r="O501" s="30" t="str">
        <f aca="false">IF($E501="","",IFERROR(INDEX('Гео-калькулятор'!$K$7:$K$13,MATCH($C501,'Гео-калькулятор'!$B$7:$B$13,0)),""))</f>
        <v/>
      </c>
      <c r="P501" s="38" t="str">
        <f aca="false">IF($E501="","",IFERROR(N501/O501,""))</f>
        <v/>
      </c>
      <c r="Q501" s="39" t="str">
        <f aca="false">IF($E501="","",IF($I501&lt;&gt;"",$I501,N($H501)*IFERROR(INDEX('Гео-калькулятор'!$E$7:$E$13,MATCH($C501,'Гео-калькулятор'!$B$7:$B$13,0)),0)))</f>
        <v/>
      </c>
      <c r="R501" s="38" t="str">
        <f aca="false">IF($E501="","",IFERROR(Q501/H501,""))</f>
        <v/>
      </c>
      <c r="S501" s="30" t="str">
        <f aca="false">IF($E501="","",IFERROR(E501/Q501,"—"))</f>
        <v/>
      </c>
      <c r="T501" s="30" t="str">
        <f aca="false">IF($E501="","",Q501*IFERROR(INDEX('Гео-калькулятор'!$D$7:$D$13,MATCH($C501,'Гео-калькулятор'!$B$7:$B$13,0)),0))</f>
        <v/>
      </c>
      <c r="U501" s="40" t="str">
        <f aca="false">IF($E501="","",T501-E501)</f>
        <v/>
      </c>
      <c r="V501" s="41" t="str">
        <f aca="false">IF($E501="","",IFERROR(U501/E501,""))</f>
        <v/>
      </c>
      <c r="W501" s="10" t="str">
        <f aca="false">IF($E501="","",IF($I501&lt;&gt;"","факт","прогноз"))</f>
        <v/>
      </c>
      <c r="X501" s="1"/>
      <c r="Y501" s="1"/>
      <c r="Z501" s="1"/>
      <c r="AA501" s="1"/>
      <c r="AB501" s="1"/>
      <c r="AC501" s="1"/>
      <c r="AD501" s="1"/>
    </row>
    <row r="502" customFormat="false" ht="18" hidden="false" customHeight="true" outlineLevel="0" collapsed="false">
      <c r="A502" s="1"/>
      <c r="B502" s="35"/>
      <c r="C502" s="8"/>
      <c r="D502" s="26"/>
      <c r="E502" s="27"/>
      <c r="F502" s="36"/>
      <c r="G502" s="36"/>
      <c r="H502" s="36"/>
      <c r="I502" s="36"/>
      <c r="J502" s="37" t="str">
        <f aca="false">IF($E502="","",IFERROR(G502/F502,""))</f>
        <v/>
      </c>
      <c r="K502" s="30" t="str">
        <f aca="false">IF($E502="","",IFERROR(E502/G502,""))</f>
        <v/>
      </c>
      <c r="L502" s="30" t="str">
        <f aca="false">IF($E502="","",IFERROR(E502/F502*1000,""))</f>
        <v/>
      </c>
      <c r="M502" s="37" t="str">
        <f aca="false">IF($E502="","",IFERROR(H502/G502,""))</f>
        <v/>
      </c>
      <c r="N502" s="30" t="str">
        <f aca="false">IF($E502="","",IFERROR(E502/H502,"—"))</f>
        <v/>
      </c>
      <c r="O502" s="30" t="str">
        <f aca="false">IF($E502="","",IFERROR(INDEX('Гео-калькулятор'!$K$7:$K$13,MATCH($C502,'Гео-калькулятор'!$B$7:$B$13,0)),""))</f>
        <v/>
      </c>
      <c r="P502" s="38" t="str">
        <f aca="false">IF($E502="","",IFERROR(N502/O502,""))</f>
        <v/>
      </c>
      <c r="Q502" s="39" t="str">
        <f aca="false">IF($E502="","",IF($I502&lt;&gt;"",$I502,N($H502)*IFERROR(INDEX('Гео-калькулятор'!$E$7:$E$13,MATCH($C502,'Гео-калькулятор'!$B$7:$B$13,0)),0)))</f>
        <v/>
      </c>
      <c r="R502" s="38" t="str">
        <f aca="false">IF($E502="","",IFERROR(Q502/H502,""))</f>
        <v/>
      </c>
      <c r="S502" s="30" t="str">
        <f aca="false">IF($E502="","",IFERROR(E502/Q502,"—"))</f>
        <v/>
      </c>
      <c r="T502" s="30" t="str">
        <f aca="false">IF($E502="","",Q502*IFERROR(INDEX('Гео-калькулятор'!$D$7:$D$13,MATCH($C502,'Гео-калькулятор'!$B$7:$B$13,0)),0))</f>
        <v/>
      </c>
      <c r="U502" s="40" t="str">
        <f aca="false">IF($E502="","",T502-E502)</f>
        <v/>
      </c>
      <c r="V502" s="41" t="str">
        <f aca="false">IF($E502="","",IFERROR(U502/E502,""))</f>
        <v/>
      </c>
      <c r="W502" s="10" t="str">
        <f aca="false">IF($E502="","",IF($I502&lt;&gt;"","факт","прогноз"))</f>
        <v/>
      </c>
      <c r="X502" s="1"/>
      <c r="Y502" s="1"/>
      <c r="Z502" s="1"/>
      <c r="AA502" s="1"/>
      <c r="AB502" s="1"/>
      <c r="AC502" s="1"/>
      <c r="AD502" s="1"/>
    </row>
    <row r="503" customFormat="false" ht="18" hidden="false" customHeight="true" outlineLevel="0" collapsed="false">
      <c r="A503" s="1"/>
      <c r="B503" s="35"/>
      <c r="C503" s="8"/>
      <c r="D503" s="26"/>
      <c r="E503" s="27"/>
      <c r="F503" s="36"/>
      <c r="G503" s="36"/>
      <c r="H503" s="36"/>
      <c r="I503" s="36"/>
      <c r="J503" s="37" t="str">
        <f aca="false">IF($E503="","",IFERROR(G503/F503,""))</f>
        <v/>
      </c>
      <c r="K503" s="30" t="str">
        <f aca="false">IF($E503="","",IFERROR(E503/G503,""))</f>
        <v/>
      </c>
      <c r="L503" s="30" t="str">
        <f aca="false">IF($E503="","",IFERROR(E503/F503*1000,""))</f>
        <v/>
      </c>
      <c r="M503" s="37" t="str">
        <f aca="false">IF($E503="","",IFERROR(H503/G503,""))</f>
        <v/>
      </c>
      <c r="N503" s="30" t="str">
        <f aca="false">IF($E503="","",IFERROR(E503/H503,"—"))</f>
        <v/>
      </c>
      <c r="O503" s="30" t="str">
        <f aca="false">IF($E503="","",IFERROR(INDEX('Гео-калькулятор'!$K$7:$K$13,MATCH($C503,'Гео-калькулятор'!$B$7:$B$13,0)),""))</f>
        <v/>
      </c>
      <c r="P503" s="38" t="str">
        <f aca="false">IF($E503="","",IFERROR(N503/O503,""))</f>
        <v/>
      </c>
      <c r="Q503" s="39" t="str">
        <f aca="false">IF($E503="","",IF($I503&lt;&gt;"",$I503,N($H503)*IFERROR(INDEX('Гео-калькулятор'!$E$7:$E$13,MATCH($C503,'Гео-калькулятор'!$B$7:$B$13,0)),0)))</f>
        <v/>
      </c>
      <c r="R503" s="38" t="str">
        <f aca="false">IF($E503="","",IFERROR(Q503/H503,""))</f>
        <v/>
      </c>
      <c r="S503" s="30" t="str">
        <f aca="false">IF($E503="","",IFERROR(E503/Q503,"—"))</f>
        <v/>
      </c>
      <c r="T503" s="30" t="str">
        <f aca="false">IF($E503="","",Q503*IFERROR(INDEX('Гео-калькулятор'!$D$7:$D$13,MATCH($C503,'Гео-калькулятор'!$B$7:$B$13,0)),0))</f>
        <v/>
      </c>
      <c r="U503" s="40" t="str">
        <f aca="false">IF($E503="","",T503-E503)</f>
        <v/>
      </c>
      <c r="V503" s="41" t="str">
        <f aca="false">IF($E503="","",IFERROR(U503/E503,""))</f>
        <v/>
      </c>
      <c r="W503" s="10" t="str">
        <f aca="false">IF($E503="","",IF($I503&lt;&gt;"","факт","прогноз"))</f>
        <v/>
      </c>
      <c r="X503" s="1"/>
      <c r="Y503" s="1"/>
      <c r="Z503" s="1"/>
      <c r="AA503" s="1"/>
      <c r="AB503" s="1"/>
      <c r="AC503" s="1"/>
      <c r="AD503" s="1"/>
    </row>
    <row r="504" customFormat="false" ht="18" hidden="false" customHeight="true" outlineLevel="0" collapsed="false">
      <c r="A504" s="1"/>
      <c r="B504" s="35"/>
      <c r="C504" s="8"/>
      <c r="D504" s="26"/>
      <c r="E504" s="27"/>
      <c r="F504" s="36"/>
      <c r="G504" s="36"/>
      <c r="H504" s="36"/>
      <c r="I504" s="36"/>
      <c r="J504" s="37" t="str">
        <f aca="false">IF($E504="","",IFERROR(G504/F504,""))</f>
        <v/>
      </c>
      <c r="K504" s="30" t="str">
        <f aca="false">IF($E504="","",IFERROR(E504/G504,""))</f>
        <v/>
      </c>
      <c r="L504" s="30" t="str">
        <f aca="false">IF($E504="","",IFERROR(E504/F504*1000,""))</f>
        <v/>
      </c>
      <c r="M504" s="37" t="str">
        <f aca="false">IF($E504="","",IFERROR(H504/G504,""))</f>
        <v/>
      </c>
      <c r="N504" s="30" t="str">
        <f aca="false">IF($E504="","",IFERROR(E504/H504,"—"))</f>
        <v/>
      </c>
      <c r="O504" s="30" t="str">
        <f aca="false">IF($E504="","",IFERROR(INDEX('Гео-калькулятор'!$K$7:$K$13,MATCH($C504,'Гео-калькулятор'!$B$7:$B$13,0)),""))</f>
        <v/>
      </c>
      <c r="P504" s="38" t="str">
        <f aca="false">IF($E504="","",IFERROR(N504/O504,""))</f>
        <v/>
      </c>
      <c r="Q504" s="39" t="str">
        <f aca="false">IF($E504="","",IF($I504&lt;&gt;"",$I504,N($H504)*IFERROR(INDEX('Гео-калькулятор'!$E$7:$E$13,MATCH($C504,'Гео-калькулятор'!$B$7:$B$13,0)),0)))</f>
        <v/>
      </c>
      <c r="R504" s="38" t="str">
        <f aca="false">IF($E504="","",IFERROR(Q504/H504,""))</f>
        <v/>
      </c>
      <c r="S504" s="30" t="str">
        <f aca="false">IF($E504="","",IFERROR(E504/Q504,"—"))</f>
        <v/>
      </c>
      <c r="T504" s="30" t="str">
        <f aca="false">IF($E504="","",Q504*IFERROR(INDEX('Гео-калькулятор'!$D$7:$D$13,MATCH($C504,'Гео-калькулятор'!$B$7:$B$13,0)),0))</f>
        <v/>
      </c>
      <c r="U504" s="40" t="str">
        <f aca="false">IF($E504="","",T504-E504)</f>
        <v/>
      </c>
      <c r="V504" s="41" t="str">
        <f aca="false">IF($E504="","",IFERROR(U504/E504,""))</f>
        <v/>
      </c>
      <c r="W504" s="10" t="str">
        <f aca="false">IF($E504="","",IF($I504&lt;&gt;"","факт","прогноз"))</f>
        <v/>
      </c>
      <c r="X504" s="1"/>
      <c r="Y504" s="1"/>
      <c r="Z504" s="1"/>
      <c r="AA504" s="1"/>
      <c r="AB504" s="1"/>
      <c r="AC504" s="1"/>
      <c r="AD504" s="1"/>
    </row>
    <row r="505" customFormat="false" ht="18" hidden="false" customHeight="true" outlineLevel="0" collapsed="false">
      <c r="A505" s="1"/>
      <c r="B505" s="35"/>
      <c r="C505" s="8"/>
      <c r="D505" s="26"/>
      <c r="E505" s="27"/>
      <c r="F505" s="36"/>
      <c r="G505" s="36"/>
      <c r="H505" s="36"/>
      <c r="I505" s="36"/>
      <c r="J505" s="37" t="str">
        <f aca="false">IF($E505="","",IFERROR(G505/F505,""))</f>
        <v/>
      </c>
      <c r="K505" s="30" t="str">
        <f aca="false">IF($E505="","",IFERROR(E505/G505,""))</f>
        <v/>
      </c>
      <c r="L505" s="30" t="str">
        <f aca="false">IF($E505="","",IFERROR(E505/F505*1000,""))</f>
        <v/>
      </c>
      <c r="M505" s="37" t="str">
        <f aca="false">IF($E505="","",IFERROR(H505/G505,""))</f>
        <v/>
      </c>
      <c r="N505" s="30" t="str">
        <f aca="false">IF($E505="","",IFERROR(E505/H505,"—"))</f>
        <v/>
      </c>
      <c r="O505" s="30" t="str">
        <f aca="false">IF($E505="","",IFERROR(INDEX('Гео-калькулятор'!$K$7:$K$13,MATCH($C505,'Гео-калькулятор'!$B$7:$B$13,0)),""))</f>
        <v/>
      </c>
      <c r="P505" s="38" t="str">
        <f aca="false">IF($E505="","",IFERROR(N505/O505,""))</f>
        <v/>
      </c>
      <c r="Q505" s="39" t="str">
        <f aca="false">IF($E505="","",IF($I505&lt;&gt;"",$I505,N($H505)*IFERROR(INDEX('Гео-калькулятор'!$E$7:$E$13,MATCH($C505,'Гео-калькулятор'!$B$7:$B$13,0)),0)))</f>
        <v/>
      </c>
      <c r="R505" s="38" t="str">
        <f aca="false">IF($E505="","",IFERROR(Q505/H505,""))</f>
        <v/>
      </c>
      <c r="S505" s="30" t="str">
        <f aca="false">IF($E505="","",IFERROR(E505/Q505,"—"))</f>
        <v/>
      </c>
      <c r="T505" s="30" t="str">
        <f aca="false">IF($E505="","",Q505*IFERROR(INDEX('Гео-калькулятор'!$D$7:$D$13,MATCH($C505,'Гео-калькулятор'!$B$7:$B$13,0)),0))</f>
        <v/>
      </c>
      <c r="U505" s="40" t="str">
        <f aca="false">IF($E505="","",T505-E505)</f>
        <v/>
      </c>
      <c r="V505" s="41" t="str">
        <f aca="false">IF($E505="","",IFERROR(U505/E505,""))</f>
        <v/>
      </c>
      <c r="W505" s="10" t="str">
        <f aca="false">IF($E505="","",IF($I505&lt;&gt;"","факт","прогноз"))</f>
        <v/>
      </c>
      <c r="X505" s="1"/>
      <c r="Y505" s="1"/>
      <c r="Z505" s="1"/>
      <c r="AA505" s="1"/>
      <c r="AB505" s="1"/>
      <c r="AC505" s="1"/>
      <c r="AD505" s="1"/>
    </row>
    <row r="506" customFormat="false" ht="18" hidden="false" customHeight="true" outlineLevel="0" collapsed="false">
      <c r="A506" s="1"/>
      <c r="B506" s="35"/>
      <c r="C506" s="8"/>
      <c r="D506" s="26"/>
      <c r="E506" s="27"/>
      <c r="F506" s="36"/>
      <c r="G506" s="36"/>
      <c r="H506" s="36"/>
      <c r="I506" s="36"/>
      <c r="J506" s="37" t="str">
        <f aca="false">IF($E506="","",IFERROR(G506/F506,""))</f>
        <v/>
      </c>
      <c r="K506" s="30" t="str">
        <f aca="false">IF($E506="","",IFERROR(E506/G506,""))</f>
        <v/>
      </c>
      <c r="L506" s="30" t="str">
        <f aca="false">IF($E506="","",IFERROR(E506/F506*1000,""))</f>
        <v/>
      </c>
      <c r="M506" s="37" t="str">
        <f aca="false">IF($E506="","",IFERROR(H506/G506,""))</f>
        <v/>
      </c>
      <c r="N506" s="30" t="str">
        <f aca="false">IF($E506="","",IFERROR(E506/H506,"—"))</f>
        <v/>
      </c>
      <c r="O506" s="30" t="str">
        <f aca="false">IF($E506="","",IFERROR(INDEX('Гео-калькулятор'!$K$7:$K$13,MATCH($C506,'Гео-калькулятор'!$B$7:$B$13,0)),""))</f>
        <v/>
      </c>
      <c r="P506" s="38" t="str">
        <f aca="false">IF($E506="","",IFERROR(N506/O506,""))</f>
        <v/>
      </c>
      <c r="Q506" s="39" t="str">
        <f aca="false">IF($E506="","",IF($I506&lt;&gt;"",$I506,N($H506)*IFERROR(INDEX('Гео-калькулятор'!$E$7:$E$13,MATCH($C506,'Гео-калькулятор'!$B$7:$B$13,0)),0)))</f>
        <v/>
      </c>
      <c r="R506" s="38" t="str">
        <f aca="false">IF($E506="","",IFERROR(Q506/H506,""))</f>
        <v/>
      </c>
      <c r="S506" s="30" t="str">
        <f aca="false">IF($E506="","",IFERROR(E506/Q506,"—"))</f>
        <v/>
      </c>
      <c r="T506" s="30" t="str">
        <f aca="false">IF($E506="","",Q506*IFERROR(INDEX('Гео-калькулятор'!$D$7:$D$13,MATCH($C506,'Гео-калькулятор'!$B$7:$B$13,0)),0))</f>
        <v/>
      </c>
      <c r="U506" s="40" t="str">
        <f aca="false">IF($E506="","",T506-E506)</f>
        <v/>
      </c>
      <c r="V506" s="41" t="str">
        <f aca="false">IF($E506="","",IFERROR(U506/E506,""))</f>
        <v/>
      </c>
      <c r="W506" s="10" t="str">
        <f aca="false">IF($E506="","",IF($I506&lt;&gt;"","факт","прогноз"))</f>
        <v/>
      </c>
      <c r="X506" s="1"/>
      <c r="Y506" s="1"/>
      <c r="Z506" s="1"/>
      <c r="AA506" s="1"/>
      <c r="AB506" s="1"/>
      <c r="AC506" s="1"/>
      <c r="AD506" s="1"/>
    </row>
    <row r="507" customFormat="false" ht="18" hidden="false" customHeight="true" outlineLevel="0" collapsed="false">
      <c r="A507" s="1"/>
      <c r="B507" s="35"/>
      <c r="C507" s="8"/>
      <c r="D507" s="26"/>
      <c r="E507" s="27"/>
      <c r="F507" s="36"/>
      <c r="G507" s="36"/>
      <c r="H507" s="36"/>
      <c r="I507" s="36"/>
      <c r="J507" s="37" t="str">
        <f aca="false">IF($E507="","",IFERROR(G507/F507,""))</f>
        <v/>
      </c>
      <c r="K507" s="30" t="str">
        <f aca="false">IF($E507="","",IFERROR(E507/G507,""))</f>
        <v/>
      </c>
      <c r="L507" s="30" t="str">
        <f aca="false">IF($E507="","",IFERROR(E507/F507*1000,""))</f>
        <v/>
      </c>
      <c r="M507" s="37" t="str">
        <f aca="false">IF($E507="","",IFERROR(H507/G507,""))</f>
        <v/>
      </c>
      <c r="N507" s="30" t="str">
        <f aca="false">IF($E507="","",IFERROR(E507/H507,"—"))</f>
        <v/>
      </c>
      <c r="O507" s="30" t="str">
        <f aca="false">IF($E507="","",IFERROR(INDEX('Гео-калькулятор'!$K$7:$K$13,MATCH($C507,'Гео-калькулятор'!$B$7:$B$13,0)),""))</f>
        <v/>
      </c>
      <c r="P507" s="38" t="str">
        <f aca="false">IF($E507="","",IFERROR(N507/O507,""))</f>
        <v/>
      </c>
      <c r="Q507" s="39" t="str">
        <f aca="false">IF($E507="","",IF($I507&lt;&gt;"",$I507,N($H507)*IFERROR(INDEX('Гео-калькулятор'!$E$7:$E$13,MATCH($C507,'Гео-калькулятор'!$B$7:$B$13,0)),0)))</f>
        <v/>
      </c>
      <c r="R507" s="38" t="str">
        <f aca="false">IF($E507="","",IFERROR(Q507/H507,""))</f>
        <v/>
      </c>
      <c r="S507" s="30" t="str">
        <f aca="false">IF($E507="","",IFERROR(E507/Q507,"—"))</f>
        <v/>
      </c>
      <c r="T507" s="30" t="str">
        <f aca="false">IF($E507="","",Q507*IFERROR(INDEX('Гео-калькулятор'!$D$7:$D$13,MATCH($C507,'Гео-калькулятор'!$B$7:$B$13,0)),0))</f>
        <v/>
      </c>
      <c r="U507" s="40" t="str">
        <f aca="false">IF($E507="","",T507-E507)</f>
        <v/>
      </c>
      <c r="V507" s="41" t="str">
        <f aca="false">IF($E507="","",IFERROR(U507/E507,""))</f>
        <v/>
      </c>
      <c r="W507" s="10" t="str">
        <f aca="false">IF($E507="","",IF($I507&lt;&gt;"","факт","прогноз"))</f>
        <v/>
      </c>
      <c r="X507" s="1"/>
      <c r="Y507" s="1"/>
      <c r="Z507" s="1"/>
      <c r="AA507" s="1"/>
      <c r="AB507" s="1"/>
      <c r="AC507" s="1"/>
      <c r="AD507" s="1"/>
    </row>
    <row r="508" customFormat="false" ht="18" hidden="false" customHeight="true" outlineLevel="0" collapsed="false">
      <c r="A508" s="1"/>
      <c r="B508" s="35"/>
      <c r="C508" s="8"/>
      <c r="D508" s="26"/>
      <c r="E508" s="27"/>
      <c r="F508" s="36"/>
      <c r="G508" s="36"/>
      <c r="H508" s="36"/>
      <c r="I508" s="36"/>
      <c r="J508" s="37" t="str">
        <f aca="false">IF($E508="","",IFERROR(G508/F508,""))</f>
        <v/>
      </c>
      <c r="K508" s="30" t="str">
        <f aca="false">IF($E508="","",IFERROR(E508/G508,""))</f>
        <v/>
      </c>
      <c r="L508" s="30" t="str">
        <f aca="false">IF($E508="","",IFERROR(E508/F508*1000,""))</f>
        <v/>
      </c>
      <c r="M508" s="37" t="str">
        <f aca="false">IF($E508="","",IFERROR(H508/G508,""))</f>
        <v/>
      </c>
      <c r="N508" s="30" t="str">
        <f aca="false">IF($E508="","",IFERROR(E508/H508,"—"))</f>
        <v/>
      </c>
      <c r="O508" s="30" t="str">
        <f aca="false">IF($E508="","",IFERROR(INDEX('Гео-калькулятор'!$K$7:$K$13,MATCH($C508,'Гео-калькулятор'!$B$7:$B$13,0)),""))</f>
        <v/>
      </c>
      <c r="P508" s="38" t="str">
        <f aca="false">IF($E508="","",IFERROR(N508/O508,""))</f>
        <v/>
      </c>
      <c r="Q508" s="39" t="str">
        <f aca="false">IF($E508="","",IF($I508&lt;&gt;"",$I508,N($H508)*IFERROR(INDEX('Гео-калькулятор'!$E$7:$E$13,MATCH($C508,'Гео-калькулятор'!$B$7:$B$13,0)),0)))</f>
        <v/>
      </c>
      <c r="R508" s="38" t="str">
        <f aca="false">IF($E508="","",IFERROR(Q508/H508,""))</f>
        <v/>
      </c>
      <c r="S508" s="30" t="str">
        <f aca="false">IF($E508="","",IFERROR(E508/Q508,"—"))</f>
        <v/>
      </c>
      <c r="T508" s="30" t="str">
        <f aca="false">IF($E508="","",Q508*IFERROR(INDEX('Гео-калькулятор'!$D$7:$D$13,MATCH($C508,'Гео-калькулятор'!$B$7:$B$13,0)),0))</f>
        <v/>
      </c>
      <c r="U508" s="40" t="str">
        <f aca="false">IF($E508="","",T508-E508)</f>
        <v/>
      </c>
      <c r="V508" s="41" t="str">
        <f aca="false">IF($E508="","",IFERROR(U508/E508,""))</f>
        <v/>
      </c>
      <c r="W508" s="10" t="str">
        <f aca="false">IF($E508="","",IF($I508&lt;&gt;"","факт","прогноз"))</f>
        <v/>
      </c>
      <c r="X508" s="1"/>
      <c r="Y508" s="1"/>
      <c r="Z508" s="1"/>
      <c r="AA508" s="1"/>
      <c r="AB508" s="1"/>
      <c r="AC508" s="1"/>
      <c r="AD508" s="1"/>
    </row>
    <row r="509" customFormat="false" ht="18" hidden="false" customHeight="true" outlineLevel="0" collapsed="false">
      <c r="A509" s="1"/>
      <c r="B509" s="35"/>
      <c r="C509" s="8"/>
      <c r="D509" s="26"/>
      <c r="E509" s="27"/>
      <c r="F509" s="36"/>
      <c r="G509" s="36"/>
      <c r="H509" s="36"/>
      <c r="I509" s="36"/>
      <c r="J509" s="37" t="str">
        <f aca="false">IF($E509="","",IFERROR(G509/F509,""))</f>
        <v/>
      </c>
      <c r="K509" s="30" t="str">
        <f aca="false">IF($E509="","",IFERROR(E509/G509,""))</f>
        <v/>
      </c>
      <c r="L509" s="30" t="str">
        <f aca="false">IF($E509="","",IFERROR(E509/F509*1000,""))</f>
        <v/>
      </c>
      <c r="M509" s="37" t="str">
        <f aca="false">IF($E509="","",IFERROR(H509/G509,""))</f>
        <v/>
      </c>
      <c r="N509" s="30" t="str">
        <f aca="false">IF($E509="","",IFERROR(E509/H509,"—"))</f>
        <v/>
      </c>
      <c r="O509" s="30" t="str">
        <f aca="false">IF($E509="","",IFERROR(INDEX('Гео-калькулятор'!$K$7:$K$13,MATCH($C509,'Гео-калькулятор'!$B$7:$B$13,0)),""))</f>
        <v/>
      </c>
      <c r="P509" s="38" t="str">
        <f aca="false">IF($E509="","",IFERROR(N509/O509,""))</f>
        <v/>
      </c>
      <c r="Q509" s="39" t="str">
        <f aca="false">IF($E509="","",IF($I509&lt;&gt;"",$I509,N($H509)*IFERROR(INDEX('Гео-калькулятор'!$E$7:$E$13,MATCH($C509,'Гео-калькулятор'!$B$7:$B$13,0)),0)))</f>
        <v/>
      </c>
      <c r="R509" s="38" t="str">
        <f aca="false">IF($E509="","",IFERROR(Q509/H509,""))</f>
        <v/>
      </c>
      <c r="S509" s="30" t="str">
        <f aca="false">IF($E509="","",IFERROR(E509/Q509,"—"))</f>
        <v/>
      </c>
      <c r="T509" s="30" t="str">
        <f aca="false">IF($E509="","",Q509*IFERROR(INDEX('Гео-калькулятор'!$D$7:$D$13,MATCH($C509,'Гео-калькулятор'!$B$7:$B$13,0)),0))</f>
        <v/>
      </c>
      <c r="U509" s="40" t="str">
        <f aca="false">IF($E509="","",T509-E509)</f>
        <v/>
      </c>
      <c r="V509" s="41" t="str">
        <f aca="false">IF($E509="","",IFERROR(U509/E509,""))</f>
        <v/>
      </c>
      <c r="W509" s="10" t="str">
        <f aca="false">IF($E509="","",IF($I509&lt;&gt;"","факт","прогноз"))</f>
        <v/>
      </c>
      <c r="X509" s="1"/>
      <c r="Y509" s="1"/>
      <c r="Z509" s="1"/>
      <c r="AA509" s="1"/>
      <c r="AB509" s="1"/>
      <c r="AC509" s="1"/>
      <c r="AD509" s="1"/>
    </row>
    <row r="510" customFormat="false" ht="18" hidden="false" customHeight="true" outlineLevel="0" collapsed="false">
      <c r="A510" s="1"/>
      <c r="B510" s="35"/>
      <c r="C510" s="8"/>
      <c r="D510" s="26"/>
      <c r="E510" s="27"/>
      <c r="F510" s="36"/>
      <c r="G510" s="36"/>
      <c r="H510" s="36"/>
      <c r="I510" s="36"/>
      <c r="J510" s="37" t="str">
        <f aca="false">IF($E510="","",IFERROR(G510/F510,""))</f>
        <v/>
      </c>
      <c r="K510" s="30" t="str">
        <f aca="false">IF($E510="","",IFERROR(E510/G510,""))</f>
        <v/>
      </c>
      <c r="L510" s="30" t="str">
        <f aca="false">IF($E510="","",IFERROR(E510/F510*1000,""))</f>
        <v/>
      </c>
      <c r="M510" s="37" t="str">
        <f aca="false">IF($E510="","",IFERROR(H510/G510,""))</f>
        <v/>
      </c>
      <c r="N510" s="30" t="str">
        <f aca="false">IF($E510="","",IFERROR(E510/H510,"—"))</f>
        <v/>
      </c>
      <c r="O510" s="30" t="str">
        <f aca="false">IF($E510="","",IFERROR(INDEX('Гео-калькулятор'!$K$7:$K$13,MATCH($C510,'Гео-калькулятор'!$B$7:$B$13,0)),""))</f>
        <v/>
      </c>
      <c r="P510" s="38" t="str">
        <f aca="false">IF($E510="","",IFERROR(N510/O510,""))</f>
        <v/>
      </c>
      <c r="Q510" s="39" t="str">
        <f aca="false">IF($E510="","",IF($I510&lt;&gt;"",$I510,N($H510)*IFERROR(INDEX('Гео-калькулятор'!$E$7:$E$13,MATCH($C510,'Гео-калькулятор'!$B$7:$B$13,0)),0)))</f>
        <v/>
      </c>
      <c r="R510" s="38" t="str">
        <f aca="false">IF($E510="","",IFERROR(Q510/H510,""))</f>
        <v/>
      </c>
      <c r="S510" s="30" t="str">
        <f aca="false">IF($E510="","",IFERROR(E510/Q510,"—"))</f>
        <v/>
      </c>
      <c r="T510" s="30" t="str">
        <f aca="false">IF($E510="","",Q510*IFERROR(INDEX('Гео-калькулятор'!$D$7:$D$13,MATCH($C510,'Гео-калькулятор'!$B$7:$B$13,0)),0))</f>
        <v/>
      </c>
      <c r="U510" s="40" t="str">
        <f aca="false">IF($E510="","",T510-E510)</f>
        <v/>
      </c>
      <c r="V510" s="41" t="str">
        <f aca="false">IF($E510="","",IFERROR(U510/E510,""))</f>
        <v/>
      </c>
      <c r="W510" s="10" t="str">
        <f aca="false">IF($E510="","",IF($I510&lt;&gt;"","факт","прогноз"))</f>
        <v/>
      </c>
      <c r="X510" s="1"/>
      <c r="Y510" s="1"/>
      <c r="Z510" s="1"/>
      <c r="AA510" s="1"/>
      <c r="AB510" s="1"/>
      <c r="AC510" s="1"/>
      <c r="AD510" s="1"/>
    </row>
    <row r="511" customFormat="false" ht="18" hidden="false" customHeight="true" outlineLevel="0" collapsed="false">
      <c r="A511" s="1"/>
      <c r="B511" s="35"/>
      <c r="C511" s="8"/>
      <c r="D511" s="26"/>
      <c r="E511" s="27"/>
      <c r="F511" s="36"/>
      <c r="G511" s="36"/>
      <c r="H511" s="36"/>
      <c r="I511" s="36"/>
      <c r="J511" s="37" t="str">
        <f aca="false">IF($E511="","",IFERROR(G511/F511,""))</f>
        <v/>
      </c>
      <c r="K511" s="30" t="str">
        <f aca="false">IF($E511="","",IFERROR(E511/G511,""))</f>
        <v/>
      </c>
      <c r="L511" s="30" t="str">
        <f aca="false">IF($E511="","",IFERROR(E511/F511*1000,""))</f>
        <v/>
      </c>
      <c r="M511" s="37" t="str">
        <f aca="false">IF($E511="","",IFERROR(H511/G511,""))</f>
        <v/>
      </c>
      <c r="N511" s="30" t="str">
        <f aca="false">IF($E511="","",IFERROR(E511/H511,"—"))</f>
        <v/>
      </c>
      <c r="O511" s="30" t="str">
        <f aca="false">IF($E511="","",IFERROR(INDEX('Гео-калькулятор'!$K$7:$K$13,MATCH($C511,'Гео-калькулятор'!$B$7:$B$13,0)),""))</f>
        <v/>
      </c>
      <c r="P511" s="38" t="str">
        <f aca="false">IF($E511="","",IFERROR(N511/O511,""))</f>
        <v/>
      </c>
      <c r="Q511" s="39" t="str">
        <f aca="false">IF($E511="","",IF($I511&lt;&gt;"",$I511,N($H511)*IFERROR(INDEX('Гео-калькулятор'!$E$7:$E$13,MATCH($C511,'Гео-калькулятор'!$B$7:$B$13,0)),0)))</f>
        <v/>
      </c>
      <c r="R511" s="38" t="str">
        <f aca="false">IF($E511="","",IFERROR(Q511/H511,""))</f>
        <v/>
      </c>
      <c r="S511" s="30" t="str">
        <f aca="false">IF($E511="","",IFERROR(E511/Q511,"—"))</f>
        <v/>
      </c>
      <c r="T511" s="30" t="str">
        <f aca="false">IF($E511="","",Q511*IFERROR(INDEX('Гео-калькулятор'!$D$7:$D$13,MATCH($C511,'Гео-калькулятор'!$B$7:$B$13,0)),0))</f>
        <v/>
      </c>
      <c r="U511" s="40" t="str">
        <f aca="false">IF($E511="","",T511-E511)</f>
        <v/>
      </c>
      <c r="V511" s="41" t="str">
        <f aca="false">IF($E511="","",IFERROR(U511/E511,""))</f>
        <v/>
      </c>
      <c r="W511" s="10" t="str">
        <f aca="false">IF($E511="","",IF($I511&lt;&gt;"","факт","прогноз"))</f>
        <v/>
      </c>
      <c r="X511" s="1"/>
      <c r="Y511" s="1"/>
      <c r="Z511" s="1"/>
      <c r="AA511" s="1"/>
      <c r="AB511" s="1"/>
      <c r="AC511" s="1"/>
      <c r="AD511" s="1"/>
    </row>
    <row r="512" customFormat="false" ht="18" hidden="false" customHeight="true" outlineLevel="0" collapsed="false">
      <c r="A512" s="1"/>
      <c r="B512" s="35"/>
      <c r="C512" s="8"/>
      <c r="D512" s="26"/>
      <c r="E512" s="27"/>
      <c r="F512" s="36"/>
      <c r="G512" s="36"/>
      <c r="H512" s="36"/>
      <c r="I512" s="36"/>
      <c r="J512" s="37" t="str">
        <f aca="false">IF($E512="","",IFERROR(G512/F512,""))</f>
        <v/>
      </c>
      <c r="K512" s="30" t="str">
        <f aca="false">IF($E512="","",IFERROR(E512/G512,""))</f>
        <v/>
      </c>
      <c r="L512" s="30" t="str">
        <f aca="false">IF($E512="","",IFERROR(E512/F512*1000,""))</f>
        <v/>
      </c>
      <c r="M512" s="37" t="str">
        <f aca="false">IF($E512="","",IFERROR(H512/G512,""))</f>
        <v/>
      </c>
      <c r="N512" s="30" t="str">
        <f aca="false">IF($E512="","",IFERROR(E512/H512,"—"))</f>
        <v/>
      </c>
      <c r="O512" s="30" t="str">
        <f aca="false">IF($E512="","",IFERROR(INDEX('Гео-калькулятор'!$K$7:$K$13,MATCH($C512,'Гео-калькулятор'!$B$7:$B$13,0)),""))</f>
        <v/>
      </c>
      <c r="P512" s="38" t="str">
        <f aca="false">IF($E512="","",IFERROR(N512/O512,""))</f>
        <v/>
      </c>
      <c r="Q512" s="39" t="str">
        <f aca="false">IF($E512="","",IF($I512&lt;&gt;"",$I512,N($H512)*IFERROR(INDEX('Гео-калькулятор'!$E$7:$E$13,MATCH($C512,'Гео-калькулятор'!$B$7:$B$13,0)),0)))</f>
        <v/>
      </c>
      <c r="R512" s="38" t="str">
        <f aca="false">IF($E512="","",IFERROR(Q512/H512,""))</f>
        <v/>
      </c>
      <c r="S512" s="30" t="str">
        <f aca="false">IF($E512="","",IFERROR(E512/Q512,"—"))</f>
        <v/>
      </c>
      <c r="T512" s="30" t="str">
        <f aca="false">IF($E512="","",Q512*IFERROR(INDEX('Гео-калькулятор'!$D$7:$D$13,MATCH($C512,'Гео-калькулятор'!$B$7:$B$13,0)),0))</f>
        <v/>
      </c>
      <c r="U512" s="40" t="str">
        <f aca="false">IF($E512="","",T512-E512)</f>
        <v/>
      </c>
      <c r="V512" s="41" t="str">
        <f aca="false">IF($E512="","",IFERROR(U512/E512,""))</f>
        <v/>
      </c>
      <c r="W512" s="10" t="str">
        <f aca="false">IF($E512="","",IF($I512&lt;&gt;"","факт","прогноз"))</f>
        <v/>
      </c>
      <c r="X512" s="1"/>
      <c r="Y512" s="1"/>
      <c r="Z512" s="1"/>
      <c r="AA512" s="1"/>
      <c r="AB512" s="1"/>
      <c r="AC512" s="1"/>
      <c r="AD512" s="1"/>
    </row>
    <row r="513" customFormat="false" ht="18" hidden="false" customHeight="true" outlineLevel="0" collapsed="false">
      <c r="A513" s="1"/>
      <c r="B513" s="35"/>
      <c r="C513" s="8"/>
      <c r="D513" s="26"/>
      <c r="E513" s="27"/>
      <c r="F513" s="36"/>
      <c r="G513" s="36"/>
      <c r="H513" s="36"/>
      <c r="I513" s="36"/>
      <c r="J513" s="37" t="str">
        <f aca="false">IF($E513="","",IFERROR(G513/F513,""))</f>
        <v/>
      </c>
      <c r="K513" s="30" t="str">
        <f aca="false">IF($E513="","",IFERROR(E513/G513,""))</f>
        <v/>
      </c>
      <c r="L513" s="30" t="str">
        <f aca="false">IF($E513="","",IFERROR(E513/F513*1000,""))</f>
        <v/>
      </c>
      <c r="M513" s="37" t="str">
        <f aca="false">IF($E513="","",IFERROR(H513/G513,""))</f>
        <v/>
      </c>
      <c r="N513" s="30" t="str">
        <f aca="false">IF($E513="","",IFERROR(E513/H513,"—"))</f>
        <v/>
      </c>
      <c r="O513" s="30" t="str">
        <f aca="false">IF($E513="","",IFERROR(INDEX('Гео-калькулятор'!$K$7:$K$13,MATCH($C513,'Гео-калькулятор'!$B$7:$B$13,0)),""))</f>
        <v/>
      </c>
      <c r="P513" s="38" t="str">
        <f aca="false">IF($E513="","",IFERROR(N513/O513,""))</f>
        <v/>
      </c>
      <c r="Q513" s="39" t="str">
        <f aca="false">IF($E513="","",IF($I513&lt;&gt;"",$I513,N($H513)*IFERROR(INDEX('Гео-калькулятор'!$E$7:$E$13,MATCH($C513,'Гео-калькулятор'!$B$7:$B$13,0)),0)))</f>
        <v/>
      </c>
      <c r="R513" s="38" t="str">
        <f aca="false">IF($E513="","",IFERROR(Q513/H513,""))</f>
        <v/>
      </c>
      <c r="S513" s="30" t="str">
        <f aca="false">IF($E513="","",IFERROR(E513/Q513,"—"))</f>
        <v/>
      </c>
      <c r="T513" s="30" t="str">
        <f aca="false">IF($E513="","",Q513*IFERROR(INDEX('Гео-калькулятор'!$D$7:$D$13,MATCH($C513,'Гео-калькулятор'!$B$7:$B$13,0)),0))</f>
        <v/>
      </c>
      <c r="U513" s="40" t="str">
        <f aca="false">IF($E513="","",T513-E513)</f>
        <v/>
      </c>
      <c r="V513" s="41" t="str">
        <f aca="false">IF($E513="","",IFERROR(U513/E513,""))</f>
        <v/>
      </c>
      <c r="W513" s="10" t="str">
        <f aca="false">IF($E513="","",IF($I513&lt;&gt;"","факт","прогноз"))</f>
        <v/>
      </c>
      <c r="X513" s="1"/>
      <c r="Y513" s="1"/>
      <c r="Z513" s="1"/>
      <c r="AA513" s="1"/>
      <c r="AB513" s="1"/>
      <c r="AC513" s="1"/>
      <c r="AD513" s="1"/>
    </row>
    <row r="514" customFormat="false" ht="18" hidden="false" customHeight="true" outlineLevel="0" collapsed="false">
      <c r="A514" s="1"/>
      <c r="B514" s="35"/>
      <c r="C514" s="8"/>
      <c r="D514" s="26"/>
      <c r="E514" s="27"/>
      <c r="F514" s="36"/>
      <c r="G514" s="36"/>
      <c r="H514" s="36"/>
      <c r="I514" s="36"/>
      <c r="J514" s="37" t="str">
        <f aca="false">IF($E514="","",IFERROR(G514/F514,""))</f>
        <v/>
      </c>
      <c r="K514" s="30" t="str">
        <f aca="false">IF($E514="","",IFERROR(E514/G514,""))</f>
        <v/>
      </c>
      <c r="L514" s="30" t="str">
        <f aca="false">IF($E514="","",IFERROR(E514/F514*1000,""))</f>
        <v/>
      </c>
      <c r="M514" s="37" t="str">
        <f aca="false">IF($E514="","",IFERROR(H514/G514,""))</f>
        <v/>
      </c>
      <c r="N514" s="30" t="str">
        <f aca="false">IF($E514="","",IFERROR(E514/H514,"—"))</f>
        <v/>
      </c>
      <c r="O514" s="30" t="str">
        <f aca="false">IF($E514="","",IFERROR(INDEX('Гео-калькулятор'!$K$7:$K$13,MATCH($C514,'Гео-калькулятор'!$B$7:$B$13,0)),""))</f>
        <v/>
      </c>
      <c r="P514" s="38" t="str">
        <f aca="false">IF($E514="","",IFERROR(N514/O514,""))</f>
        <v/>
      </c>
      <c r="Q514" s="39" t="str">
        <f aca="false">IF($E514="","",IF($I514&lt;&gt;"",$I514,N($H514)*IFERROR(INDEX('Гео-калькулятор'!$E$7:$E$13,MATCH($C514,'Гео-калькулятор'!$B$7:$B$13,0)),0)))</f>
        <v/>
      </c>
      <c r="R514" s="38" t="str">
        <f aca="false">IF($E514="","",IFERROR(Q514/H514,""))</f>
        <v/>
      </c>
      <c r="S514" s="30" t="str">
        <f aca="false">IF($E514="","",IFERROR(E514/Q514,"—"))</f>
        <v/>
      </c>
      <c r="T514" s="30" t="str">
        <f aca="false">IF($E514="","",Q514*IFERROR(INDEX('Гео-калькулятор'!$D$7:$D$13,MATCH($C514,'Гео-калькулятор'!$B$7:$B$13,0)),0))</f>
        <v/>
      </c>
      <c r="U514" s="40" t="str">
        <f aca="false">IF($E514="","",T514-E514)</f>
        <v/>
      </c>
      <c r="V514" s="41" t="str">
        <f aca="false">IF($E514="","",IFERROR(U514/E514,""))</f>
        <v/>
      </c>
      <c r="W514" s="10" t="str">
        <f aca="false">IF($E514="","",IF($I514&lt;&gt;"","факт","прогноз"))</f>
        <v/>
      </c>
      <c r="X514" s="1"/>
      <c r="Y514" s="1"/>
      <c r="Z514" s="1"/>
      <c r="AA514" s="1"/>
      <c r="AB514" s="1"/>
      <c r="AC514" s="1"/>
      <c r="AD514" s="1"/>
    </row>
    <row r="515" customFormat="false" ht="18" hidden="false" customHeight="true" outlineLevel="0" collapsed="false">
      <c r="A515" s="1"/>
      <c r="B515" s="35"/>
      <c r="C515" s="8"/>
      <c r="D515" s="26"/>
      <c r="E515" s="27"/>
      <c r="F515" s="36"/>
      <c r="G515" s="36"/>
      <c r="H515" s="36"/>
      <c r="I515" s="36"/>
      <c r="J515" s="37" t="str">
        <f aca="false">IF($E515="","",IFERROR(G515/F515,""))</f>
        <v/>
      </c>
      <c r="K515" s="30" t="str">
        <f aca="false">IF($E515="","",IFERROR(E515/G515,""))</f>
        <v/>
      </c>
      <c r="L515" s="30" t="str">
        <f aca="false">IF($E515="","",IFERROR(E515/F515*1000,""))</f>
        <v/>
      </c>
      <c r="M515" s="37" t="str">
        <f aca="false">IF($E515="","",IFERROR(H515/G515,""))</f>
        <v/>
      </c>
      <c r="N515" s="30" t="str">
        <f aca="false">IF($E515="","",IFERROR(E515/H515,"—"))</f>
        <v/>
      </c>
      <c r="O515" s="30" t="str">
        <f aca="false">IF($E515="","",IFERROR(INDEX('Гео-калькулятор'!$K$7:$K$13,MATCH($C515,'Гео-калькулятор'!$B$7:$B$13,0)),""))</f>
        <v/>
      </c>
      <c r="P515" s="38" t="str">
        <f aca="false">IF($E515="","",IFERROR(N515/O515,""))</f>
        <v/>
      </c>
      <c r="Q515" s="39" t="str">
        <f aca="false">IF($E515="","",IF($I515&lt;&gt;"",$I515,N($H515)*IFERROR(INDEX('Гео-калькулятор'!$E$7:$E$13,MATCH($C515,'Гео-калькулятор'!$B$7:$B$13,0)),0)))</f>
        <v/>
      </c>
      <c r="R515" s="38" t="str">
        <f aca="false">IF($E515="","",IFERROR(Q515/H515,""))</f>
        <v/>
      </c>
      <c r="S515" s="30" t="str">
        <f aca="false">IF($E515="","",IFERROR(E515/Q515,"—"))</f>
        <v/>
      </c>
      <c r="T515" s="30" t="str">
        <f aca="false">IF($E515="","",Q515*IFERROR(INDEX('Гео-калькулятор'!$D$7:$D$13,MATCH($C515,'Гео-калькулятор'!$B$7:$B$13,0)),0))</f>
        <v/>
      </c>
      <c r="U515" s="40" t="str">
        <f aca="false">IF($E515="","",T515-E515)</f>
        <v/>
      </c>
      <c r="V515" s="41" t="str">
        <f aca="false">IF($E515="","",IFERROR(U515/E515,""))</f>
        <v/>
      </c>
      <c r="W515" s="10" t="str">
        <f aca="false">IF($E515="","",IF($I515&lt;&gt;"","факт","прогноз"))</f>
        <v/>
      </c>
      <c r="X515" s="1"/>
      <c r="Y515" s="1"/>
      <c r="Z515" s="1"/>
      <c r="AA515" s="1"/>
      <c r="AB515" s="1"/>
      <c r="AC515" s="1"/>
      <c r="AD515" s="1"/>
    </row>
    <row r="516" customFormat="false" ht="18" hidden="false" customHeight="true" outlineLevel="0" collapsed="false">
      <c r="A516" s="1"/>
      <c r="B516" s="35"/>
      <c r="C516" s="8"/>
      <c r="D516" s="26"/>
      <c r="E516" s="27"/>
      <c r="F516" s="36"/>
      <c r="G516" s="36"/>
      <c r="H516" s="36"/>
      <c r="I516" s="36"/>
      <c r="J516" s="37" t="str">
        <f aca="false">IF($E516="","",IFERROR(G516/F516,""))</f>
        <v/>
      </c>
      <c r="K516" s="30" t="str">
        <f aca="false">IF($E516="","",IFERROR(E516/G516,""))</f>
        <v/>
      </c>
      <c r="L516" s="30" t="str">
        <f aca="false">IF($E516="","",IFERROR(E516/F516*1000,""))</f>
        <v/>
      </c>
      <c r="M516" s="37" t="str">
        <f aca="false">IF($E516="","",IFERROR(H516/G516,""))</f>
        <v/>
      </c>
      <c r="N516" s="30" t="str">
        <f aca="false">IF($E516="","",IFERROR(E516/H516,"—"))</f>
        <v/>
      </c>
      <c r="O516" s="30" t="str">
        <f aca="false">IF($E516="","",IFERROR(INDEX('Гео-калькулятор'!$K$7:$K$13,MATCH($C516,'Гео-калькулятор'!$B$7:$B$13,0)),""))</f>
        <v/>
      </c>
      <c r="P516" s="38" t="str">
        <f aca="false">IF($E516="","",IFERROR(N516/O516,""))</f>
        <v/>
      </c>
      <c r="Q516" s="39" t="str">
        <f aca="false">IF($E516="","",IF($I516&lt;&gt;"",$I516,N($H516)*IFERROR(INDEX('Гео-калькулятор'!$E$7:$E$13,MATCH($C516,'Гео-калькулятор'!$B$7:$B$13,0)),0)))</f>
        <v/>
      </c>
      <c r="R516" s="38" t="str">
        <f aca="false">IF($E516="","",IFERROR(Q516/H516,""))</f>
        <v/>
      </c>
      <c r="S516" s="30" t="str">
        <f aca="false">IF($E516="","",IFERROR(E516/Q516,"—"))</f>
        <v/>
      </c>
      <c r="T516" s="30" t="str">
        <f aca="false">IF($E516="","",Q516*IFERROR(INDEX('Гео-калькулятор'!$D$7:$D$13,MATCH($C516,'Гео-калькулятор'!$B$7:$B$13,0)),0))</f>
        <v/>
      </c>
      <c r="U516" s="40" t="str">
        <f aca="false">IF($E516="","",T516-E516)</f>
        <v/>
      </c>
      <c r="V516" s="41" t="str">
        <f aca="false">IF($E516="","",IFERROR(U516/E516,""))</f>
        <v/>
      </c>
      <c r="W516" s="10" t="str">
        <f aca="false">IF($E516="","",IF($I516&lt;&gt;"","факт","прогноз"))</f>
        <v/>
      </c>
      <c r="X516" s="1"/>
      <c r="Y516" s="1"/>
      <c r="Z516" s="1"/>
      <c r="AA516" s="1"/>
      <c r="AB516" s="1"/>
      <c r="AC516" s="1"/>
      <c r="AD516" s="1"/>
    </row>
    <row r="517" customFormat="false" ht="18" hidden="false" customHeight="true" outlineLevel="0" collapsed="false">
      <c r="A517" s="1"/>
      <c r="B517" s="35"/>
      <c r="C517" s="8"/>
      <c r="D517" s="26"/>
      <c r="E517" s="27"/>
      <c r="F517" s="36"/>
      <c r="G517" s="36"/>
      <c r="H517" s="36"/>
      <c r="I517" s="36"/>
      <c r="J517" s="37" t="str">
        <f aca="false">IF($E517="","",IFERROR(G517/F517,""))</f>
        <v/>
      </c>
      <c r="K517" s="30" t="str">
        <f aca="false">IF($E517="","",IFERROR(E517/G517,""))</f>
        <v/>
      </c>
      <c r="L517" s="30" t="str">
        <f aca="false">IF($E517="","",IFERROR(E517/F517*1000,""))</f>
        <v/>
      </c>
      <c r="M517" s="37" t="str">
        <f aca="false">IF($E517="","",IFERROR(H517/G517,""))</f>
        <v/>
      </c>
      <c r="N517" s="30" t="str">
        <f aca="false">IF($E517="","",IFERROR(E517/H517,"—"))</f>
        <v/>
      </c>
      <c r="O517" s="30" t="str">
        <f aca="false">IF($E517="","",IFERROR(INDEX('Гео-калькулятор'!$K$7:$K$13,MATCH($C517,'Гео-калькулятор'!$B$7:$B$13,0)),""))</f>
        <v/>
      </c>
      <c r="P517" s="38" t="str">
        <f aca="false">IF($E517="","",IFERROR(N517/O517,""))</f>
        <v/>
      </c>
      <c r="Q517" s="39" t="str">
        <f aca="false">IF($E517="","",IF($I517&lt;&gt;"",$I517,N($H517)*IFERROR(INDEX('Гео-калькулятор'!$E$7:$E$13,MATCH($C517,'Гео-калькулятор'!$B$7:$B$13,0)),0)))</f>
        <v/>
      </c>
      <c r="R517" s="38" t="str">
        <f aca="false">IF($E517="","",IFERROR(Q517/H517,""))</f>
        <v/>
      </c>
      <c r="S517" s="30" t="str">
        <f aca="false">IF($E517="","",IFERROR(E517/Q517,"—"))</f>
        <v/>
      </c>
      <c r="T517" s="30" t="str">
        <f aca="false">IF($E517="","",Q517*IFERROR(INDEX('Гео-калькулятор'!$D$7:$D$13,MATCH($C517,'Гео-калькулятор'!$B$7:$B$13,0)),0))</f>
        <v/>
      </c>
      <c r="U517" s="40" t="str">
        <f aca="false">IF($E517="","",T517-E517)</f>
        <v/>
      </c>
      <c r="V517" s="41" t="str">
        <f aca="false">IF($E517="","",IFERROR(U517/E517,""))</f>
        <v/>
      </c>
      <c r="W517" s="10" t="str">
        <f aca="false">IF($E517="","",IF($I517&lt;&gt;"","факт","прогноз"))</f>
        <v/>
      </c>
      <c r="X517" s="1"/>
      <c r="Y517" s="1"/>
      <c r="Z517" s="1"/>
      <c r="AA517" s="1"/>
      <c r="AB517" s="1"/>
      <c r="AC517" s="1"/>
      <c r="AD517" s="1"/>
    </row>
    <row r="518" customFormat="false" ht="18" hidden="false" customHeight="true" outlineLevel="0" collapsed="false">
      <c r="A518" s="1"/>
      <c r="B518" s="35"/>
      <c r="C518" s="8"/>
      <c r="D518" s="26"/>
      <c r="E518" s="27"/>
      <c r="F518" s="36"/>
      <c r="G518" s="36"/>
      <c r="H518" s="36"/>
      <c r="I518" s="36"/>
      <c r="J518" s="37" t="str">
        <f aca="false">IF($E518="","",IFERROR(G518/F518,""))</f>
        <v/>
      </c>
      <c r="K518" s="30" t="str">
        <f aca="false">IF($E518="","",IFERROR(E518/G518,""))</f>
        <v/>
      </c>
      <c r="L518" s="30" t="str">
        <f aca="false">IF($E518="","",IFERROR(E518/F518*1000,""))</f>
        <v/>
      </c>
      <c r="M518" s="37" t="str">
        <f aca="false">IF($E518="","",IFERROR(H518/G518,""))</f>
        <v/>
      </c>
      <c r="N518" s="30" t="str">
        <f aca="false">IF($E518="","",IFERROR(E518/H518,"—"))</f>
        <v/>
      </c>
      <c r="O518" s="30" t="str">
        <f aca="false">IF($E518="","",IFERROR(INDEX('Гео-калькулятор'!$K$7:$K$13,MATCH($C518,'Гео-калькулятор'!$B$7:$B$13,0)),""))</f>
        <v/>
      </c>
      <c r="P518" s="38" t="str">
        <f aca="false">IF($E518="","",IFERROR(N518/O518,""))</f>
        <v/>
      </c>
      <c r="Q518" s="39" t="str">
        <f aca="false">IF($E518="","",IF($I518&lt;&gt;"",$I518,N($H518)*IFERROR(INDEX('Гео-калькулятор'!$E$7:$E$13,MATCH($C518,'Гео-калькулятор'!$B$7:$B$13,0)),0)))</f>
        <v/>
      </c>
      <c r="R518" s="38" t="str">
        <f aca="false">IF($E518="","",IFERROR(Q518/H518,""))</f>
        <v/>
      </c>
      <c r="S518" s="30" t="str">
        <f aca="false">IF($E518="","",IFERROR(E518/Q518,"—"))</f>
        <v/>
      </c>
      <c r="T518" s="30" t="str">
        <f aca="false">IF($E518="","",Q518*IFERROR(INDEX('Гео-калькулятор'!$D$7:$D$13,MATCH($C518,'Гео-калькулятор'!$B$7:$B$13,0)),0))</f>
        <v/>
      </c>
      <c r="U518" s="40" t="str">
        <f aca="false">IF($E518="","",T518-E518)</f>
        <v/>
      </c>
      <c r="V518" s="41" t="str">
        <f aca="false">IF($E518="","",IFERROR(U518/E518,""))</f>
        <v/>
      </c>
      <c r="W518" s="10" t="str">
        <f aca="false">IF($E518="","",IF($I518&lt;&gt;"","факт","прогноз"))</f>
        <v/>
      </c>
      <c r="X518" s="1"/>
      <c r="Y518" s="1"/>
      <c r="Z518" s="1"/>
      <c r="AA518" s="1"/>
      <c r="AB518" s="1"/>
      <c r="AC518" s="1"/>
      <c r="AD518" s="1"/>
    </row>
    <row r="519" customFormat="false" ht="18" hidden="false" customHeight="true" outlineLevel="0" collapsed="false">
      <c r="A519" s="1"/>
      <c r="B519" s="35"/>
      <c r="C519" s="8"/>
      <c r="D519" s="26"/>
      <c r="E519" s="27"/>
      <c r="F519" s="36"/>
      <c r="G519" s="36"/>
      <c r="H519" s="36"/>
      <c r="I519" s="36"/>
      <c r="J519" s="37" t="str">
        <f aca="false">IF($E519="","",IFERROR(G519/F519,""))</f>
        <v/>
      </c>
      <c r="K519" s="30" t="str">
        <f aca="false">IF($E519="","",IFERROR(E519/G519,""))</f>
        <v/>
      </c>
      <c r="L519" s="30" t="str">
        <f aca="false">IF($E519="","",IFERROR(E519/F519*1000,""))</f>
        <v/>
      </c>
      <c r="M519" s="37" t="str">
        <f aca="false">IF($E519="","",IFERROR(H519/G519,""))</f>
        <v/>
      </c>
      <c r="N519" s="30" t="str">
        <f aca="false">IF($E519="","",IFERROR(E519/H519,"—"))</f>
        <v/>
      </c>
      <c r="O519" s="30" t="str">
        <f aca="false">IF($E519="","",IFERROR(INDEX('Гео-калькулятор'!$K$7:$K$13,MATCH($C519,'Гео-калькулятор'!$B$7:$B$13,0)),""))</f>
        <v/>
      </c>
      <c r="P519" s="38" t="str">
        <f aca="false">IF($E519="","",IFERROR(N519/O519,""))</f>
        <v/>
      </c>
      <c r="Q519" s="39" t="str">
        <f aca="false">IF($E519="","",IF($I519&lt;&gt;"",$I519,N($H519)*IFERROR(INDEX('Гео-калькулятор'!$E$7:$E$13,MATCH($C519,'Гео-калькулятор'!$B$7:$B$13,0)),0)))</f>
        <v/>
      </c>
      <c r="R519" s="38" t="str">
        <f aca="false">IF($E519="","",IFERROR(Q519/H519,""))</f>
        <v/>
      </c>
      <c r="S519" s="30" t="str">
        <f aca="false">IF($E519="","",IFERROR(E519/Q519,"—"))</f>
        <v/>
      </c>
      <c r="T519" s="30" t="str">
        <f aca="false">IF($E519="","",Q519*IFERROR(INDEX('Гео-калькулятор'!$D$7:$D$13,MATCH($C519,'Гео-калькулятор'!$B$7:$B$13,0)),0))</f>
        <v/>
      </c>
      <c r="U519" s="40" t="str">
        <f aca="false">IF($E519="","",T519-E519)</f>
        <v/>
      </c>
      <c r="V519" s="41" t="str">
        <f aca="false">IF($E519="","",IFERROR(U519/E519,""))</f>
        <v/>
      </c>
      <c r="W519" s="10" t="str">
        <f aca="false">IF($E519="","",IF($I519&lt;&gt;"","факт","прогноз"))</f>
        <v/>
      </c>
      <c r="X519" s="1"/>
      <c r="Y519" s="1"/>
      <c r="Z519" s="1"/>
      <c r="AA519" s="1"/>
      <c r="AB519" s="1"/>
      <c r="AC519" s="1"/>
      <c r="AD519" s="1"/>
    </row>
    <row r="520" customFormat="false" ht="18" hidden="false" customHeight="true" outlineLevel="0" collapsed="false">
      <c r="A520" s="1"/>
      <c r="B520" s="35"/>
      <c r="C520" s="8"/>
      <c r="D520" s="26"/>
      <c r="E520" s="27"/>
      <c r="F520" s="36"/>
      <c r="G520" s="36"/>
      <c r="H520" s="36"/>
      <c r="I520" s="36"/>
      <c r="J520" s="37" t="str">
        <f aca="false">IF($E520="","",IFERROR(G520/F520,""))</f>
        <v/>
      </c>
      <c r="K520" s="30" t="str">
        <f aca="false">IF($E520="","",IFERROR(E520/G520,""))</f>
        <v/>
      </c>
      <c r="L520" s="30" t="str">
        <f aca="false">IF($E520="","",IFERROR(E520/F520*1000,""))</f>
        <v/>
      </c>
      <c r="M520" s="37" t="str">
        <f aca="false">IF($E520="","",IFERROR(H520/G520,""))</f>
        <v/>
      </c>
      <c r="N520" s="30" t="str">
        <f aca="false">IF($E520="","",IFERROR(E520/H520,"—"))</f>
        <v/>
      </c>
      <c r="O520" s="30" t="str">
        <f aca="false">IF($E520="","",IFERROR(INDEX('Гео-калькулятор'!$K$7:$K$13,MATCH($C520,'Гео-калькулятор'!$B$7:$B$13,0)),""))</f>
        <v/>
      </c>
      <c r="P520" s="38" t="str">
        <f aca="false">IF($E520="","",IFERROR(N520/O520,""))</f>
        <v/>
      </c>
      <c r="Q520" s="39" t="str">
        <f aca="false">IF($E520="","",IF($I520&lt;&gt;"",$I520,N($H520)*IFERROR(INDEX('Гео-калькулятор'!$E$7:$E$13,MATCH($C520,'Гео-калькулятор'!$B$7:$B$13,0)),0)))</f>
        <v/>
      </c>
      <c r="R520" s="38" t="str">
        <f aca="false">IF($E520="","",IFERROR(Q520/H520,""))</f>
        <v/>
      </c>
      <c r="S520" s="30" t="str">
        <f aca="false">IF($E520="","",IFERROR(E520/Q520,"—"))</f>
        <v/>
      </c>
      <c r="T520" s="30" t="str">
        <f aca="false">IF($E520="","",Q520*IFERROR(INDEX('Гео-калькулятор'!$D$7:$D$13,MATCH($C520,'Гео-калькулятор'!$B$7:$B$13,0)),0))</f>
        <v/>
      </c>
      <c r="U520" s="40" t="str">
        <f aca="false">IF($E520="","",T520-E520)</f>
        <v/>
      </c>
      <c r="V520" s="41" t="str">
        <f aca="false">IF($E520="","",IFERROR(U520/E520,""))</f>
        <v/>
      </c>
      <c r="W520" s="10" t="str">
        <f aca="false">IF($E520="","",IF($I520&lt;&gt;"","факт","прогноз"))</f>
        <v/>
      </c>
      <c r="X520" s="1"/>
      <c r="Y520" s="1"/>
      <c r="Z520" s="1"/>
      <c r="AA520" s="1"/>
      <c r="AB520" s="1"/>
      <c r="AC520" s="1"/>
      <c r="AD520" s="1"/>
    </row>
    <row r="521" customFormat="false" ht="18" hidden="false" customHeight="true" outlineLevel="0" collapsed="false">
      <c r="A521" s="1"/>
      <c r="B521" s="35"/>
      <c r="C521" s="8"/>
      <c r="D521" s="26"/>
      <c r="E521" s="27"/>
      <c r="F521" s="36"/>
      <c r="G521" s="36"/>
      <c r="H521" s="36"/>
      <c r="I521" s="36"/>
      <c r="J521" s="37" t="str">
        <f aca="false">IF($E521="","",IFERROR(G521/F521,""))</f>
        <v/>
      </c>
      <c r="K521" s="30" t="str">
        <f aca="false">IF($E521="","",IFERROR(E521/G521,""))</f>
        <v/>
      </c>
      <c r="L521" s="30" t="str">
        <f aca="false">IF($E521="","",IFERROR(E521/F521*1000,""))</f>
        <v/>
      </c>
      <c r="M521" s="37" t="str">
        <f aca="false">IF($E521="","",IFERROR(H521/G521,""))</f>
        <v/>
      </c>
      <c r="N521" s="30" t="str">
        <f aca="false">IF($E521="","",IFERROR(E521/H521,"—"))</f>
        <v/>
      </c>
      <c r="O521" s="30" t="str">
        <f aca="false">IF($E521="","",IFERROR(INDEX('Гео-калькулятор'!$K$7:$K$13,MATCH($C521,'Гео-калькулятор'!$B$7:$B$13,0)),""))</f>
        <v/>
      </c>
      <c r="P521" s="38" t="str">
        <f aca="false">IF($E521="","",IFERROR(N521/O521,""))</f>
        <v/>
      </c>
      <c r="Q521" s="39" t="str">
        <f aca="false">IF($E521="","",IF($I521&lt;&gt;"",$I521,N($H521)*IFERROR(INDEX('Гео-калькулятор'!$E$7:$E$13,MATCH($C521,'Гео-калькулятор'!$B$7:$B$13,0)),0)))</f>
        <v/>
      </c>
      <c r="R521" s="38" t="str">
        <f aca="false">IF($E521="","",IFERROR(Q521/H521,""))</f>
        <v/>
      </c>
      <c r="S521" s="30" t="str">
        <f aca="false">IF($E521="","",IFERROR(E521/Q521,"—"))</f>
        <v/>
      </c>
      <c r="T521" s="30" t="str">
        <f aca="false">IF($E521="","",Q521*IFERROR(INDEX('Гео-калькулятор'!$D$7:$D$13,MATCH($C521,'Гео-калькулятор'!$B$7:$B$13,0)),0))</f>
        <v/>
      </c>
      <c r="U521" s="40" t="str">
        <f aca="false">IF($E521="","",T521-E521)</f>
        <v/>
      </c>
      <c r="V521" s="41" t="str">
        <f aca="false">IF($E521="","",IFERROR(U521/E521,""))</f>
        <v/>
      </c>
      <c r="W521" s="10" t="str">
        <f aca="false">IF($E521="","",IF($I521&lt;&gt;"","факт","прогноз"))</f>
        <v/>
      </c>
      <c r="X521" s="1"/>
      <c r="Y521" s="1"/>
      <c r="Z521" s="1"/>
      <c r="AA521" s="1"/>
      <c r="AB521" s="1"/>
      <c r="AC521" s="1"/>
      <c r="AD521" s="1"/>
    </row>
    <row r="522" customFormat="false" ht="18" hidden="false" customHeight="true" outlineLevel="0" collapsed="false">
      <c r="A522" s="1"/>
      <c r="B522" s="35"/>
      <c r="C522" s="8"/>
      <c r="D522" s="26"/>
      <c r="E522" s="27"/>
      <c r="F522" s="36"/>
      <c r="G522" s="36"/>
      <c r="H522" s="36"/>
      <c r="I522" s="36"/>
      <c r="J522" s="37" t="str">
        <f aca="false">IF($E522="","",IFERROR(G522/F522,""))</f>
        <v/>
      </c>
      <c r="K522" s="30" t="str">
        <f aca="false">IF($E522="","",IFERROR(E522/G522,""))</f>
        <v/>
      </c>
      <c r="L522" s="30" t="str">
        <f aca="false">IF($E522="","",IFERROR(E522/F522*1000,""))</f>
        <v/>
      </c>
      <c r="M522" s="37" t="str">
        <f aca="false">IF($E522="","",IFERROR(H522/G522,""))</f>
        <v/>
      </c>
      <c r="N522" s="30" t="str">
        <f aca="false">IF($E522="","",IFERROR(E522/H522,"—"))</f>
        <v/>
      </c>
      <c r="O522" s="30" t="str">
        <f aca="false">IF($E522="","",IFERROR(INDEX('Гео-калькулятор'!$K$7:$K$13,MATCH($C522,'Гео-калькулятор'!$B$7:$B$13,0)),""))</f>
        <v/>
      </c>
      <c r="P522" s="38" t="str">
        <f aca="false">IF($E522="","",IFERROR(N522/O522,""))</f>
        <v/>
      </c>
      <c r="Q522" s="39" t="str">
        <f aca="false">IF($E522="","",IF($I522&lt;&gt;"",$I522,N($H522)*IFERROR(INDEX('Гео-калькулятор'!$E$7:$E$13,MATCH($C522,'Гео-калькулятор'!$B$7:$B$13,0)),0)))</f>
        <v/>
      </c>
      <c r="R522" s="38" t="str">
        <f aca="false">IF($E522="","",IFERROR(Q522/H522,""))</f>
        <v/>
      </c>
      <c r="S522" s="30" t="str">
        <f aca="false">IF($E522="","",IFERROR(E522/Q522,"—"))</f>
        <v/>
      </c>
      <c r="T522" s="30" t="str">
        <f aca="false">IF($E522="","",Q522*IFERROR(INDEX('Гео-калькулятор'!$D$7:$D$13,MATCH($C522,'Гео-калькулятор'!$B$7:$B$13,0)),0))</f>
        <v/>
      </c>
      <c r="U522" s="40" t="str">
        <f aca="false">IF($E522="","",T522-E522)</f>
        <v/>
      </c>
      <c r="V522" s="41" t="str">
        <f aca="false">IF($E522="","",IFERROR(U522/E522,""))</f>
        <v/>
      </c>
      <c r="W522" s="10" t="str">
        <f aca="false">IF($E522="","",IF($I522&lt;&gt;"","факт","прогноз"))</f>
        <v/>
      </c>
      <c r="X522" s="1"/>
      <c r="Y522" s="1"/>
      <c r="Z522" s="1"/>
      <c r="AA522" s="1"/>
      <c r="AB522" s="1"/>
      <c r="AC522" s="1"/>
      <c r="AD522" s="1"/>
    </row>
    <row r="523" customFormat="false" ht="18" hidden="false" customHeight="true" outlineLevel="0" collapsed="false">
      <c r="A523" s="1"/>
      <c r="B523" s="35"/>
      <c r="C523" s="8"/>
      <c r="D523" s="26"/>
      <c r="E523" s="27"/>
      <c r="F523" s="36"/>
      <c r="G523" s="36"/>
      <c r="H523" s="36"/>
      <c r="I523" s="36"/>
      <c r="J523" s="37" t="str">
        <f aca="false">IF($E523="","",IFERROR(G523/F523,""))</f>
        <v/>
      </c>
      <c r="K523" s="30" t="str">
        <f aca="false">IF($E523="","",IFERROR(E523/G523,""))</f>
        <v/>
      </c>
      <c r="L523" s="30" t="str">
        <f aca="false">IF($E523="","",IFERROR(E523/F523*1000,""))</f>
        <v/>
      </c>
      <c r="M523" s="37" t="str">
        <f aca="false">IF($E523="","",IFERROR(H523/G523,""))</f>
        <v/>
      </c>
      <c r="N523" s="30" t="str">
        <f aca="false">IF($E523="","",IFERROR(E523/H523,"—"))</f>
        <v/>
      </c>
      <c r="O523" s="30" t="str">
        <f aca="false">IF($E523="","",IFERROR(INDEX('Гео-калькулятор'!$K$7:$K$13,MATCH($C523,'Гео-калькулятор'!$B$7:$B$13,0)),""))</f>
        <v/>
      </c>
      <c r="P523" s="38" t="str">
        <f aca="false">IF($E523="","",IFERROR(N523/O523,""))</f>
        <v/>
      </c>
      <c r="Q523" s="39" t="str">
        <f aca="false">IF($E523="","",IF($I523&lt;&gt;"",$I523,N($H523)*IFERROR(INDEX('Гео-калькулятор'!$E$7:$E$13,MATCH($C523,'Гео-калькулятор'!$B$7:$B$13,0)),0)))</f>
        <v/>
      </c>
      <c r="R523" s="38" t="str">
        <f aca="false">IF($E523="","",IFERROR(Q523/H523,""))</f>
        <v/>
      </c>
      <c r="S523" s="30" t="str">
        <f aca="false">IF($E523="","",IFERROR(E523/Q523,"—"))</f>
        <v/>
      </c>
      <c r="T523" s="30" t="str">
        <f aca="false">IF($E523="","",Q523*IFERROR(INDEX('Гео-калькулятор'!$D$7:$D$13,MATCH($C523,'Гео-калькулятор'!$B$7:$B$13,0)),0))</f>
        <v/>
      </c>
      <c r="U523" s="40" t="str">
        <f aca="false">IF($E523="","",T523-E523)</f>
        <v/>
      </c>
      <c r="V523" s="41" t="str">
        <f aca="false">IF($E523="","",IFERROR(U523/E523,""))</f>
        <v/>
      </c>
      <c r="W523" s="10" t="str">
        <f aca="false">IF($E523="","",IF($I523&lt;&gt;"","факт","прогноз"))</f>
        <v/>
      </c>
      <c r="X523" s="1"/>
      <c r="Y523" s="1"/>
      <c r="Z523" s="1"/>
      <c r="AA523" s="1"/>
      <c r="AB523" s="1"/>
      <c r="AC523" s="1"/>
      <c r="AD523" s="1"/>
    </row>
    <row r="524" customFormat="false" ht="18" hidden="false" customHeight="true" outlineLevel="0" collapsed="false">
      <c r="A524" s="1"/>
      <c r="B524" s="35"/>
      <c r="C524" s="8"/>
      <c r="D524" s="26"/>
      <c r="E524" s="27"/>
      <c r="F524" s="36"/>
      <c r="G524" s="36"/>
      <c r="H524" s="36"/>
      <c r="I524" s="36"/>
      <c r="J524" s="37" t="str">
        <f aca="false">IF($E524="","",IFERROR(G524/F524,""))</f>
        <v/>
      </c>
      <c r="K524" s="30" t="str">
        <f aca="false">IF($E524="","",IFERROR(E524/G524,""))</f>
        <v/>
      </c>
      <c r="L524" s="30" t="str">
        <f aca="false">IF($E524="","",IFERROR(E524/F524*1000,""))</f>
        <v/>
      </c>
      <c r="M524" s="37" t="str">
        <f aca="false">IF($E524="","",IFERROR(H524/G524,""))</f>
        <v/>
      </c>
      <c r="N524" s="30" t="str">
        <f aca="false">IF($E524="","",IFERROR(E524/H524,"—"))</f>
        <v/>
      </c>
      <c r="O524" s="30" t="str">
        <f aca="false">IF($E524="","",IFERROR(INDEX('Гео-калькулятор'!$K$7:$K$13,MATCH($C524,'Гео-калькулятор'!$B$7:$B$13,0)),""))</f>
        <v/>
      </c>
      <c r="P524" s="38" t="str">
        <f aca="false">IF($E524="","",IFERROR(N524/O524,""))</f>
        <v/>
      </c>
      <c r="Q524" s="39" t="str">
        <f aca="false">IF($E524="","",IF($I524&lt;&gt;"",$I524,N($H524)*IFERROR(INDEX('Гео-калькулятор'!$E$7:$E$13,MATCH($C524,'Гео-калькулятор'!$B$7:$B$13,0)),0)))</f>
        <v/>
      </c>
      <c r="R524" s="38" t="str">
        <f aca="false">IF($E524="","",IFERROR(Q524/H524,""))</f>
        <v/>
      </c>
      <c r="S524" s="30" t="str">
        <f aca="false">IF($E524="","",IFERROR(E524/Q524,"—"))</f>
        <v/>
      </c>
      <c r="T524" s="30" t="str">
        <f aca="false">IF($E524="","",Q524*IFERROR(INDEX('Гео-калькулятор'!$D$7:$D$13,MATCH($C524,'Гео-калькулятор'!$B$7:$B$13,0)),0))</f>
        <v/>
      </c>
      <c r="U524" s="40" t="str">
        <f aca="false">IF($E524="","",T524-E524)</f>
        <v/>
      </c>
      <c r="V524" s="41" t="str">
        <f aca="false">IF($E524="","",IFERROR(U524/E524,""))</f>
        <v/>
      </c>
      <c r="W524" s="10" t="str">
        <f aca="false">IF($E524="","",IF($I524&lt;&gt;"","факт","прогноз"))</f>
        <v/>
      </c>
      <c r="X524" s="1"/>
      <c r="Y524" s="1"/>
      <c r="Z524" s="1"/>
      <c r="AA524" s="1"/>
      <c r="AB524" s="1"/>
      <c r="AC524" s="1"/>
      <c r="AD524" s="1"/>
    </row>
    <row r="525" customFormat="false" ht="18" hidden="false" customHeight="true" outlineLevel="0" collapsed="false">
      <c r="A525" s="1"/>
      <c r="B525" s="35"/>
      <c r="C525" s="8"/>
      <c r="D525" s="26"/>
      <c r="E525" s="27"/>
      <c r="F525" s="36"/>
      <c r="G525" s="36"/>
      <c r="H525" s="36"/>
      <c r="I525" s="36"/>
      <c r="J525" s="37" t="str">
        <f aca="false">IF($E525="","",IFERROR(G525/F525,""))</f>
        <v/>
      </c>
      <c r="K525" s="30" t="str">
        <f aca="false">IF($E525="","",IFERROR(E525/G525,""))</f>
        <v/>
      </c>
      <c r="L525" s="30" t="str">
        <f aca="false">IF($E525="","",IFERROR(E525/F525*1000,""))</f>
        <v/>
      </c>
      <c r="M525" s="37" t="str">
        <f aca="false">IF($E525="","",IFERROR(H525/G525,""))</f>
        <v/>
      </c>
      <c r="N525" s="30" t="str">
        <f aca="false">IF($E525="","",IFERROR(E525/H525,"—"))</f>
        <v/>
      </c>
      <c r="O525" s="30" t="str">
        <f aca="false">IF($E525="","",IFERROR(INDEX('Гео-калькулятор'!$K$7:$K$13,MATCH($C525,'Гео-калькулятор'!$B$7:$B$13,0)),""))</f>
        <v/>
      </c>
      <c r="P525" s="38" t="str">
        <f aca="false">IF($E525="","",IFERROR(N525/O525,""))</f>
        <v/>
      </c>
      <c r="Q525" s="39" t="str">
        <f aca="false">IF($E525="","",IF($I525&lt;&gt;"",$I525,N($H525)*IFERROR(INDEX('Гео-калькулятор'!$E$7:$E$13,MATCH($C525,'Гео-калькулятор'!$B$7:$B$13,0)),0)))</f>
        <v/>
      </c>
      <c r="R525" s="38" t="str">
        <f aca="false">IF($E525="","",IFERROR(Q525/H525,""))</f>
        <v/>
      </c>
      <c r="S525" s="30" t="str">
        <f aca="false">IF($E525="","",IFERROR(E525/Q525,"—"))</f>
        <v/>
      </c>
      <c r="T525" s="30" t="str">
        <f aca="false">IF($E525="","",Q525*IFERROR(INDEX('Гео-калькулятор'!$D$7:$D$13,MATCH($C525,'Гео-калькулятор'!$B$7:$B$13,0)),0))</f>
        <v/>
      </c>
      <c r="U525" s="40" t="str">
        <f aca="false">IF($E525="","",T525-E525)</f>
        <v/>
      </c>
      <c r="V525" s="41" t="str">
        <f aca="false">IF($E525="","",IFERROR(U525/E525,""))</f>
        <v/>
      </c>
      <c r="W525" s="10" t="str">
        <f aca="false">IF($E525="","",IF($I525&lt;&gt;"","факт","прогноз"))</f>
        <v/>
      </c>
      <c r="X525" s="1"/>
      <c r="Y525" s="1"/>
      <c r="Z525" s="1"/>
      <c r="AA525" s="1"/>
      <c r="AB525" s="1"/>
      <c r="AC525" s="1"/>
      <c r="AD525" s="1"/>
    </row>
    <row r="526" customFormat="false" ht="18" hidden="false" customHeight="true" outlineLevel="0" collapsed="false">
      <c r="A526" s="1"/>
      <c r="B526" s="35"/>
      <c r="C526" s="8"/>
      <c r="D526" s="26"/>
      <c r="E526" s="27"/>
      <c r="F526" s="36"/>
      <c r="G526" s="36"/>
      <c r="H526" s="36"/>
      <c r="I526" s="36"/>
      <c r="J526" s="37" t="str">
        <f aca="false">IF($E526="","",IFERROR(G526/F526,""))</f>
        <v/>
      </c>
      <c r="K526" s="30" t="str">
        <f aca="false">IF($E526="","",IFERROR(E526/G526,""))</f>
        <v/>
      </c>
      <c r="L526" s="30" t="str">
        <f aca="false">IF($E526="","",IFERROR(E526/F526*1000,""))</f>
        <v/>
      </c>
      <c r="M526" s="37" t="str">
        <f aca="false">IF($E526="","",IFERROR(H526/G526,""))</f>
        <v/>
      </c>
      <c r="N526" s="30" t="str">
        <f aca="false">IF($E526="","",IFERROR(E526/H526,"—"))</f>
        <v/>
      </c>
      <c r="O526" s="30" t="str">
        <f aca="false">IF($E526="","",IFERROR(INDEX('Гео-калькулятор'!$K$7:$K$13,MATCH($C526,'Гео-калькулятор'!$B$7:$B$13,0)),""))</f>
        <v/>
      </c>
      <c r="P526" s="38" t="str">
        <f aca="false">IF($E526="","",IFERROR(N526/O526,""))</f>
        <v/>
      </c>
      <c r="Q526" s="39" t="str">
        <f aca="false">IF($E526="","",IF($I526&lt;&gt;"",$I526,N($H526)*IFERROR(INDEX('Гео-калькулятор'!$E$7:$E$13,MATCH($C526,'Гео-калькулятор'!$B$7:$B$13,0)),0)))</f>
        <v/>
      </c>
      <c r="R526" s="38" t="str">
        <f aca="false">IF($E526="","",IFERROR(Q526/H526,""))</f>
        <v/>
      </c>
      <c r="S526" s="30" t="str">
        <f aca="false">IF($E526="","",IFERROR(E526/Q526,"—"))</f>
        <v/>
      </c>
      <c r="T526" s="30" t="str">
        <f aca="false">IF($E526="","",Q526*IFERROR(INDEX('Гео-калькулятор'!$D$7:$D$13,MATCH($C526,'Гео-калькулятор'!$B$7:$B$13,0)),0))</f>
        <v/>
      </c>
      <c r="U526" s="40" t="str">
        <f aca="false">IF($E526="","",T526-E526)</f>
        <v/>
      </c>
      <c r="V526" s="41" t="str">
        <f aca="false">IF($E526="","",IFERROR(U526/E526,""))</f>
        <v/>
      </c>
      <c r="W526" s="10" t="str">
        <f aca="false">IF($E526="","",IF($I526&lt;&gt;"","факт","прогноз"))</f>
        <v/>
      </c>
      <c r="X526" s="1"/>
      <c r="Y526" s="1"/>
      <c r="Z526" s="1"/>
      <c r="AA526" s="1"/>
      <c r="AB526" s="1"/>
      <c r="AC526" s="1"/>
      <c r="AD526" s="1"/>
    </row>
    <row r="527" customFormat="false" ht="18" hidden="false" customHeight="true" outlineLevel="0" collapsed="false">
      <c r="A527" s="1"/>
      <c r="B527" s="35"/>
      <c r="C527" s="8"/>
      <c r="D527" s="26"/>
      <c r="E527" s="27"/>
      <c r="F527" s="36"/>
      <c r="G527" s="36"/>
      <c r="H527" s="36"/>
      <c r="I527" s="36"/>
      <c r="J527" s="37" t="str">
        <f aca="false">IF($E527="","",IFERROR(G527/F527,""))</f>
        <v/>
      </c>
      <c r="K527" s="30" t="str">
        <f aca="false">IF($E527="","",IFERROR(E527/G527,""))</f>
        <v/>
      </c>
      <c r="L527" s="30" t="str">
        <f aca="false">IF($E527="","",IFERROR(E527/F527*1000,""))</f>
        <v/>
      </c>
      <c r="M527" s="37" t="str">
        <f aca="false">IF($E527="","",IFERROR(H527/G527,""))</f>
        <v/>
      </c>
      <c r="N527" s="30" t="str">
        <f aca="false">IF($E527="","",IFERROR(E527/H527,"—"))</f>
        <v/>
      </c>
      <c r="O527" s="30" t="str">
        <f aca="false">IF($E527="","",IFERROR(INDEX('Гео-калькулятор'!$K$7:$K$13,MATCH($C527,'Гео-калькулятор'!$B$7:$B$13,0)),""))</f>
        <v/>
      </c>
      <c r="P527" s="38" t="str">
        <f aca="false">IF($E527="","",IFERROR(N527/O527,""))</f>
        <v/>
      </c>
      <c r="Q527" s="39" t="str">
        <f aca="false">IF($E527="","",IF($I527&lt;&gt;"",$I527,N($H527)*IFERROR(INDEX('Гео-калькулятор'!$E$7:$E$13,MATCH($C527,'Гео-калькулятор'!$B$7:$B$13,0)),0)))</f>
        <v/>
      </c>
      <c r="R527" s="38" t="str">
        <f aca="false">IF($E527="","",IFERROR(Q527/H527,""))</f>
        <v/>
      </c>
      <c r="S527" s="30" t="str">
        <f aca="false">IF($E527="","",IFERROR(E527/Q527,"—"))</f>
        <v/>
      </c>
      <c r="T527" s="30" t="str">
        <f aca="false">IF($E527="","",Q527*IFERROR(INDEX('Гео-калькулятор'!$D$7:$D$13,MATCH($C527,'Гео-калькулятор'!$B$7:$B$13,0)),0))</f>
        <v/>
      </c>
      <c r="U527" s="40" t="str">
        <f aca="false">IF($E527="","",T527-E527)</f>
        <v/>
      </c>
      <c r="V527" s="41" t="str">
        <f aca="false">IF($E527="","",IFERROR(U527/E527,""))</f>
        <v/>
      </c>
      <c r="W527" s="10" t="str">
        <f aca="false">IF($E527="","",IF($I527&lt;&gt;"","факт","прогноз"))</f>
        <v/>
      </c>
      <c r="X527" s="1"/>
      <c r="Y527" s="1"/>
      <c r="Z527" s="1"/>
      <c r="AA527" s="1"/>
      <c r="AB527" s="1"/>
      <c r="AC527" s="1"/>
      <c r="AD527" s="1"/>
    </row>
    <row r="528" customFormat="false" ht="18" hidden="false" customHeight="true" outlineLevel="0" collapsed="false">
      <c r="A528" s="1"/>
      <c r="B528" s="35"/>
      <c r="C528" s="8"/>
      <c r="D528" s="26"/>
      <c r="E528" s="27"/>
      <c r="F528" s="36"/>
      <c r="G528" s="36"/>
      <c r="H528" s="36"/>
      <c r="I528" s="36"/>
      <c r="J528" s="37" t="str">
        <f aca="false">IF($E528="","",IFERROR(G528/F528,""))</f>
        <v/>
      </c>
      <c r="K528" s="30" t="str">
        <f aca="false">IF($E528="","",IFERROR(E528/G528,""))</f>
        <v/>
      </c>
      <c r="L528" s="30" t="str">
        <f aca="false">IF($E528="","",IFERROR(E528/F528*1000,""))</f>
        <v/>
      </c>
      <c r="M528" s="37" t="str">
        <f aca="false">IF($E528="","",IFERROR(H528/G528,""))</f>
        <v/>
      </c>
      <c r="N528" s="30" t="str">
        <f aca="false">IF($E528="","",IFERROR(E528/H528,"—"))</f>
        <v/>
      </c>
      <c r="O528" s="30" t="str">
        <f aca="false">IF($E528="","",IFERROR(INDEX('Гео-калькулятор'!$K$7:$K$13,MATCH($C528,'Гео-калькулятор'!$B$7:$B$13,0)),""))</f>
        <v/>
      </c>
      <c r="P528" s="38" t="str">
        <f aca="false">IF($E528="","",IFERROR(N528/O528,""))</f>
        <v/>
      </c>
      <c r="Q528" s="39" t="str">
        <f aca="false">IF($E528="","",IF($I528&lt;&gt;"",$I528,N($H528)*IFERROR(INDEX('Гео-калькулятор'!$E$7:$E$13,MATCH($C528,'Гео-калькулятор'!$B$7:$B$13,0)),0)))</f>
        <v/>
      </c>
      <c r="R528" s="38" t="str">
        <f aca="false">IF($E528="","",IFERROR(Q528/H528,""))</f>
        <v/>
      </c>
      <c r="S528" s="30" t="str">
        <f aca="false">IF($E528="","",IFERROR(E528/Q528,"—"))</f>
        <v/>
      </c>
      <c r="T528" s="30" t="str">
        <f aca="false">IF($E528="","",Q528*IFERROR(INDEX('Гео-калькулятор'!$D$7:$D$13,MATCH($C528,'Гео-калькулятор'!$B$7:$B$13,0)),0))</f>
        <v/>
      </c>
      <c r="U528" s="40" t="str">
        <f aca="false">IF($E528="","",T528-E528)</f>
        <v/>
      </c>
      <c r="V528" s="41" t="str">
        <f aca="false">IF($E528="","",IFERROR(U528/E528,""))</f>
        <v/>
      </c>
      <c r="W528" s="10" t="str">
        <f aca="false">IF($E528="","",IF($I528&lt;&gt;"","факт","прогноз"))</f>
        <v/>
      </c>
      <c r="X528" s="1"/>
      <c r="Y528" s="1"/>
      <c r="Z528" s="1"/>
      <c r="AA528" s="1"/>
      <c r="AB528" s="1"/>
      <c r="AC528" s="1"/>
      <c r="AD528" s="1"/>
    </row>
    <row r="529" customFormat="false" ht="18" hidden="false" customHeight="true" outlineLevel="0" collapsed="false">
      <c r="A529" s="1"/>
      <c r="B529" s="35"/>
      <c r="C529" s="8"/>
      <c r="D529" s="26"/>
      <c r="E529" s="27"/>
      <c r="F529" s="36"/>
      <c r="G529" s="36"/>
      <c r="H529" s="36"/>
      <c r="I529" s="36"/>
      <c r="J529" s="37" t="str">
        <f aca="false">IF($E529="","",IFERROR(G529/F529,""))</f>
        <v/>
      </c>
      <c r="K529" s="30" t="str">
        <f aca="false">IF($E529="","",IFERROR(E529/G529,""))</f>
        <v/>
      </c>
      <c r="L529" s="30" t="str">
        <f aca="false">IF($E529="","",IFERROR(E529/F529*1000,""))</f>
        <v/>
      </c>
      <c r="M529" s="37" t="str">
        <f aca="false">IF($E529="","",IFERROR(H529/G529,""))</f>
        <v/>
      </c>
      <c r="N529" s="30" t="str">
        <f aca="false">IF($E529="","",IFERROR(E529/H529,"—"))</f>
        <v/>
      </c>
      <c r="O529" s="30" t="str">
        <f aca="false">IF($E529="","",IFERROR(INDEX('Гео-калькулятор'!$K$7:$K$13,MATCH($C529,'Гео-калькулятор'!$B$7:$B$13,0)),""))</f>
        <v/>
      </c>
      <c r="P529" s="38" t="str">
        <f aca="false">IF($E529="","",IFERROR(N529/O529,""))</f>
        <v/>
      </c>
      <c r="Q529" s="39" t="str">
        <f aca="false">IF($E529="","",IF($I529&lt;&gt;"",$I529,N($H529)*IFERROR(INDEX('Гео-калькулятор'!$E$7:$E$13,MATCH($C529,'Гео-калькулятор'!$B$7:$B$13,0)),0)))</f>
        <v/>
      </c>
      <c r="R529" s="38" t="str">
        <f aca="false">IF($E529="","",IFERROR(Q529/H529,""))</f>
        <v/>
      </c>
      <c r="S529" s="30" t="str">
        <f aca="false">IF($E529="","",IFERROR(E529/Q529,"—"))</f>
        <v/>
      </c>
      <c r="T529" s="30" t="str">
        <f aca="false">IF($E529="","",Q529*IFERROR(INDEX('Гео-калькулятор'!$D$7:$D$13,MATCH($C529,'Гео-калькулятор'!$B$7:$B$13,0)),0))</f>
        <v/>
      </c>
      <c r="U529" s="40" t="str">
        <f aca="false">IF($E529="","",T529-E529)</f>
        <v/>
      </c>
      <c r="V529" s="41" t="str">
        <f aca="false">IF($E529="","",IFERROR(U529/E529,""))</f>
        <v/>
      </c>
      <c r="W529" s="10" t="str">
        <f aca="false">IF($E529="","",IF($I529&lt;&gt;"","факт","прогноз"))</f>
        <v/>
      </c>
      <c r="X529" s="1"/>
      <c r="Y529" s="1"/>
      <c r="Z529" s="1"/>
      <c r="AA529" s="1"/>
      <c r="AB529" s="1"/>
      <c r="AC529" s="1"/>
      <c r="AD529" s="1"/>
    </row>
    <row r="530" customFormat="false" ht="18" hidden="false" customHeight="true" outlineLevel="0" collapsed="false">
      <c r="A530" s="1"/>
      <c r="B530" s="35"/>
      <c r="C530" s="8"/>
      <c r="D530" s="26"/>
      <c r="E530" s="27"/>
      <c r="F530" s="36"/>
      <c r="G530" s="36"/>
      <c r="H530" s="36"/>
      <c r="I530" s="36"/>
      <c r="J530" s="37" t="str">
        <f aca="false">IF($E530="","",IFERROR(G530/F530,""))</f>
        <v/>
      </c>
      <c r="K530" s="30" t="str">
        <f aca="false">IF($E530="","",IFERROR(E530/G530,""))</f>
        <v/>
      </c>
      <c r="L530" s="30" t="str">
        <f aca="false">IF($E530="","",IFERROR(E530/F530*1000,""))</f>
        <v/>
      </c>
      <c r="M530" s="37" t="str">
        <f aca="false">IF($E530="","",IFERROR(H530/G530,""))</f>
        <v/>
      </c>
      <c r="N530" s="30" t="str">
        <f aca="false">IF($E530="","",IFERROR(E530/H530,"—"))</f>
        <v/>
      </c>
      <c r="O530" s="30" t="str">
        <f aca="false">IF($E530="","",IFERROR(INDEX('Гео-калькулятор'!$K$7:$K$13,MATCH($C530,'Гео-калькулятор'!$B$7:$B$13,0)),""))</f>
        <v/>
      </c>
      <c r="P530" s="38" t="str">
        <f aca="false">IF($E530="","",IFERROR(N530/O530,""))</f>
        <v/>
      </c>
      <c r="Q530" s="39" t="str">
        <f aca="false">IF($E530="","",IF($I530&lt;&gt;"",$I530,N($H530)*IFERROR(INDEX('Гео-калькулятор'!$E$7:$E$13,MATCH($C530,'Гео-калькулятор'!$B$7:$B$13,0)),0)))</f>
        <v/>
      </c>
      <c r="R530" s="38" t="str">
        <f aca="false">IF($E530="","",IFERROR(Q530/H530,""))</f>
        <v/>
      </c>
      <c r="S530" s="30" t="str">
        <f aca="false">IF($E530="","",IFERROR(E530/Q530,"—"))</f>
        <v/>
      </c>
      <c r="T530" s="30" t="str">
        <f aca="false">IF($E530="","",Q530*IFERROR(INDEX('Гео-калькулятор'!$D$7:$D$13,MATCH($C530,'Гео-калькулятор'!$B$7:$B$13,0)),0))</f>
        <v/>
      </c>
      <c r="U530" s="40" t="str">
        <f aca="false">IF($E530="","",T530-E530)</f>
        <v/>
      </c>
      <c r="V530" s="41" t="str">
        <f aca="false">IF($E530="","",IFERROR(U530/E530,""))</f>
        <v/>
      </c>
      <c r="W530" s="10" t="str">
        <f aca="false">IF($E530="","",IF($I530&lt;&gt;"","факт","прогноз"))</f>
        <v/>
      </c>
      <c r="X530" s="1"/>
      <c r="Y530" s="1"/>
      <c r="Z530" s="1"/>
      <c r="AA530" s="1"/>
      <c r="AB530" s="1"/>
      <c r="AC530" s="1"/>
      <c r="AD530" s="1"/>
    </row>
    <row r="531" customFormat="false" ht="18" hidden="false" customHeight="true" outlineLevel="0" collapsed="false">
      <c r="A531" s="1"/>
      <c r="B531" s="35"/>
      <c r="C531" s="8"/>
      <c r="D531" s="26"/>
      <c r="E531" s="27"/>
      <c r="F531" s="36"/>
      <c r="G531" s="36"/>
      <c r="H531" s="36"/>
      <c r="I531" s="36"/>
      <c r="J531" s="37" t="str">
        <f aca="false">IF($E531="","",IFERROR(G531/F531,""))</f>
        <v/>
      </c>
      <c r="K531" s="30" t="str">
        <f aca="false">IF($E531="","",IFERROR(E531/G531,""))</f>
        <v/>
      </c>
      <c r="L531" s="30" t="str">
        <f aca="false">IF($E531="","",IFERROR(E531/F531*1000,""))</f>
        <v/>
      </c>
      <c r="M531" s="37" t="str">
        <f aca="false">IF($E531="","",IFERROR(H531/G531,""))</f>
        <v/>
      </c>
      <c r="N531" s="30" t="str">
        <f aca="false">IF($E531="","",IFERROR(E531/H531,"—"))</f>
        <v/>
      </c>
      <c r="O531" s="30" t="str">
        <f aca="false">IF($E531="","",IFERROR(INDEX('Гео-калькулятор'!$K$7:$K$13,MATCH($C531,'Гео-калькулятор'!$B$7:$B$13,0)),""))</f>
        <v/>
      </c>
      <c r="P531" s="38" t="str">
        <f aca="false">IF($E531="","",IFERROR(N531/O531,""))</f>
        <v/>
      </c>
      <c r="Q531" s="39" t="str">
        <f aca="false">IF($E531="","",IF($I531&lt;&gt;"",$I531,N($H531)*IFERROR(INDEX('Гео-калькулятор'!$E$7:$E$13,MATCH($C531,'Гео-калькулятор'!$B$7:$B$13,0)),0)))</f>
        <v/>
      </c>
      <c r="R531" s="38" t="str">
        <f aca="false">IF($E531="","",IFERROR(Q531/H531,""))</f>
        <v/>
      </c>
      <c r="S531" s="30" t="str">
        <f aca="false">IF($E531="","",IFERROR(E531/Q531,"—"))</f>
        <v/>
      </c>
      <c r="T531" s="30" t="str">
        <f aca="false">IF($E531="","",Q531*IFERROR(INDEX('Гео-калькулятор'!$D$7:$D$13,MATCH($C531,'Гео-калькулятор'!$B$7:$B$13,0)),0))</f>
        <v/>
      </c>
      <c r="U531" s="40" t="str">
        <f aca="false">IF($E531="","",T531-E531)</f>
        <v/>
      </c>
      <c r="V531" s="41" t="str">
        <f aca="false">IF($E531="","",IFERROR(U531/E531,""))</f>
        <v/>
      </c>
      <c r="W531" s="10" t="str">
        <f aca="false">IF($E531="","",IF($I531&lt;&gt;"","факт","прогноз"))</f>
        <v/>
      </c>
      <c r="X531" s="1"/>
      <c r="Y531" s="1"/>
      <c r="Z531" s="1"/>
      <c r="AA531" s="1"/>
      <c r="AB531" s="1"/>
      <c r="AC531" s="1"/>
      <c r="AD531" s="1"/>
    </row>
    <row r="532" customFormat="false" ht="18" hidden="false" customHeight="true" outlineLevel="0" collapsed="false">
      <c r="A532" s="1"/>
      <c r="B532" s="35"/>
      <c r="C532" s="8"/>
      <c r="D532" s="26"/>
      <c r="E532" s="27"/>
      <c r="F532" s="36"/>
      <c r="G532" s="36"/>
      <c r="H532" s="36"/>
      <c r="I532" s="36"/>
      <c r="J532" s="37" t="str">
        <f aca="false">IF($E532="","",IFERROR(G532/F532,""))</f>
        <v/>
      </c>
      <c r="K532" s="30" t="str">
        <f aca="false">IF($E532="","",IFERROR(E532/G532,""))</f>
        <v/>
      </c>
      <c r="L532" s="30" t="str">
        <f aca="false">IF($E532="","",IFERROR(E532/F532*1000,""))</f>
        <v/>
      </c>
      <c r="M532" s="37" t="str">
        <f aca="false">IF($E532="","",IFERROR(H532/G532,""))</f>
        <v/>
      </c>
      <c r="N532" s="30" t="str">
        <f aca="false">IF($E532="","",IFERROR(E532/H532,"—"))</f>
        <v/>
      </c>
      <c r="O532" s="30" t="str">
        <f aca="false">IF($E532="","",IFERROR(INDEX('Гео-калькулятор'!$K$7:$K$13,MATCH($C532,'Гео-калькулятор'!$B$7:$B$13,0)),""))</f>
        <v/>
      </c>
      <c r="P532" s="38" t="str">
        <f aca="false">IF($E532="","",IFERROR(N532/O532,""))</f>
        <v/>
      </c>
      <c r="Q532" s="39" t="str">
        <f aca="false">IF($E532="","",IF($I532&lt;&gt;"",$I532,N($H532)*IFERROR(INDEX('Гео-калькулятор'!$E$7:$E$13,MATCH($C532,'Гео-калькулятор'!$B$7:$B$13,0)),0)))</f>
        <v/>
      </c>
      <c r="R532" s="38" t="str">
        <f aca="false">IF($E532="","",IFERROR(Q532/H532,""))</f>
        <v/>
      </c>
      <c r="S532" s="30" t="str">
        <f aca="false">IF($E532="","",IFERROR(E532/Q532,"—"))</f>
        <v/>
      </c>
      <c r="T532" s="30" t="str">
        <f aca="false">IF($E532="","",Q532*IFERROR(INDEX('Гео-калькулятор'!$D$7:$D$13,MATCH($C532,'Гео-калькулятор'!$B$7:$B$13,0)),0))</f>
        <v/>
      </c>
      <c r="U532" s="40" t="str">
        <f aca="false">IF($E532="","",T532-E532)</f>
        <v/>
      </c>
      <c r="V532" s="41" t="str">
        <f aca="false">IF($E532="","",IFERROR(U532/E532,""))</f>
        <v/>
      </c>
      <c r="W532" s="10" t="str">
        <f aca="false">IF($E532="","",IF($I532&lt;&gt;"","факт","прогноз"))</f>
        <v/>
      </c>
      <c r="X532" s="1"/>
      <c r="Y532" s="1"/>
      <c r="Z532" s="1"/>
      <c r="AA532" s="1"/>
      <c r="AB532" s="1"/>
      <c r="AC532" s="1"/>
      <c r="AD532" s="1"/>
    </row>
    <row r="533" customFormat="false" ht="18" hidden="false" customHeight="true" outlineLevel="0" collapsed="false">
      <c r="A533" s="1"/>
      <c r="B533" s="35"/>
      <c r="C533" s="8"/>
      <c r="D533" s="26"/>
      <c r="E533" s="27"/>
      <c r="F533" s="36"/>
      <c r="G533" s="36"/>
      <c r="H533" s="36"/>
      <c r="I533" s="36"/>
      <c r="J533" s="37" t="str">
        <f aca="false">IF($E533="","",IFERROR(G533/F533,""))</f>
        <v/>
      </c>
      <c r="K533" s="30" t="str">
        <f aca="false">IF($E533="","",IFERROR(E533/G533,""))</f>
        <v/>
      </c>
      <c r="L533" s="30" t="str">
        <f aca="false">IF($E533="","",IFERROR(E533/F533*1000,""))</f>
        <v/>
      </c>
      <c r="M533" s="37" t="str">
        <f aca="false">IF($E533="","",IFERROR(H533/G533,""))</f>
        <v/>
      </c>
      <c r="N533" s="30" t="str">
        <f aca="false">IF($E533="","",IFERROR(E533/H533,"—"))</f>
        <v/>
      </c>
      <c r="O533" s="30" t="str">
        <f aca="false">IF($E533="","",IFERROR(INDEX('Гео-калькулятор'!$K$7:$K$13,MATCH($C533,'Гео-калькулятор'!$B$7:$B$13,0)),""))</f>
        <v/>
      </c>
      <c r="P533" s="38" t="str">
        <f aca="false">IF($E533="","",IFERROR(N533/O533,""))</f>
        <v/>
      </c>
      <c r="Q533" s="39" t="str">
        <f aca="false">IF($E533="","",IF($I533&lt;&gt;"",$I533,N($H533)*IFERROR(INDEX('Гео-калькулятор'!$E$7:$E$13,MATCH($C533,'Гео-калькулятор'!$B$7:$B$13,0)),0)))</f>
        <v/>
      </c>
      <c r="R533" s="38" t="str">
        <f aca="false">IF($E533="","",IFERROR(Q533/H533,""))</f>
        <v/>
      </c>
      <c r="S533" s="30" t="str">
        <f aca="false">IF($E533="","",IFERROR(E533/Q533,"—"))</f>
        <v/>
      </c>
      <c r="T533" s="30" t="str">
        <f aca="false">IF($E533="","",Q533*IFERROR(INDEX('Гео-калькулятор'!$D$7:$D$13,MATCH($C533,'Гео-калькулятор'!$B$7:$B$13,0)),0))</f>
        <v/>
      </c>
      <c r="U533" s="40" t="str">
        <f aca="false">IF($E533="","",T533-E533)</f>
        <v/>
      </c>
      <c r="V533" s="41" t="str">
        <f aca="false">IF($E533="","",IFERROR(U533/E533,""))</f>
        <v/>
      </c>
      <c r="W533" s="10" t="str">
        <f aca="false">IF($E533="","",IF($I533&lt;&gt;"","факт","прогноз"))</f>
        <v/>
      </c>
      <c r="X533" s="1"/>
      <c r="Y533" s="1"/>
      <c r="Z533" s="1"/>
      <c r="AA533" s="1"/>
      <c r="AB533" s="1"/>
      <c r="AC533" s="1"/>
      <c r="AD533" s="1"/>
    </row>
    <row r="534" customFormat="false" ht="18" hidden="false" customHeight="true" outlineLevel="0" collapsed="false">
      <c r="A534" s="1"/>
      <c r="B534" s="35"/>
      <c r="C534" s="8"/>
      <c r="D534" s="26"/>
      <c r="E534" s="27"/>
      <c r="F534" s="36"/>
      <c r="G534" s="36"/>
      <c r="H534" s="36"/>
      <c r="I534" s="36"/>
      <c r="J534" s="37" t="str">
        <f aca="false">IF($E534="","",IFERROR(G534/F534,""))</f>
        <v/>
      </c>
      <c r="K534" s="30" t="str">
        <f aca="false">IF($E534="","",IFERROR(E534/G534,""))</f>
        <v/>
      </c>
      <c r="L534" s="30" t="str">
        <f aca="false">IF($E534="","",IFERROR(E534/F534*1000,""))</f>
        <v/>
      </c>
      <c r="M534" s="37" t="str">
        <f aca="false">IF($E534="","",IFERROR(H534/G534,""))</f>
        <v/>
      </c>
      <c r="N534" s="30" t="str">
        <f aca="false">IF($E534="","",IFERROR(E534/H534,"—"))</f>
        <v/>
      </c>
      <c r="O534" s="30" t="str">
        <f aca="false">IF($E534="","",IFERROR(INDEX('Гео-калькулятор'!$K$7:$K$13,MATCH($C534,'Гео-калькулятор'!$B$7:$B$13,0)),""))</f>
        <v/>
      </c>
      <c r="P534" s="38" t="str">
        <f aca="false">IF($E534="","",IFERROR(N534/O534,""))</f>
        <v/>
      </c>
      <c r="Q534" s="39" t="str">
        <f aca="false">IF($E534="","",IF($I534&lt;&gt;"",$I534,N($H534)*IFERROR(INDEX('Гео-калькулятор'!$E$7:$E$13,MATCH($C534,'Гео-калькулятор'!$B$7:$B$13,0)),0)))</f>
        <v/>
      </c>
      <c r="R534" s="38" t="str">
        <f aca="false">IF($E534="","",IFERROR(Q534/H534,""))</f>
        <v/>
      </c>
      <c r="S534" s="30" t="str">
        <f aca="false">IF($E534="","",IFERROR(E534/Q534,"—"))</f>
        <v/>
      </c>
      <c r="T534" s="30" t="str">
        <f aca="false">IF($E534="","",Q534*IFERROR(INDEX('Гео-калькулятор'!$D$7:$D$13,MATCH($C534,'Гео-калькулятор'!$B$7:$B$13,0)),0))</f>
        <v/>
      </c>
      <c r="U534" s="40" t="str">
        <f aca="false">IF($E534="","",T534-E534)</f>
        <v/>
      </c>
      <c r="V534" s="41" t="str">
        <f aca="false">IF($E534="","",IFERROR(U534/E534,""))</f>
        <v/>
      </c>
      <c r="W534" s="10" t="str">
        <f aca="false">IF($E534="","",IF($I534&lt;&gt;"","факт","прогноз"))</f>
        <v/>
      </c>
      <c r="X534" s="1"/>
      <c r="Y534" s="1"/>
      <c r="Z534" s="1"/>
      <c r="AA534" s="1"/>
      <c r="AB534" s="1"/>
      <c r="AC534" s="1"/>
      <c r="AD534" s="1"/>
    </row>
    <row r="535" customFormat="false" ht="18" hidden="false" customHeight="true" outlineLevel="0" collapsed="false">
      <c r="A535" s="1"/>
      <c r="B535" s="35"/>
      <c r="C535" s="8"/>
      <c r="D535" s="26"/>
      <c r="E535" s="27"/>
      <c r="F535" s="36"/>
      <c r="G535" s="36"/>
      <c r="H535" s="36"/>
      <c r="I535" s="36"/>
      <c r="J535" s="37" t="str">
        <f aca="false">IF($E535="","",IFERROR(G535/F535,""))</f>
        <v/>
      </c>
      <c r="K535" s="30" t="str">
        <f aca="false">IF($E535="","",IFERROR(E535/G535,""))</f>
        <v/>
      </c>
      <c r="L535" s="30" t="str">
        <f aca="false">IF($E535="","",IFERROR(E535/F535*1000,""))</f>
        <v/>
      </c>
      <c r="M535" s="37" t="str">
        <f aca="false">IF($E535="","",IFERROR(H535/G535,""))</f>
        <v/>
      </c>
      <c r="N535" s="30" t="str">
        <f aca="false">IF($E535="","",IFERROR(E535/H535,"—"))</f>
        <v/>
      </c>
      <c r="O535" s="30" t="str">
        <f aca="false">IF($E535="","",IFERROR(INDEX('Гео-калькулятор'!$K$7:$K$13,MATCH($C535,'Гео-калькулятор'!$B$7:$B$13,0)),""))</f>
        <v/>
      </c>
      <c r="P535" s="38" t="str">
        <f aca="false">IF($E535="","",IFERROR(N535/O535,""))</f>
        <v/>
      </c>
      <c r="Q535" s="39" t="str">
        <f aca="false">IF($E535="","",IF($I535&lt;&gt;"",$I535,N($H535)*IFERROR(INDEX('Гео-калькулятор'!$E$7:$E$13,MATCH($C535,'Гео-калькулятор'!$B$7:$B$13,0)),0)))</f>
        <v/>
      </c>
      <c r="R535" s="38" t="str">
        <f aca="false">IF($E535="","",IFERROR(Q535/H535,""))</f>
        <v/>
      </c>
      <c r="S535" s="30" t="str">
        <f aca="false">IF($E535="","",IFERROR(E535/Q535,"—"))</f>
        <v/>
      </c>
      <c r="T535" s="30" t="str">
        <f aca="false">IF($E535="","",Q535*IFERROR(INDEX('Гео-калькулятор'!$D$7:$D$13,MATCH($C535,'Гео-калькулятор'!$B$7:$B$13,0)),0))</f>
        <v/>
      </c>
      <c r="U535" s="40" t="str">
        <f aca="false">IF($E535="","",T535-E535)</f>
        <v/>
      </c>
      <c r="V535" s="41" t="str">
        <f aca="false">IF($E535="","",IFERROR(U535/E535,""))</f>
        <v/>
      </c>
      <c r="W535" s="10" t="str">
        <f aca="false">IF($E535="","",IF($I535&lt;&gt;"","факт","прогноз"))</f>
        <v/>
      </c>
      <c r="X535" s="1"/>
      <c r="Y535" s="1"/>
      <c r="Z535" s="1"/>
      <c r="AA535" s="1"/>
      <c r="AB535" s="1"/>
      <c r="AC535" s="1"/>
      <c r="AD535" s="1"/>
    </row>
    <row r="536" customFormat="false" ht="18" hidden="false" customHeight="true" outlineLevel="0" collapsed="false">
      <c r="A536" s="1"/>
      <c r="B536" s="35"/>
      <c r="C536" s="8"/>
      <c r="D536" s="26"/>
      <c r="E536" s="27"/>
      <c r="F536" s="36"/>
      <c r="G536" s="36"/>
      <c r="H536" s="36"/>
      <c r="I536" s="36"/>
      <c r="J536" s="37" t="str">
        <f aca="false">IF($E536="","",IFERROR(G536/F536,""))</f>
        <v/>
      </c>
      <c r="K536" s="30" t="str">
        <f aca="false">IF($E536="","",IFERROR(E536/G536,""))</f>
        <v/>
      </c>
      <c r="L536" s="30" t="str">
        <f aca="false">IF($E536="","",IFERROR(E536/F536*1000,""))</f>
        <v/>
      </c>
      <c r="M536" s="37" t="str">
        <f aca="false">IF($E536="","",IFERROR(H536/G536,""))</f>
        <v/>
      </c>
      <c r="N536" s="30" t="str">
        <f aca="false">IF($E536="","",IFERROR(E536/H536,"—"))</f>
        <v/>
      </c>
      <c r="O536" s="30" t="str">
        <f aca="false">IF($E536="","",IFERROR(INDEX('Гео-калькулятор'!$K$7:$K$13,MATCH($C536,'Гео-калькулятор'!$B$7:$B$13,0)),""))</f>
        <v/>
      </c>
      <c r="P536" s="38" t="str">
        <f aca="false">IF($E536="","",IFERROR(N536/O536,""))</f>
        <v/>
      </c>
      <c r="Q536" s="39" t="str">
        <f aca="false">IF($E536="","",IF($I536&lt;&gt;"",$I536,N($H536)*IFERROR(INDEX('Гео-калькулятор'!$E$7:$E$13,MATCH($C536,'Гео-калькулятор'!$B$7:$B$13,0)),0)))</f>
        <v/>
      </c>
      <c r="R536" s="38" t="str">
        <f aca="false">IF($E536="","",IFERROR(Q536/H536,""))</f>
        <v/>
      </c>
      <c r="S536" s="30" t="str">
        <f aca="false">IF($E536="","",IFERROR(E536/Q536,"—"))</f>
        <v/>
      </c>
      <c r="T536" s="30" t="str">
        <f aca="false">IF($E536="","",Q536*IFERROR(INDEX('Гео-калькулятор'!$D$7:$D$13,MATCH($C536,'Гео-калькулятор'!$B$7:$B$13,0)),0))</f>
        <v/>
      </c>
      <c r="U536" s="40" t="str">
        <f aca="false">IF($E536="","",T536-E536)</f>
        <v/>
      </c>
      <c r="V536" s="41" t="str">
        <f aca="false">IF($E536="","",IFERROR(U536/E536,""))</f>
        <v/>
      </c>
      <c r="W536" s="10" t="str">
        <f aca="false">IF($E536="","",IF($I536&lt;&gt;"","факт","прогноз"))</f>
        <v/>
      </c>
      <c r="X536" s="1"/>
      <c r="Y536" s="1"/>
      <c r="Z536" s="1"/>
      <c r="AA536" s="1"/>
      <c r="AB536" s="1"/>
      <c r="AC536" s="1"/>
      <c r="AD536" s="1"/>
    </row>
    <row r="537" customFormat="false" ht="18" hidden="false" customHeight="true" outlineLevel="0" collapsed="false">
      <c r="A537" s="1"/>
      <c r="B537" s="35"/>
      <c r="C537" s="8"/>
      <c r="D537" s="26"/>
      <c r="E537" s="27"/>
      <c r="F537" s="36"/>
      <c r="G537" s="36"/>
      <c r="H537" s="36"/>
      <c r="I537" s="36"/>
      <c r="J537" s="37" t="str">
        <f aca="false">IF($E537="","",IFERROR(G537/F537,""))</f>
        <v/>
      </c>
      <c r="K537" s="30" t="str">
        <f aca="false">IF($E537="","",IFERROR(E537/G537,""))</f>
        <v/>
      </c>
      <c r="L537" s="30" t="str">
        <f aca="false">IF($E537="","",IFERROR(E537/F537*1000,""))</f>
        <v/>
      </c>
      <c r="M537" s="37" t="str">
        <f aca="false">IF($E537="","",IFERROR(H537/G537,""))</f>
        <v/>
      </c>
      <c r="N537" s="30" t="str">
        <f aca="false">IF($E537="","",IFERROR(E537/H537,"—"))</f>
        <v/>
      </c>
      <c r="O537" s="30" t="str">
        <f aca="false">IF($E537="","",IFERROR(INDEX('Гео-калькулятор'!$K$7:$K$13,MATCH($C537,'Гео-калькулятор'!$B$7:$B$13,0)),""))</f>
        <v/>
      </c>
      <c r="P537" s="38" t="str">
        <f aca="false">IF($E537="","",IFERROR(N537/O537,""))</f>
        <v/>
      </c>
      <c r="Q537" s="39" t="str">
        <f aca="false">IF($E537="","",IF($I537&lt;&gt;"",$I537,N($H537)*IFERROR(INDEX('Гео-калькулятор'!$E$7:$E$13,MATCH($C537,'Гео-калькулятор'!$B$7:$B$13,0)),0)))</f>
        <v/>
      </c>
      <c r="R537" s="38" t="str">
        <f aca="false">IF($E537="","",IFERROR(Q537/H537,""))</f>
        <v/>
      </c>
      <c r="S537" s="30" t="str">
        <f aca="false">IF($E537="","",IFERROR(E537/Q537,"—"))</f>
        <v/>
      </c>
      <c r="T537" s="30" t="str">
        <f aca="false">IF($E537="","",Q537*IFERROR(INDEX('Гео-калькулятор'!$D$7:$D$13,MATCH($C537,'Гео-калькулятор'!$B$7:$B$13,0)),0))</f>
        <v/>
      </c>
      <c r="U537" s="40" t="str">
        <f aca="false">IF($E537="","",T537-E537)</f>
        <v/>
      </c>
      <c r="V537" s="41" t="str">
        <f aca="false">IF($E537="","",IFERROR(U537/E537,""))</f>
        <v/>
      </c>
      <c r="W537" s="10" t="str">
        <f aca="false">IF($E537="","",IF($I537&lt;&gt;"","факт","прогноз"))</f>
        <v/>
      </c>
      <c r="X537" s="1"/>
      <c r="Y537" s="1"/>
      <c r="Z537" s="1"/>
      <c r="AA537" s="1"/>
      <c r="AB537" s="1"/>
      <c r="AC537" s="1"/>
      <c r="AD537" s="1"/>
    </row>
    <row r="538" customFormat="false" ht="18" hidden="false" customHeight="true" outlineLevel="0" collapsed="false">
      <c r="A538" s="1"/>
      <c r="B538" s="35"/>
      <c r="C538" s="8"/>
      <c r="D538" s="26"/>
      <c r="E538" s="27"/>
      <c r="F538" s="36"/>
      <c r="G538" s="36"/>
      <c r="H538" s="36"/>
      <c r="I538" s="36"/>
      <c r="J538" s="37" t="str">
        <f aca="false">IF($E538="","",IFERROR(G538/F538,""))</f>
        <v/>
      </c>
      <c r="K538" s="30" t="str">
        <f aca="false">IF($E538="","",IFERROR(E538/G538,""))</f>
        <v/>
      </c>
      <c r="L538" s="30" t="str">
        <f aca="false">IF($E538="","",IFERROR(E538/F538*1000,""))</f>
        <v/>
      </c>
      <c r="M538" s="37" t="str">
        <f aca="false">IF($E538="","",IFERROR(H538/G538,""))</f>
        <v/>
      </c>
      <c r="N538" s="30" t="str">
        <f aca="false">IF($E538="","",IFERROR(E538/H538,"—"))</f>
        <v/>
      </c>
      <c r="O538" s="30" t="str">
        <f aca="false">IF($E538="","",IFERROR(INDEX('Гео-калькулятор'!$K$7:$K$13,MATCH($C538,'Гео-калькулятор'!$B$7:$B$13,0)),""))</f>
        <v/>
      </c>
      <c r="P538" s="38" t="str">
        <f aca="false">IF($E538="","",IFERROR(N538/O538,""))</f>
        <v/>
      </c>
      <c r="Q538" s="39" t="str">
        <f aca="false">IF($E538="","",IF($I538&lt;&gt;"",$I538,N($H538)*IFERROR(INDEX('Гео-калькулятор'!$E$7:$E$13,MATCH($C538,'Гео-калькулятор'!$B$7:$B$13,0)),0)))</f>
        <v/>
      </c>
      <c r="R538" s="38" t="str">
        <f aca="false">IF($E538="","",IFERROR(Q538/H538,""))</f>
        <v/>
      </c>
      <c r="S538" s="30" t="str">
        <f aca="false">IF($E538="","",IFERROR(E538/Q538,"—"))</f>
        <v/>
      </c>
      <c r="T538" s="30" t="str">
        <f aca="false">IF($E538="","",Q538*IFERROR(INDEX('Гео-калькулятор'!$D$7:$D$13,MATCH($C538,'Гео-калькулятор'!$B$7:$B$13,0)),0))</f>
        <v/>
      </c>
      <c r="U538" s="40" t="str">
        <f aca="false">IF($E538="","",T538-E538)</f>
        <v/>
      </c>
      <c r="V538" s="41" t="str">
        <f aca="false">IF($E538="","",IFERROR(U538/E538,""))</f>
        <v/>
      </c>
      <c r="W538" s="10" t="str">
        <f aca="false">IF($E538="","",IF($I538&lt;&gt;"","факт","прогноз"))</f>
        <v/>
      </c>
      <c r="X538" s="1"/>
      <c r="Y538" s="1"/>
      <c r="Z538" s="1"/>
      <c r="AA538" s="1"/>
      <c r="AB538" s="1"/>
      <c r="AC538" s="1"/>
      <c r="AD538" s="1"/>
    </row>
    <row r="539" customFormat="false" ht="18" hidden="false" customHeight="true" outlineLevel="0" collapsed="false">
      <c r="A539" s="1"/>
      <c r="B539" s="35"/>
      <c r="C539" s="8"/>
      <c r="D539" s="26"/>
      <c r="E539" s="27"/>
      <c r="F539" s="36"/>
      <c r="G539" s="36"/>
      <c r="H539" s="36"/>
      <c r="I539" s="36"/>
      <c r="J539" s="37" t="str">
        <f aca="false">IF($E539="","",IFERROR(G539/F539,""))</f>
        <v/>
      </c>
      <c r="K539" s="30" t="str">
        <f aca="false">IF($E539="","",IFERROR(E539/G539,""))</f>
        <v/>
      </c>
      <c r="L539" s="30" t="str">
        <f aca="false">IF($E539="","",IFERROR(E539/F539*1000,""))</f>
        <v/>
      </c>
      <c r="M539" s="37" t="str">
        <f aca="false">IF($E539="","",IFERROR(H539/G539,""))</f>
        <v/>
      </c>
      <c r="N539" s="30" t="str">
        <f aca="false">IF($E539="","",IFERROR(E539/H539,"—"))</f>
        <v/>
      </c>
      <c r="O539" s="30" t="str">
        <f aca="false">IF($E539="","",IFERROR(INDEX('Гео-калькулятор'!$K$7:$K$13,MATCH($C539,'Гео-калькулятор'!$B$7:$B$13,0)),""))</f>
        <v/>
      </c>
      <c r="P539" s="38" t="str">
        <f aca="false">IF($E539="","",IFERROR(N539/O539,""))</f>
        <v/>
      </c>
      <c r="Q539" s="39" t="str">
        <f aca="false">IF($E539="","",IF($I539&lt;&gt;"",$I539,N($H539)*IFERROR(INDEX('Гео-калькулятор'!$E$7:$E$13,MATCH($C539,'Гео-калькулятор'!$B$7:$B$13,0)),0)))</f>
        <v/>
      </c>
      <c r="R539" s="38" t="str">
        <f aca="false">IF($E539="","",IFERROR(Q539/H539,""))</f>
        <v/>
      </c>
      <c r="S539" s="30" t="str">
        <f aca="false">IF($E539="","",IFERROR(E539/Q539,"—"))</f>
        <v/>
      </c>
      <c r="T539" s="30" t="str">
        <f aca="false">IF($E539="","",Q539*IFERROR(INDEX('Гео-калькулятор'!$D$7:$D$13,MATCH($C539,'Гео-калькулятор'!$B$7:$B$13,0)),0))</f>
        <v/>
      </c>
      <c r="U539" s="40" t="str">
        <f aca="false">IF($E539="","",T539-E539)</f>
        <v/>
      </c>
      <c r="V539" s="41" t="str">
        <f aca="false">IF($E539="","",IFERROR(U539/E539,""))</f>
        <v/>
      </c>
      <c r="W539" s="10" t="str">
        <f aca="false">IF($E539="","",IF($I539&lt;&gt;"","факт","прогноз"))</f>
        <v/>
      </c>
      <c r="X539" s="1"/>
      <c r="Y539" s="1"/>
      <c r="Z539" s="1"/>
      <c r="AA539" s="1"/>
      <c r="AB539" s="1"/>
      <c r="AC539" s="1"/>
      <c r="AD539" s="1"/>
    </row>
    <row r="540" customFormat="false" ht="18" hidden="false" customHeight="true" outlineLevel="0" collapsed="false">
      <c r="A540" s="1"/>
      <c r="B540" s="35"/>
      <c r="C540" s="8"/>
      <c r="D540" s="26"/>
      <c r="E540" s="27"/>
      <c r="F540" s="36"/>
      <c r="G540" s="36"/>
      <c r="H540" s="36"/>
      <c r="I540" s="36"/>
      <c r="J540" s="37" t="str">
        <f aca="false">IF($E540="","",IFERROR(G540/F540,""))</f>
        <v/>
      </c>
      <c r="K540" s="30" t="str">
        <f aca="false">IF($E540="","",IFERROR(E540/G540,""))</f>
        <v/>
      </c>
      <c r="L540" s="30" t="str">
        <f aca="false">IF($E540="","",IFERROR(E540/F540*1000,""))</f>
        <v/>
      </c>
      <c r="M540" s="37" t="str">
        <f aca="false">IF($E540="","",IFERROR(H540/G540,""))</f>
        <v/>
      </c>
      <c r="N540" s="30" t="str">
        <f aca="false">IF($E540="","",IFERROR(E540/H540,"—"))</f>
        <v/>
      </c>
      <c r="O540" s="30" t="str">
        <f aca="false">IF($E540="","",IFERROR(INDEX('Гео-калькулятор'!$K$7:$K$13,MATCH($C540,'Гео-калькулятор'!$B$7:$B$13,0)),""))</f>
        <v/>
      </c>
      <c r="P540" s="38" t="str">
        <f aca="false">IF($E540="","",IFERROR(N540/O540,""))</f>
        <v/>
      </c>
      <c r="Q540" s="39" t="str">
        <f aca="false">IF($E540="","",IF($I540&lt;&gt;"",$I540,N($H540)*IFERROR(INDEX('Гео-калькулятор'!$E$7:$E$13,MATCH($C540,'Гео-калькулятор'!$B$7:$B$13,0)),0)))</f>
        <v/>
      </c>
      <c r="R540" s="38" t="str">
        <f aca="false">IF($E540="","",IFERROR(Q540/H540,""))</f>
        <v/>
      </c>
      <c r="S540" s="30" t="str">
        <f aca="false">IF($E540="","",IFERROR(E540/Q540,"—"))</f>
        <v/>
      </c>
      <c r="T540" s="30" t="str">
        <f aca="false">IF($E540="","",Q540*IFERROR(INDEX('Гео-калькулятор'!$D$7:$D$13,MATCH($C540,'Гео-калькулятор'!$B$7:$B$13,0)),0))</f>
        <v/>
      </c>
      <c r="U540" s="40" t="str">
        <f aca="false">IF($E540="","",T540-E540)</f>
        <v/>
      </c>
      <c r="V540" s="41" t="str">
        <f aca="false">IF($E540="","",IFERROR(U540/E540,""))</f>
        <v/>
      </c>
      <c r="W540" s="10" t="str">
        <f aca="false">IF($E540="","",IF($I540&lt;&gt;"","факт","прогноз"))</f>
        <v/>
      </c>
      <c r="X540" s="1"/>
      <c r="Y540" s="1"/>
      <c r="Z540" s="1"/>
      <c r="AA540" s="1"/>
      <c r="AB540" s="1"/>
      <c r="AC540" s="1"/>
      <c r="AD540" s="1"/>
    </row>
    <row r="541" customFormat="false" ht="18" hidden="false" customHeight="true" outlineLevel="0" collapsed="false">
      <c r="A541" s="1"/>
      <c r="B541" s="35"/>
      <c r="C541" s="8"/>
      <c r="D541" s="26"/>
      <c r="E541" s="27"/>
      <c r="F541" s="36"/>
      <c r="G541" s="36"/>
      <c r="H541" s="36"/>
      <c r="I541" s="36"/>
      <c r="J541" s="37" t="str">
        <f aca="false">IF($E541="","",IFERROR(G541/F541,""))</f>
        <v/>
      </c>
      <c r="K541" s="30" t="str">
        <f aca="false">IF($E541="","",IFERROR(E541/G541,""))</f>
        <v/>
      </c>
      <c r="L541" s="30" t="str">
        <f aca="false">IF($E541="","",IFERROR(E541/F541*1000,""))</f>
        <v/>
      </c>
      <c r="M541" s="37" t="str">
        <f aca="false">IF($E541="","",IFERROR(H541/G541,""))</f>
        <v/>
      </c>
      <c r="N541" s="30" t="str">
        <f aca="false">IF($E541="","",IFERROR(E541/H541,"—"))</f>
        <v/>
      </c>
      <c r="O541" s="30" t="str">
        <f aca="false">IF($E541="","",IFERROR(INDEX('Гео-калькулятор'!$K$7:$K$13,MATCH($C541,'Гео-калькулятор'!$B$7:$B$13,0)),""))</f>
        <v/>
      </c>
      <c r="P541" s="38" t="str">
        <f aca="false">IF($E541="","",IFERROR(N541/O541,""))</f>
        <v/>
      </c>
      <c r="Q541" s="39" t="str">
        <f aca="false">IF($E541="","",IF($I541&lt;&gt;"",$I541,N($H541)*IFERROR(INDEX('Гео-калькулятор'!$E$7:$E$13,MATCH($C541,'Гео-калькулятор'!$B$7:$B$13,0)),0)))</f>
        <v/>
      </c>
      <c r="R541" s="38" t="str">
        <f aca="false">IF($E541="","",IFERROR(Q541/H541,""))</f>
        <v/>
      </c>
      <c r="S541" s="30" t="str">
        <f aca="false">IF($E541="","",IFERROR(E541/Q541,"—"))</f>
        <v/>
      </c>
      <c r="T541" s="30" t="str">
        <f aca="false">IF($E541="","",Q541*IFERROR(INDEX('Гео-калькулятор'!$D$7:$D$13,MATCH($C541,'Гео-калькулятор'!$B$7:$B$13,0)),0))</f>
        <v/>
      </c>
      <c r="U541" s="40" t="str">
        <f aca="false">IF($E541="","",T541-E541)</f>
        <v/>
      </c>
      <c r="V541" s="41" t="str">
        <f aca="false">IF($E541="","",IFERROR(U541/E541,""))</f>
        <v/>
      </c>
      <c r="W541" s="10" t="str">
        <f aca="false">IF($E541="","",IF($I541&lt;&gt;"","факт","прогноз"))</f>
        <v/>
      </c>
      <c r="X541" s="1"/>
      <c r="Y541" s="1"/>
      <c r="Z541" s="1"/>
      <c r="AA541" s="1"/>
      <c r="AB541" s="1"/>
      <c r="AC541" s="1"/>
      <c r="AD541" s="1"/>
    </row>
    <row r="542" customFormat="false" ht="18" hidden="false" customHeight="true" outlineLevel="0" collapsed="false">
      <c r="A542" s="1"/>
      <c r="B542" s="35"/>
      <c r="C542" s="8"/>
      <c r="D542" s="26"/>
      <c r="E542" s="27"/>
      <c r="F542" s="36"/>
      <c r="G542" s="36"/>
      <c r="H542" s="36"/>
      <c r="I542" s="36"/>
      <c r="J542" s="37" t="str">
        <f aca="false">IF($E542="","",IFERROR(G542/F542,""))</f>
        <v/>
      </c>
      <c r="K542" s="30" t="str">
        <f aca="false">IF($E542="","",IFERROR(E542/G542,""))</f>
        <v/>
      </c>
      <c r="L542" s="30" t="str">
        <f aca="false">IF($E542="","",IFERROR(E542/F542*1000,""))</f>
        <v/>
      </c>
      <c r="M542" s="37" t="str">
        <f aca="false">IF($E542="","",IFERROR(H542/G542,""))</f>
        <v/>
      </c>
      <c r="N542" s="30" t="str">
        <f aca="false">IF($E542="","",IFERROR(E542/H542,"—"))</f>
        <v/>
      </c>
      <c r="O542" s="30" t="str">
        <f aca="false">IF($E542="","",IFERROR(INDEX('Гео-калькулятор'!$K$7:$K$13,MATCH($C542,'Гео-калькулятор'!$B$7:$B$13,0)),""))</f>
        <v/>
      </c>
      <c r="P542" s="38" t="str">
        <f aca="false">IF($E542="","",IFERROR(N542/O542,""))</f>
        <v/>
      </c>
      <c r="Q542" s="39" t="str">
        <f aca="false">IF($E542="","",IF($I542&lt;&gt;"",$I542,N($H542)*IFERROR(INDEX('Гео-калькулятор'!$E$7:$E$13,MATCH($C542,'Гео-калькулятор'!$B$7:$B$13,0)),0)))</f>
        <v/>
      </c>
      <c r="R542" s="38" t="str">
        <f aca="false">IF($E542="","",IFERROR(Q542/H542,""))</f>
        <v/>
      </c>
      <c r="S542" s="30" t="str">
        <f aca="false">IF($E542="","",IFERROR(E542/Q542,"—"))</f>
        <v/>
      </c>
      <c r="T542" s="30" t="str">
        <f aca="false">IF($E542="","",Q542*IFERROR(INDEX('Гео-калькулятор'!$D$7:$D$13,MATCH($C542,'Гео-калькулятор'!$B$7:$B$13,0)),0))</f>
        <v/>
      </c>
      <c r="U542" s="40" t="str">
        <f aca="false">IF($E542="","",T542-E542)</f>
        <v/>
      </c>
      <c r="V542" s="41" t="str">
        <f aca="false">IF($E542="","",IFERROR(U542/E542,""))</f>
        <v/>
      </c>
      <c r="W542" s="10" t="str">
        <f aca="false">IF($E542="","",IF($I542&lt;&gt;"","факт","прогноз"))</f>
        <v/>
      </c>
      <c r="X542" s="1"/>
      <c r="Y542" s="1"/>
      <c r="Z542" s="1"/>
      <c r="AA542" s="1"/>
      <c r="AB542" s="1"/>
      <c r="AC542" s="1"/>
      <c r="AD542" s="1"/>
    </row>
    <row r="543" customFormat="false" ht="18" hidden="false" customHeight="true" outlineLevel="0" collapsed="false">
      <c r="A543" s="1"/>
      <c r="B543" s="35"/>
      <c r="C543" s="8"/>
      <c r="D543" s="26"/>
      <c r="E543" s="27"/>
      <c r="F543" s="36"/>
      <c r="G543" s="36"/>
      <c r="H543" s="36"/>
      <c r="I543" s="36"/>
      <c r="J543" s="37" t="str">
        <f aca="false">IF($E543="","",IFERROR(G543/F543,""))</f>
        <v/>
      </c>
      <c r="K543" s="30" t="str">
        <f aca="false">IF($E543="","",IFERROR(E543/G543,""))</f>
        <v/>
      </c>
      <c r="L543" s="30" t="str">
        <f aca="false">IF($E543="","",IFERROR(E543/F543*1000,""))</f>
        <v/>
      </c>
      <c r="M543" s="37" t="str">
        <f aca="false">IF($E543="","",IFERROR(H543/G543,""))</f>
        <v/>
      </c>
      <c r="N543" s="30" t="str">
        <f aca="false">IF($E543="","",IFERROR(E543/H543,"—"))</f>
        <v/>
      </c>
      <c r="O543" s="30" t="str">
        <f aca="false">IF($E543="","",IFERROR(INDEX('Гео-калькулятор'!$K$7:$K$13,MATCH($C543,'Гео-калькулятор'!$B$7:$B$13,0)),""))</f>
        <v/>
      </c>
      <c r="P543" s="38" t="str">
        <f aca="false">IF($E543="","",IFERROR(N543/O543,""))</f>
        <v/>
      </c>
      <c r="Q543" s="39" t="str">
        <f aca="false">IF($E543="","",IF($I543&lt;&gt;"",$I543,N($H543)*IFERROR(INDEX('Гео-калькулятор'!$E$7:$E$13,MATCH($C543,'Гео-калькулятор'!$B$7:$B$13,0)),0)))</f>
        <v/>
      </c>
      <c r="R543" s="38" t="str">
        <f aca="false">IF($E543="","",IFERROR(Q543/H543,""))</f>
        <v/>
      </c>
      <c r="S543" s="30" t="str">
        <f aca="false">IF($E543="","",IFERROR(E543/Q543,"—"))</f>
        <v/>
      </c>
      <c r="T543" s="30" t="str">
        <f aca="false">IF($E543="","",Q543*IFERROR(INDEX('Гео-калькулятор'!$D$7:$D$13,MATCH($C543,'Гео-калькулятор'!$B$7:$B$13,0)),0))</f>
        <v/>
      </c>
      <c r="U543" s="40" t="str">
        <f aca="false">IF($E543="","",T543-E543)</f>
        <v/>
      </c>
      <c r="V543" s="41" t="str">
        <f aca="false">IF($E543="","",IFERROR(U543/E543,""))</f>
        <v/>
      </c>
      <c r="W543" s="10" t="str">
        <f aca="false">IF($E543="","",IF($I543&lt;&gt;"","факт","прогноз"))</f>
        <v/>
      </c>
      <c r="X543" s="1"/>
      <c r="Y543" s="1"/>
      <c r="Z543" s="1"/>
      <c r="AA543" s="1"/>
      <c r="AB543" s="1"/>
      <c r="AC543" s="1"/>
      <c r="AD543" s="1"/>
    </row>
    <row r="544" customFormat="false" ht="18" hidden="false" customHeight="true" outlineLevel="0" collapsed="false">
      <c r="A544" s="1"/>
      <c r="B544" s="35"/>
      <c r="C544" s="8"/>
      <c r="D544" s="26"/>
      <c r="E544" s="27"/>
      <c r="F544" s="36"/>
      <c r="G544" s="36"/>
      <c r="H544" s="36"/>
      <c r="I544" s="36"/>
      <c r="J544" s="37" t="str">
        <f aca="false">IF($E544="","",IFERROR(G544/F544,""))</f>
        <v/>
      </c>
      <c r="K544" s="30" t="str">
        <f aca="false">IF($E544="","",IFERROR(E544/G544,""))</f>
        <v/>
      </c>
      <c r="L544" s="30" t="str">
        <f aca="false">IF($E544="","",IFERROR(E544/F544*1000,""))</f>
        <v/>
      </c>
      <c r="M544" s="37" t="str">
        <f aca="false">IF($E544="","",IFERROR(H544/G544,""))</f>
        <v/>
      </c>
      <c r="N544" s="30" t="str">
        <f aca="false">IF($E544="","",IFERROR(E544/H544,"—"))</f>
        <v/>
      </c>
      <c r="O544" s="30" t="str">
        <f aca="false">IF($E544="","",IFERROR(INDEX('Гео-калькулятор'!$K$7:$K$13,MATCH($C544,'Гео-калькулятор'!$B$7:$B$13,0)),""))</f>
        <v/>
      </c>
      <c r="P544" s="38" t="str">
        <f aca="false">IF($E544="","",IFERROR(N544/O544,""))</f>
        <v/>
      </c>
      <c r="Q544" s="39" t="str">
        <f aca="false">IF($E544="","",IF($I544&lt;&gt;"",$I544,N($H544)*IFERROR(INDEX('Гео-калькулятор'!$E$7:$E$13,MATCH($C544,'Гео-калькулятор'!$B$7:$B$13,0)),0)))</f>
        <v/>
      </c>
      <c r="R544" s="38" t="str">
        <f aca="false">IF($E544="","",IFERROR(Q544/H544,""))</f>
        <v/>
      </c>
      <c r="S544" s="30" t="str">
        <f aca="false">IF($E544="","",IFERROR(E544/Q544,"—"))</f>
        <v/>
      </c>
      <c r="T544" s="30" t="str">
        <f aca="false">IF($E544="","",Q544*IFERROR(INDEX('Гео-калькулятор'!$D$7:$D$13,MATCH($C544,'Гео-калькулятор'!$B$7:$B$13,0)),0))</f>
        <v/>
      </c>
      <c r="U544" s="40" t="str">
        <f aca="false">IF($E544="","",T544-E544)</f>
        <v/>
      </c>
      <c r="V544" s="41" t="str">
        <f aca="false">IF($E544="","",IFERROR(U544/E544,""))</f>
        <v/>
      </c>
      <c r="W544" s="10" t="str">
        <f aca="false">IF($E544="","",IF($I544&lt;&gt;"","факт","прогноз"))</f>
        <v/>
      </c>
      <c r="X544" s="1"/>
      <c r="Y544" s="1"/>
      <c r="Z544" s="1"/>
      <c r="AA544" s="1"/>
      <c r="AB544" s="1"/>
      <c r="AC544" s="1"/>
      <c r="AD544" s="1"/>
    </row>
    <row r="545" customFormat="false" ht="18" hidden="false" customHeight="true" outlineLevel="0" collapsed="false">
      <c r="A545" s="1"/>
      <c r="B545" s="35"/>
      <c r="C545" s="8"/>
      <c r="D545" s="26"/>
      <c r="E545" s="27"/>
      <c r="F545" s="36"/>
      <c r="G545" s="36"/>
      <c r="H545" s="36"/>
      <c r="I545" s="36"/>
      <c r="J545" s="37" t="str">
        <f aca="false">IF($E545="","",IFERROR(G545/F545,""))</f>
        <v/>
      </c>
      <c r="K545" s="30" t="str">
        <f aca="false">IF($E545="","",IFERROR(E545/G545,""))</f>
        <v/>
      </c>
      <c r="L545" s="30" t="str">
        <f aca="false">IF($E545="","",IFERROR(E545/F545*1000,""))</f>
        <v/>
      </c>
      <c r="M545" s="37" t="str">
        <f aca="false">IF($E545="","",IFERROR(H545/G545,""))</f>
        <v/>
      </c>
      <c r="N545" s="30" t="str">
        <f aca="false">IF($E545="","",IFERROR(E545/H545,"—"))</f>
        <v/>
      </c>
      <c r="O545" s="30" t="str">
        <f aca="false">IF($E545="","",IFERROR(INDEX('Гео-калькулятор'!$K$7:$K$13,MATCH($C545,'Гео-калькулятор'!$B$7:$B$13,0)),""))</f>
        <v/>
      </c>
      <c r="P545" s="38" t="str">
        <f aca="false">IF($E545="","",IFERROR(N545/O545,""))</f>
        <v/>
      </c>
      <c r="Q545" s="39" t="str">
        <f aca="false">IF($E545="","",IF($I545&lt;&gt;"",$I545,N($H545)*IFERROR(INDEX('Гео-калькулятор'!$E$7:$E$13,MATCH($C545,'Гео-калькулятор'!$B$7:$B$13,0)),0)))</f>
        <v/>
      </c>
      <c r="R545" s="38" t="str">
        <f aca="false">IF($E545="","",IFERROR(Q545/H545,""))</f>
        <v/>
      </c>
      <c r="S545" s="30" t="str">
        <f aca="false">IF($E545="","",IFERROR(E545/Q545,"—"))</f>
        <v/>
      </c>
      <c r="T545" s="30" t="str">
        <f aca="false">IF($E545="","",Q545*IFERROR(INDEX('Гео-калькулятор'!$D$7:$D$13,MATCH($C545,'Гео-калькулятор'!$B$7:$B$13,0)),0))</f>
        <v/>
      </c>
      <c r="U545" s="40" t="str">
        <f aca="false">IF($E545="","",T545-E545)</f>
        <v/>
      </c>
      <c r="V545" s="41" t="str">
        <f aca="false">IF($E545="","",IFERROR(U545/E545,""))</f>
        <v/>
      </c>
      <c r="W545" s="10" t="str">
        <f aca="false">IF($E545="","",IF($I545&lt;&gt;"","факт","прогноз"))</f>
        <v/>
      </c>
      <c r="X545" s="1"/>
      <c r="Y545" s="1"/>
      <c r="Z545" s="1"/>
      <c r="AA545" s="1"/>
      <c r="AB545" s="1"/>
      <c r="AC545" s="1"/>
      <c r="AD545" s="1"/>
    </row>
    <row r="546" customFormat="false" ht="18" hidden="false" customHeight="true" outlineLevel="0" collapsed="false">
      <c r="A546" s="1"/>
      <c r="B546" s="35"/>
      <c r="C546" s="8"/>
      <c r="D546" s="26"/>
      <c r="E546" s="27"/>
      <c r="F546" s="36"/>
      <c r="G546" s="36"/>
      <c r="H546" s="36"/>
      <c r="I546" s="36"/>
      <c r="J546" s="37" t="str">
        <f aca="false">IF($E546="","",IFERROR(G546/F546,""))</f>
        <v/>
      </c>
      <c r="K546" s="30" t="str">
        <f aca="false">IF($E546="","",IFERROR(E546/G546,""))</f>
        <v/>
      </c>
      <c r="L546" s="30" t="str">
        <f aca="false">IF($E546="","",IFERROR(E546/F546*1000,""))</f>
        <v/>
      </c>
      <c r="M546" s="37" t="str">
        <f aca="false">IF($E546="","",IFERROR(H546/G546,""))</f>
        <v/>
      </c>
      <c r="N546" s="30" t="str">
        <f aca="false">IF($E546="","",IFERROR(E546/H546,"—"))</f>
        <v/>
      </c>
      <c r="O546" s="30" t="str">
        <f aca="false">IF($E546="","",IFERROR(INDEX('Гео-калькулятор'!$K$7:$K$13,MATCH($C546,'Гео-калькулятор'!$B$7:$B$13,0)),""))</f>
        <v/>
      </c>
      <c r="P546" s="38" t="str">
        <f aca="false">IF($E546="","",IFERROR(N546/O546,""))</f>
        <v/>
      </c>
      <c r="Q546" s="39" t="str">
        <f aca="false">IF($E546="","",IF($I546&lt;&gt;"",$I546,N($H546)*IFERROR(INDEX('Гео-калькулятор'!$E$7:$E$13,MATCH($C546,'Гео-калькулятор'!$B$7:$B$13,0)),0)))</f>
        <v/>
      </c>
      <c r="R546" s="38" t="str">
        <f aca="false">IF($E546="","",IFERROR(Q546/H546,""))</f>
        <v/>
      </c>
      <c r="S546" s="30" t="str">
        <f aca="false">IF($E546="","",IFERROR(E546/Q546,"—"))</f>
        <v/>
      </c>
      <c r="T546" s="30" t="str">
        <f aca="false">IF($E546="","",Q546*IFERROR(INDEX('Гео-калькулятор'!$D$7:$D$13,MATCH($C546,'Гео-калькулятор'!$B$7:$B$13,0)),0))</f>
        <v/>
      </c>
      <c r="U546" s="40" t="str">
        <f aca="false">IF($E546="","",T546-E546)</f>
        <v/>
      </c>
      <c r="V546" s="41" t="str">
        <f aca="false">IF($E546="","",IFERROR(U546/E546,""))</f>
        <v/>
      </c>
      <c r="W546" s="10" t="str">
        <f aca="false">IF($E546="","",IF($I546&lt;&gt;"","факт","прогноз"))</f>
        <v/>
      </c>
      <c r="X546" s="1"/>
      <c r="Y546" s="1"/>
      <c r="Z546" s="1"/>
      <c r="AA546" s="1"/>
      <c r="AB546" s="1"/>
      <c r="AC546" s="1"/>
      <c r="AD546" s="1"/>
    </row>
    <row r="547" customFormat="false" ht="18" hidden="false" customHeight="true" outlineLevel="0" collapsed="false">
      <c r="A547" s="1"/>
      <c r="B547" s="35"/>
      <c r="C547" s="8"/>
      <c r="D547" s="26"/>
      <c r="E547" s="27"/>
      <c r="F547" s="36"/>
      <c r="G547" s="36"/>
      <c r="H547" s="36"/>
      <c r="I547" s="36"/>
      <c r="J547" s="37" t="str">
        <f aca="false">IF($E547="","",IFERROR(G547/F547,""))</f>
        <v/>
      </c>
      <c r="K547" s="30" t="str">
        <f aca="false">IF($E547="","",IFERROR(E547/G547,""))</f>
        <v/>
      </c>
      <c r="L547" s="30" t="str">
        <f aca="false">IF($E547="","",IFERROR(E547/F547*1000,""))</f>
        <v/>
      </c>
      <c r="M547" s="37" t="str">
        <f aca="false">IF($E547="","",IFERROR(H547/G547,""))</f>
        <v/>
      </c>
      <c r="N547" s="30" t="str">
        <f aca="false">IF($E547="","",IFERROR(E547/H547,"—"))</f>
        <v/>
      </c>
      <c r="O547" s="30" t="str">
        <f aca="false">IF($E547="","",IFERROR(INDEX('Гео-калькулятор'!$K$7:$K$13,MATCH($C547,'Гео-калькулятор'!$B$7:$B$13,0)),""))</f>
        <v/>
      </c>
      <c r="P547" s="38" t="str">
        <f aca="false">IF($E547="","",IFERROR(N547/O547,""))</f>
        <v/>
      </c>
      <c r="Q547" s="39" t="str">
        <f aca="false">IF($E547="","",IF($I547&lt;&gt;"",$I547,N($H547)*IFERROR(INDEX('Гео-калькулятор'!$E$7:$E$13,MATCH($C547,'Гео-калькулятор'!$B$7:$B$13,0)),0)))</f>
        <v/>
      </c>
      <c r="R547" s="38" t="str">
        <f aca="false">IF($E547="","",IFERROR(Q547/H547,""))</f>
        <v/>
      </c>
      <c r="S547" s="30" t="str">
        <f aca="false">IF($E547="","",IFERROR(E547/Q547,"—"))</f>
        <v/>
      </c>
      <c r="T547" s="30" t="str">
        <f aca="false">IF($E547="","",Q547*IFERROR(INDEX('Гео-калькулятор'!$D$7:$D$13,MATCH($C547,'Гео-калькулятор'!$B$7:$B$13,0)),0))</f>
        <v/>
      </c>
      <c r="U547" s="40" t="str">
        <f aca="false">IF($E547="","",T547-E547)</f>
        <v/>
      </c>
      <c r="V547" s="41" t="str">
        <f aca="false">IF($E547="","",IFERROR(U547/E547,""))</f>
        <v/>
      </c>
      <c r="W547" s="10" t="str">
        <f aca="false">IF($E547="","",IF($I547&lt;&gt;"","факт","прогноз"))</f>
        <v/>
      </c>
      <c r="X547" s="1"/>
      <c r="Y547" s="1"/>
      <c r="Z547" s="1"/>
      <c r="AA547" s="1"/>
      <c r="AB547" s="1"/>
      <c r="AC547" s="1"/>
      <c r="AD547" s="1"/>
    </row>
    <row r="548" customFormat="false" ht="18" hidden="false" customHeight="true" outlineLevel="0" collapsed="false">
      <c r="A548" s="1"/>
      <c r="B548" s="35"/>
      <c r="C548" s="8"/>
      <c r="D548" s="26"/>
      <c r="E548" s="27"/>
      <c r="F548" s="36"/>
      <c r="G548" s="36"/>
      <c r="H548" s="36"/>
      <c r="I548" s="36"/>
      <c r="J548" s="37" t="str">
        <f aca="false">IF($E548="","",IFERROR(G548/F548,""))</f>
        <v/>
      </c>
      <c r="K548" s="30" t="str">
        <f aca="false">IF($E548="","",IFERROR(E548/G548,""))</f>
        <v/>
      </c>
      <c r="L548" s="30" t="str">
        <f aca="false">IF($E548="","",IFERROR(E548/F548*1000,""))</f>
        <v/>
      </c>
      <c r="M548" s="37" t="str">
        <f aca="false">IF($E548="","",IFERROR(H548/G548,""))</f>
        <v/>
      </c>
      <c r="N548" s="30" t="str">
        <f aca="false">IF($E548="","",IFERROR(E548/H548,"—"))</f>
        <v/>
      </c>
      <c r="O548" s="30" t="str">
        <f aca="false">IF($E548="","",IFERROR(INDEX('Гео-калькулятор'!$K$7:$K$13,MATCH($C548,'Гео-калькулятор'!$B$7:$B$13,0)),""))</f>
        <v/>
      </c>
      <c r="P548" s="38" t="str">
        <f aca="false">IF($E548="","",IFERROR(N548/O548,""))</f>
        <v/>
      </c>
      <c r="Q548" s="39" t="str">
        <f aca="false">IF($E548="","",IF($I548&lt;&gt;"",$I548,N($H548)*IFERROR(INDEX('Гео-калькулятор'!$E$7:$E$13,MATCH($C548,'Гео-калькулятор'!$B$7:$B$13,0)),0)))</f>
        <v/>
      </c>
      <c r="R548" s="38" t="str">
        <f aca="false">IF($E548="","",IFERROR(Q548/H548,""))</f>
        <v/>
      </c>
      <c r="S548" s="30" t="str">
        <f aca="false">IF($E548="","",IFERROR(E548/Q548,"—"))</f>
        <v/>
      </c>
      <c r="T548" s="30" t="str">
        <f aca="false">IF($E548="","",Q548*IFERROR(INDEX('Гео-калькулятор'!$D$7:$D$13,MATCH($C548,'Гео-калькулятор'!$B$7:$B$13,0)),0))</f>
        <v/>
      </c>
      <c r="U548" s="40" t="str">
        <f aca="false">IF($E548="","",T548-E548)</f>
        <v/>
      </c>
      <c r="V548" s="41" t="str">
        <f aca="false">IF($E548="","",IFERROR(U548/E548,""))</f>
        <v/>
      </c>
      <c r="W548" s="10" t="str">
        <f aca="false">IF($E548="","",IF($I548&lt;&gt;"","факт","прогноз"))</f>
        <v/>
      </c>
      <c r="X548" s="1"/>
      <c r="Y548" s="1"/>
      <c r="Z548" s="1"/>
      <c r="AA548" s="1"/>
      <c r="AB548" s="1"/>
      <c r="AC548" s="1"/>
      <c r="AD548" s="1"/>
    </row>
    <row r="549" customFormat="false" ht="18" hidden="false" customHeight="true" outlineLevel="0" collapsed="false">
      <c r="A549" s="1"/>
      <c r="B549" s="35"/>
      <c r="C549" s="8"/>
      <c r="D549" s="26"/>
      <c r="E549" s="27"/>
      <c r="F549" s="36"/>
      <c r="G549" s="36"/>
      <c r="H549" s="36"/>
      <c r="I549" s="36"/>
      <c r="J549" s="37" t="str">
        <f aca="false">IF($E549="","",IFERROR(G549/F549,""))</f>
        <v/>
      </c>
      <c r="K549" s="30" t="str">
        <f aca="false">IF($E549="","",IFERROR(E549/G549,""))</f>
        <v/>
      </c>
      <c r="L549" s="30" t="str">
        <f aca="false">IF($E549="","",IFERROR(E549/F549*1000,""))</f>
        <v/>
      </c>
      <c r="M549" s="37" t="str">
        <f aca="false">IF($E549="","",IFERROR(H549/G549,""))</f>
        <v/>
      </c>
      <c r="N549" s="30" t="str">
        <f aca="false">IF($E549="","",IFERROR(E549/H549,"—"))</f>
        <v/>
      </c>
      <c r="O549" s="30" t="str">
        <f aca="false">IF($E549="","",IFERROR(INDEX('Гео-калькулятор'!$K$7:$K$13,MATCH($C549,'Гео-калькулятор'!$B$7:$B$13,0)),""))</f>
        <v/>
      </c>
      <c r="P549" s="38" t="str">
        <f aca="false">IF($E549="","",IFERROR(N549/O549,""))</f>
        <v/>
      </c>
      <c r="Q549" s="39" t="str">
        <f aca="false">IF($E549="","",IF($I549&lt;&gt;"",$I549,N($H549)*IFERROR(INDEX('Гео-калькулятор'!$E$7:$E$13,MATCH($C549,'Гео-калькулятор'!$B$7:$B$13,0)),0)))</f>
        <v/>
      </c>
      <c r="R549" s="38" t="str">
        <f aca="false">IF($E549="","",IFERROR(Q549/H549,""))</f>
        <v/>
      </c>
      <c r="S549" s="30" t="str">
        <f aca="false">IF($E549="","",IFERROR(E549/Q549,"—"))</f>
        <v/>
      </c>
      <c r="T549" s="30" t="str">
        <f aca="false">IF($E549="","",Q549*IFERROR(INDEX('Гео-калькулятор'!$D$7:$D$13,MATCH($C549,'Гео-калькулятор'!$B$7:$B$13,0)),0))</f>
        <v/>
      </c>
      <c r="U549" s="40" t="str">
        <f aca="false">IF($E549="","",T549-E549)</f>
        <v/>
      </c>
      <c r="V549" s="41" t="str">
        <f aca="false">IF($E549="","",IFERROR(U549/E549,""))</f>
        <v/>
      </c>
      <c r="W549" s="10" t="str">
        <f aca="false">IF($E549="","",IF($I549&lt;&gt;"","факт","прогноз"))</f>
        <v/>
      </c>
      <c r="X549" s="1"/>
      <c r="Y549" s="1"/>
      <c r="Z549" s="1"/>
      <c r="AA549" s="1"/>
      <c r="AB549" s="1"/>
      <c r="AC549" s="1"/>
      <c r="AD549" s="1"/>
    </row>
    <row r="550" customFormat="false" ht="18" hidden="false" customHeight="true" outlineLevel="0" collapsed="false">
      <c r="A550" s="1"/>
      <c r="B550" s="35"/>
      <c r="C550" s="8"/>
      <c r="D550" s="26"/>
      <c r="E550" s="27"/>
      <c r="F550" s="36"/>
      <c r="G550" s="36"/>
      <c r="H550" s="36"/>
      <c r="I550" s="36"/>
      <c r="J550" s="37" t="str">
        <f aca="false">IF($E550="","",IFERROR(G550/F550,""))</f>
        <v/>
      </c>
      <c r="K550" s="30" t="str">
        <f aca="false">IF($E550="","",IFERROR(E550/G550,""))</f>
        <v/>
      </c>
      <c r="L550" s="30" t="str">
        <f aca="false">IF($E550="","",IFERROR(E550/F550*1000,""))</f>
        <v/>
      </c>
      <c r="M550" s="37" t="str">
        <f aca="false">IF($E550="","",IFERROR(H550/G550,""))</f>
        <v/>
      </c>
      <c r="N550" s="30" t="str">
        <f aca="false">IF($E550="","",IFERROR(E550/H550,"—"))</f>
        <v/>
      </c>
      <c r="O550" s="30" t="str">
        <f aca="false">IF($E550="","",IFERROR(INDEX('Гео-калькулятор'!$K$7:$K$13,MATCH($C550,'Гео-калькулятор'!$B$7:$B$13,0)),""))</f>
        <v/>
      </c>
      <c r="P550" s="38" t="str">
        <f aca="false">IF($E550="","",IFERROR(N550/O550,""))</f>
        <v/>
      </c>
      <c r="Q550" s="39" t="str">
        <f aca="false">IF($E550="","",IF($I550&lt;&gt;"",$I550,N($H550)*IFERROR(INDEX('Гео-калькулятор'!$E$7:$E$13,MATCH($C550,'Гео-калькулятор'!$B$7:$B$13,0)),0)))</f>
        <v/>
      </c>
      <c r="R550" s="38" t="str">
        <f aca="false">IF($E550="","",IFERROR(Q550/H550,""))</f>
        <v/>
      </c>
      <c r="S550" s="30" t="str">
        <f aca="false">IF($E550="","",IFERROR(E550/Q550,"—"))</f>
        <v/>
      </c>
      <c r="T550" s="30" t="str">
        <f aca="false">IF($E550="","",Q550*IFERROR(INDEX('Гео-калькулятор'!$D$7:$D$13,MATCH($C550,'Гео-калькулятор'!$B$7:$B$13,0)),0))</f>
        <v/>
      </c>
      <c r="U550" s="40" t="str">
        <f aca="false">IF($E550="","",T550-E550)</f>
        <v/>
      </c>
      <c r="V550" s="41" t="str">
        <f aca="false">IF($E550="","",IFERROR(U550/E550,""))</f>
        <v/>
      </c>
      <c r="W550" s="10" t="str">
        <f aca="false">IF($E550="","",IF($I550&lt;&gt;"","факт","прогноз"))</f>
        <v/>
      </c>
      <c r="X550" s="1"/>
      <c r="Y550" s="1"/>
      <c r="Z550" s="1"/>
      <c r="AA550" s="1"/>
      <c r="AB550" s="1"/>
      <c r="AC550" s="1"/>
      <c r="AD550" s="1"/>
    </row>
    <row r="551" customFormat="false" ht="18" hidden="false" customHeight="true" outlineLevel="0" collapsed="false">
      <c r="A551" s="1"/>
      <c r="B551" s="35"/>
      <c r="C551" s="8"/>
      <c r="D551" s="26"/>
      <c r="E551" s="27"/>
      <c r="F551" s="36"/>
      <c r="G551" s="36"/>
      <c r="H551" s="36"/>
      <c r="I551" s="36"/>
      <c r="J551" s="37" t="str">
        <f aca="false">IF($E551="","",IFERROR(G551/F551,""))</f>
        <v/>
      </c>
      <c r="K551" s="30" t="str">
        <f aca="false">IF($E551="","",IFERROR(E551/G551,""))</f>
        <v/>
      </c>
      <c r="L551" s="30" t="str">
        <f aca="false">IF($E551="","",IFERROR(E551/F551*1000,""))</f>
        <v/>
      </c>
      <c r="M551" s="37" t="str">
        <f aca="false">IF($E551="","",IFERROR(H551/G551,""))</f>
        <v/>
      </c>
      <c r="N551" s="30" t="str">
        <f aca="false">IF($E551="","",IFERROR(E551/H551,"—"))</f>
        <v/>
      </c>
      <c r="O551" s="30" t="str">
        <f aca="false">IF($E551="","",IFERROR(INDEX('Гео-калькулятор'!$K$7:$K$13,MATCH($C551,'Гео-калькулятор'!$B$7:$B$13,0)),""))</f>
        <v/>
      </c>
      <c r="P551" s="38" t="str">
        <f aca="false">IF($E551="","",IFERROR(N551/O551,""))</f>
        <v/>
      </c>
      <c r="Q551" s="39" t="str">
        <f aca="false">IF($E551="","",IF($I551&lt;&gt;"",$I551,N($H551)*IFERROR(INDEX('Гео-калькулятор'!$E$7:$E$13,MATCH($C551,'Гео-калькулятор'!$B$7:$B$13,0)),0)))</f>
        <v/>
      </c>
      <c r="R551" s="38" t="str">
        <f aca="false">IF($E551="","",IFERROR(Q551/H551,""))</f>
        <v/>
      </c>
      <c r="S551" s="30" t="str">
        <f aca="false">IF($E551="","",IFERROR(E551/Q551,"—"))</f>
        <v/>
      </c>
      <c r="T551" s="30" t="str">
        <f aca="false">IF($E551="","",Q551*IFERROR(INDEX('Гео-калькулятор'!$D$7:$D$13,MATCH($C551,'Гео-калькулятор'!$B$7:$B$13,0)),0))</f>
        <v/>
      </c>
      <c r="U551" s="40" t="str">
        <f aca="false">IF($E551="","",T551-E551)</f>
        <v/>
      </c>
      <c r="V551" s="41" t="str">
        <f aca="false">IF($E551="","",IFERROR(U551/E551,""))</f>
        <v/>
      </c>
      <c r="W551" s="10" t="str">
        <f aca="false">IF($E551="","",IF($I551&lt;&gt;"","факт","прогноз"))</f>
        <v/>
      </c>
      <c r="X551" s="1"/>
      <c r="Y551" s="1"/>
      <c r="Z551" s="1"/>
      <c r="AA551" s="1"/>
      <c r="AB551" s="1"/>
      <c r="AC551" s="1"/>
      <c r="AD551" s="1"/>
    </row>
    <row r="552" customFormat="false" ht="18" hidden="false" customHeight="true" outlineLevel="0" collapsed="false">
      <c r="A552" s="1"/>
      <c r="B552" s="35"/>
      <c r="C552" s="8"/>
      <c r="D552" s="26"/>
      <c r="E552" s="27"/>
      <c r="F552" s="36"/>
      <c r="G552" s="36"/>
      <c r="H552" s="36"/>
      <c r="I552" s="36"/>
      <c r="J552" s="37" t="str">
        <f aca="false">IF($E552="","",IFERROR(G552/F552,""))</f>
        <v/>
      </c>
      <c r="K552" s="30" t="str">
        <f aca="false">IF($E552="","",IFERROR(E552/G552,""))</f>
        <v/>
      </c>
      <c r="L552" s="30" t="str">
        <f aca="false">IF($E552="","",IFERROR(E552/F552*1000,""))</f>
        <v/>
      </c>
      <c r="M552" s="37" t="str">
        <f aca="false">IF($E552="","",IFERROR(H552/G552,""))</f>
        <v/>
      </c>
      <c r="N552" s="30" t="str">
        <f aca="false">IF($E552="","",IFERROR(E552/H552,"—"))</f>
        <v/>
      </c>
      <c r="O552" s="30" t="str">
        <f aca="false">IF($E552="","",IFERROR(INDEX('Гео-калькулятор'!$K$7:$K$13,MATCH($C552,'Гео-калькулятор'!$B$7:$B$13,0)),""))</f>
        <v/>
      </c>
      <c r="P552" s="38" t="str">
        <f aca="false">IF($E552="","",IFERROR(N552/O552,""))</f>
        <v/>
      </c>
      <c r="Q552" s="39" t="str">
        <f aca="false">IF($E552="","",IF($I552&lt;&gt;"",$I552,N($H552)*IFERROR(INDEX('Гео-калькулятор'!$E$7:$E$13,MATCH($C552,'Гео-калькулятор'!$B$7:$B$13,0)),0)))</f>
        <v/>
      </c>
      <c r="R552" s="38" t="str">
        <f aca="false">IF($E552="","",IFERROR(Q552/H552,""))</f>
        <v/>
      </c>
      <c r="S552" s="30" t="str">
        <f aca="false">IF($E552="","",IFERROR(E552/Q552,"—"))</f>
        <v/>
      </c>
      <c r="T552" s="30" t="str">
        <f aca="false">IF($E552="","",Q552*IFERROR(INDEX('Гео-калькулятор'!$D$7:$D$13,MATCH($C552,'Гео-калькулятор'!$B$7:$B$13,0)),0))</f>
        <v/>
      </c>
      <c r="U552" s="40" t="str">
        <f aca="false">IF($E552="","",T552-E552)</f>
        <v/>
      </c>
      <c r="V552" s="41" t="str">
        <f aca="false">IF($E552="","",IFERROR(U552/E552,""))</f>
        <v/>
      </c>
      <c r="W552" s="10" t="str">
        <f aca="false">IF($E552="","",IF($I552&lt;&gt;"","факт","прогноз"))</f>
        <v/>
      </c>
      <c r="X552" s="1"/>
      <c r="Y552" s="1"/>
      <c r="Z552" s="1"/>
      <c r="AA552" s="1"/>
      <c r="AB552" s="1"/>
      <c r="AC552" s="1"/>
      <c r="AD552" s="1"/>
    </row>
    <row r="553" customFormat="false" ht="18" hidden="false" customHeight="true" outlineLevel="0" collapsed="false">
      <c r="A553" s="1"/>
      <c r="B553" s="35"/>
      <c r="C553" s="8"/>
      <c r="D553" s="26"/>
      <c r="E553" s="27"/>
      <c r="F553" s="36"/>
      <c r="G553" s="36"/>
      <c r="H553" s="36"/>
      <c r="I553" s="36"/>
      <c r="J553" s="37" t="str">
        <f aca="false">IF($E553="","",IFERROR(G553/F553,""))</f>
        <v/>
      </c>
      <c r="K553" s="30" t="str">
        <f aca="false">IF($E553="","",IFERROR(E553/G553,""))</f>
        <v/>
      </c>
      <c r="L553" s="30" t="str">
        <f aca="false">IF($E553="","",IFERROR(E553/F553*1000,""))</f>
        <v/>
      </c>
      <c r="M553" s="37" t="str">
        <f aca="false">IF($E553="","",IFERROR(H553/G553,""))</f>
        <v/>
      </c>
      <c r="N553" s="30" t="str">
        <f aca="false">IF($E553="","",IFERROR(E553/H553,"—"))</f>
        <v/>
      </c>
      <c r="O553" s="30" t="str">
        <f aca="false">IF($E553="","",IFERROR(INDEX('Гео-калькулятор'!$K$7:$K$13,MATCH($C553,'Гео-калькулятор'!$B$7:$B$13,0)),""))</f>
        <v/>
      </c>
      <c r="P553" s="38" t="str">
        <f aca="false">IF($E553="","",IFERROR(N553/O553,""))</f>
        <v/>
      </c>
      <c r="Q553" s="39" t="str">
        <f aca="false">IF($E553="","",IF($I553&lt;&gt;"",$I553,N($H553)*IFERROR(INDEX('Гео-калькулятор'!$E$7:$E$13,MATCH($C553,'Гео-калькулятор'!$B$7:$B$13,0)),0)))</f>
        <v/>
      </c>
      <c r="R553" s="38" t="str">
        <f aca="false">IF($E553="","",IFERROR(Q553/H553,""))</f>
        <v/>
      </c>
      <c r="S553" s="30" t="str">
        <f aca="false">IF($E553="","",IFERROR(E553/Q553,"—"))</f>
        <v/>
      </c>
      <c r="T553" s="30" t="str">
        <f aca="false">IF($E553="","",Q553*IFERROR(INDEX('Гео-калькулятор'!$D$7:$D$13,MATCH($C553,'Гео-калькулятор'!$B$7:$B$13,0)),0))</f>
        <v/>
      </c>
      <c r="U553" s="40" t="str">
        <f aca="false">IF($E553="","",T553-E553)</f>
        <v/>
      </c>
      <c r="V553" s="41" t="str">
        <f aca="false">IF($E553="","",IFERROR(U553/E553,""))</f>
        <v/>
      </c>
      <c r="W553" s="10" t="str">
        <f aca="false">IF($E553="","",IF($I553&lt;&gt;"","факт","прогноз"))</f>
        <v/>
      </c>
      <c r="X553" s="1"/>
      <c r="Y553" s="1"/>
      <c r="Z553" s="1"/>
      <c r="AA553" s="1"/>
      <c r="AB553" s="1"/>
      <c r="AC553" s="1"/>
      <c r="AD553" s="1"/>
    </row>
    <row r="554" customFormat="false" ht="18" hidden="false" customHeight="true" outlineLevel="0" collapsed="false">
      <c r="A554" s="1"/>
      <c r="B554" s="35"/>
      <c r="C554" s="8"/>
      <c r="D554" s="26"/>
      <c r="E554" s="27"/>
      <c r="F554" s="36"/>
      <c r="G554" s="36"/>
      <c r="H554" s="36"/>
      <c r="I554" s="36"/>
      <c r="J554" s="37" t="str">
        <f aca="false">IF($E554="","",IFERROR(G554/F554,""))</f>
        <v/>
      </c>
      <c r="K554" s="30" t="str">
        <f aca="false">IF($E554="","",IFERROR(E554/G554,""))</f>
        <v/>
      </c>
      <c r="L554" s="30" t="str">
        <f aca="false">IF($E554="","",IFERROR(E554/F554*1000,""))</f>
        <v/>
      </c>
      <c r="M554" s="37" t="str">
        <f aca="false">IF($E554="","",IFERROR(H554/G554,""))</f>
        <v/>
      </c>
      <c r="N554" s="30" t="str">
        <f aca="false">IF($E554="","",IFERROR(E554/H554,"—"))</f>
        <v/>
      </c>
      <c r="O554" s="30" t="str">
        <f aca="false">IF($E554="","",IFERROR(INDEX('Гео-калькулятор'!$K$7:$K$13,MATCH($C554,'Гео-калькулятор'!$B$7:$B$13,0)),""))</f>
        <v/>
      </c>
      <c r="P554" s="38" t="str">
        <f aca="false">IF($E554="","",IFERROR(N554/O554,""))</f>
        <v/>
      </c>
      <c r="Q554" s="39" t="str">
        <f aca="false">IF($E554="","",IF($I554&lt;&gt;"",$I554,N($H554)*IFERROR(INDEX('Гео-калькулятор'!$E$7:$E$13,MATCH($C554,'Гео-калькулятор'!$B$7:$B$13,0)),0)))</f>
        <v/>
      </c>
      <c r="R554" s="38" t="str">
        <f aca="false">IF($E554="","",IFERROR(Q554/H554,""))</f>
        <v/>
      </c>
      <c r="S554" s="30" t="str">
        <f aca="false">IF($E554="","",IFERROR(E554/Q554,"—"))</f>
        <v/>
      </c>
      <c r="T554" s="30" t="str">
        <f aca="false">IF($E554="","",Q554*IFERROR(INDEX('Гео-калькулятор'!$D$7:$D$13,MATCH($C554,'Гео-калькулятор'!$B$7:$B$13,0)),0))</f>
        <v/>
      </c>
      <c r="U554" s="40" t="str">
        <f aca="false">IF($E554="","",T554-E554)</f>
        <v/>
      </c>
      <c r="V554" s="41" t="str">
        <f aca="false">IF($E554="","",IFERROR(U554/E554,""))</f>
        <v/>
      </c>
      <c r="W554" s="10" t="str">
        <f aca="false">IF($E554="","",IF($I554&lt;&gt;"","факт","прогноз"))</f>
        <v/>
      </c>
      <c r="X554" s="1"/>
      <c r="Y554" s="1"/>
      <c r="Z554" s="1"/>
      <c r="AA554" s="1"/>
      <c r="AB554" s="1"/>
      <c r="AC554" s="1"/>
      <c r="AD554" s="1"/>
    </row>
    <row r="555" customFormat="false" ht="18" hidden="false" customHeight="true" outlineLevel="0" collapsed="false">
      <c r="A555" s="1"/>
      <c r="B555" s="35"/>
      <c r="C555" s="8"/>
      <c r="D555" s="26"/>
      <c r="E555" s="27"/>
      <c r="F555" s="36"/>
      <c r="G555" s="36"/>
      <c r="H555" s="36"/>
      <c r="I555" s="36"/>
      <c r="J555" s="37" t="str">
        <f aca="false">IF($E555="","",IFERROR(G555/F555,""))</f>
        <v/>
      </c>
      <c r="K555" s="30" t="str">
        <f aca="false">IF($E555="","",IFERROR(E555/G555,""))</f>
        <v/>
      </c>
      <c r="L555" s="30" t="str">
        <f aca="false">IF($E555="","",IFERROR(E555/F555*1000,""))</f>
        <v/>
      </c>
      <c r="M555" s="37" t="str">
        <f aca="false">IF($E555="","",IFERROR(H555/G555,""))</f>
        <v/>
      </c>
      <c r="N555" s="30" t="str">
        <f aca="false">IF($E555="","",IFERROR(E555/H555,"—"))</f>
        <v/>
      </c>
      <c r="O555" s="30" t="str">
        <f aca="false">IF($E555="","",IFERROR(INDEX('Гео-калькулятор'!$K$7:$K$13,MATCH($C555,'Гео-калькулятор'!$B$7:$B$13,0)),""))</f>
        <v/>
      </c>
      <c r="P555" s="38" t="str">
        <f aca="false">IF($E555="","",IFERROR(N555/O555,""))</f>
        <v/>
      </c>
      <c r="Q555" s="39" t="str">
        <f aca="false">IF($E555="","",IF($I555&lt;&gt;"",$I555,N($H555)*IFERROR(INDEX('Гео-калькулятор'!$E$7:$E$13,MATCH($C555,'Гео-калькулятор'!$B$7:$B$13,0)),0)))</f>
        <v/>
      </c>
      <c r="R555" s="38" t="str">
        <f aca="false">IF($E555="","",IFERROR(Q555/H555,""))</f>
        <v/>
      </c>
      <c r="S555" s="30" t="str">
        <f aca="false">IF($E555="","",IFERROR(E555/Q555,"—"))</f>
        <v/>
      </c>
      <c r="T555" s="30" t="str">
        <f aca="false">IF($E555="","",Q555*IFERROR(INDEX('Гео-калькулятор'!$D$7:$D$13,MATCH($C555,'Гео-калькулятор'!$B$7:$B$13,0)),0))</f>
        <v/>
      </c>
      <c r="U555" s="40" t="str">
        <f aca="false">IF($E555="","",T555-E555)</f>
        <v/>
      </c>
      <c r="V555" s="41" t="str">
        <f aca="false">IF($E555="","",IFERROR(U555/E555,""))</f>
        <v/>
      </c>
      <c r="W555" s="10" t="str">
        <f aca="false">IF($E555="","",IF($I555&lt;&gt;"","факт","прогноз"))</f>
        <v/>
      </c>
      <c r="X555" s="1"/>
      <c r="Y555" s="1"/>
      <c r="Z555" s="1"/>
      <c r="AA555" s="1"/>
      <c r="AB555" s="1"/>
      <c r="AC555" s="1"/>
      <c r="AD555" s="1"/>
    </row>
    <row r="556" customFormat="false" ht="18" hidden="false" customHeight="true" outlineLevel="0" collapsed="false">
      <c r="A556" s="1"/>
      <c r="B556" s="35"/>
      <c r="C556" s="8"/>
      <c r="D556" s="26"/>
      <c r="E556" s="27"/>
      <c r="F556" s="36"/>
      <c r="G556" s="36"/>
      <c r="H556" s="36"/>
      <c r="I556" s="36"/>
      <c r="J556" s="37" t="str">
        <f aca="false">IF($E556="","",IFERROR(G556/F556,""))</f>
        <v/>
      </c>
      <c r="K556" s="30" t="str">
        <f aca="false">IF($E556="","",IFERROR(E556/G556,""))</f>
        <v/>
      </c>
      <c r="L556" s="30" t="str">
        <f aca="false">IF($E556="","",IFERROR(E556/F556*1000,""))</f>
        <v/>
      </c>
      <c r="M556" s="37" t="str">
        <f aca="false">IF($E556="","",IFERROR(H556/G556,""))</f>
        <v/>
      </c>
      <c r="N556" s="30" t="str">
        <f aca="false">IF($E556="","",IFERROR(E556/H556,"—"))</f>
        <v/>
      </c>
      <c r="O556" s="30" t="str">
        <f aca="false">IF($E556="","",IFERROR(INDEX('Гео-калькулятор'!$K$7:$K$13,MATCH($C556,'Гео-калькулятор'!$B$7:$B$13,0)),""))</f>
        <v/>
      </c>
      <c r="P556" s="38" t="str">
        <f aca="false">IF($E556="","",IFERROR(N556/O556,""))</f>
        <v/>
      </c>
      <c r="Q556" s="39" t="str">
        <f aca="false">IF($E556="","",IF($I556&lt;&gt;"",$I556,N($H556)*IFERROR(INDEX('Гео-калькулятор'!$E$7:$E$13,MATCH($C556,'Гео-калькулятор'!$B$7:$B$13,0)),0)))</f>
        <v/>
      </c>
      <c r="R556" s="38" t="str">
        <f aca="false">IF($E556="","",IFERROR(Q556/H556,""))</f>
        <v/>
      </c>
      <c r="S556" s="30" t="str">
        <f aca="false">IF($E556="","",IFERROR(E556/Q556,"—"))</f>
        <v/>
      </c>
      <c r="T556" s="30" t="str">
        <f aca="false">IF($E556="","",Q556*IFERROR(INDEX('Гео-калькулятор'!$D$7:$D$13,MATCH($C556,'Гео-калькулятор'!$B$7:$B$13,0)),0))</f>
        <v/>
      </c>
      <c r="U556" s="40" t="str">
        <f aca="false">IF($E556="","",T556-E556)</f>
        <v/>
      </c>
      <c r="V556" s="41" t="str">
        <f aca="false">IF($E556="","",IFERROR(U556/E556,""))</f>
        <v/>
      </c>
      <c r="W556" s="10" t="str">
        <f aca="false">IF($E556="","",IF($I556&lt;&gt;"","факт","прогноз"))</f>
        <v/>
      </c>
      <c r="X556" s="1"/>
      <c r="Y556" s="1"/>
      <c r="Z556" s="1"/>
      <c r="AA556" s="1"/>
      <c r="AB556" s="1"/>
      <c r="AC556" s="1"/>
      <c r="AD556" s="1"/>
    </row>
    <row r="557" customFormat="false" ht="18" hidden="false" customHeight="true" outlineLevel="0" collapsed="false">
      <c r="A557" s="1"/>
      <c r="B557" s="35"/>
      <c r="C557" s="8"/>
      <c r="D557" s="26"/>
      <c r="E557" s="27"/>
      <c r="F557" s="36"/>
      <c r="G557" s="36"/>
      <c r="H557" s="36"/>
      <c r="I557" s="36"/>
      <c r="J557" s="37" t="str">
        <f aca="false">IF($E557="","",IFERROR(G557/F557,""))</f>
        <v/>
      </c>
      <c r="K557" s="30" t="str">
        <f aca="false">IF($E557="","",IFERROR(E557/G557,""))</f>
        <v/>
      </c>
      <c r="L557" s="30" t="str">
        <f aca="false">IF($E557="","",IFERROR(E557/F557*1000,""))</f>
        <v/>
      </c>
      <c r="M557" s="37" t="str">
        <f aca="false">IF($E557="","",IFERROR(H557/G557,""))</f>
        <v/>
      </c>
      <c r="N557" s="30" t="str">
        <f aca="false">IF($E557="","",IFERROR(E557/H557,"—"))</f>
        <v/>
      </c>
      <c r="O557" s="30" t="str">
        <f aca="false">IF($E557="","",IFERROR(INDEX('Гео-калькулятор'!$K$7:$K$13,MATCH($C557,'Гео-калькулятор'!$B$7:$B$13,0)),""))</f>
        <v/>
      </c>
      <c r="P557" s="38" t="str">
        <f aca="false">IF($E557="","",IFERROR(N557/O557,""))</f>
        <v/>
      </c>
      <c r="Q557" s="39" t="str">
        <f aca="false">IF($E557="","",IF($I557&lt;&gt;"",$I557,N($H557)*IFERROR(INDEX('Гео-калькулятор'!$E$7:$E$13,MATCH($C557,'Гео-калькулятор'!$B$7:$B$13,0)),0)))</f>
        <v/>
      </c>
      <c r="R557" s="38" t="str">
        <f aca="false">IF($E557="","",IFERROR(Q557/H557,""))</f>
        <v/>
      </c>
      <c r="S557" s="30" t="str">
        <f aca="false">IF($E557="","",IFERROR(E557/Q557,"—"))</f>
        <v/>
      </c>
      <c r="T557" s="30" t="str">
        <f aca="false">IF($E557="","",Q557*IFERROR(INDEX('Гео-калькулятор'!$D$7:$D$13,MATCH($C557,'Гео-калькулятор'!$B$7:$B$13,0)),0))</f>
        <v/>
      </c>
      <c r="U557" s="40" t="str">
        <f aca="false">IF($E557="","",T557-E557)</f>
        <v/>
      </c>
      <c r="V557" s="41" t="str">
        <f aca="false">IF($E557="","",IFERROR(U557/E557,""))</f>
        <v/>
      </c>
      <c r="W557" s="10" t="str">
        <f aca="false">IF($E557="","",IF($I557&lt;&gt;"","факт","прогноз"))</f>
        <v/>
      </c>
      <c r="X557" s="1"/>
      <c r="Y557" s="1"/>
      <c r="Z557" s="1"/>
      <c r="AA557" s="1"/>
      <c r="AB557" s="1"/>
      <c r="AC557" s="1"/>
      <c r="AD557" s="1"/>
    </row>
    <row r="558" customFormat="false" ht="18" hidden="false" customHeight="true" outlineLevel="0" collapsed="false">
      <c r="A558" s="1"/>
      <c r="B558" s="35"/>
      <c r="C558" s="8"/>
      <c r="D558" s="26"/>
      <c r="E558" s="27"/>
      <c r="F558" s="36"/>
      <c r="G558" s="36"/>
      <c r="H558" s="36"/>
      <c r="I558" s="36"/>
      <c r="J558" s="37" t="str">
        <f aca="false">IF($E558="","",IFERROR(G558/F558,""))</f>
        <v/>
      </c>
      <c r="K558" s="30" t="str">
        <f aca="false">IF($E558="","",IFERROR(E558/G558,""))</f>
        <v/>
      </c>
      <c r="L558" s="30" t="str">
        <f aca="false">IF($E558="","",IFERROR(E558/F558*1000,""))</f>
        <v/>
      </c>
      <c r="M558" s="37" t="str">
        <f aca="false">IF($E558="","",IFERROR(H558/G558,""))</f>
        <v/>
      </c>
      <c r="N558" s="30" t="str">
        <f aca="false">IF($E558="","",IFERROR(E558/H558,"—"))</f>
        <v/>
      </c>
      <c r="O558" s="30" t="str">
        <f aca="false">IF($E558="","",IFERROR(INDEX('Гео-калькулятор'!$K$7:$K$13,MATCH($C558,'Гео-калькулятор'!$B$7:$B$13,0)),""))</f>
        <v/>
      </c>
      <c r="P558" s="38" t="str">
        <f aca="false">IF($E558="","",IFERROR(N558/O558,""))</f>
        <v/>
      </c>
      <c r="Q558" s="39" t="str">
        <f aca="false">IF($E558="","",IF($I558&lt;&gt;"",$I558,N($H558)*IFERROR(INDEX('Гео-калькулятор'!$E$7:$E$13,MATCH($C558,'Гео-калькулятор'!$B$7:$B$13,0)),0)))</f>
        <v/>
      </c>
      <c r="R558" s="38" t="str">
        <f aca="false">IF($E558="","",IFERROR(Q558/H558,""))</f>
        <v/>
      </c>
      <c r="S558" s="30" t="str">
        <f aca="false">IF($E558="","",IFERROR(E558/Q558,"—"))</f>
        <v/>
      </c>
      <c r="T558" s="30" t="str">
        <f aca="false">IF($E558="","",Q558*IFERROR(INDEX('Гео-калькулятор'!$D$7:$D$13,MATCH($C558,'Гео-калькулятор'!$B$7:$B$13,0)),0))</f>
        <v/>
      </c>
      <c r="U558" s="40" t="str">
        <f aca="false">IF($E558="","",T558-E558)</f>
        <v/>
      </c>
      <c r="V558" s="41" t="str">
        <f aca="false">IF($E558="","",IFERROR(U558/E558,""))</f>
        <v/>
      </c>
      <c r="W558" s="10" t="str">
        <f aca="false">IF($E558="","",IF($I558&lt;&gt;"","факт","прогноз"))</f>
        <v/>
      </c>
      <c r="X558" s="1"/>
      <c r="Y558" s="1"/>
      <c r="Z558" s="1"/>
      <c r="AA558" s="1"/>
      <c r="AB558" s="1"/>
      <c r="AC558" s="1"/>
      <c r="AD558" s="1"/>
    </row>
    <row r="559" customFormat="false" ht="18" hidden="false" customHeight="true" outlineLevel="0" collapsed="false">
      <c r="A559" s="1"/>
      <c r="B559" s="35"/>
      <c r="C559" s="8"/>
      <c r="D559" s="26"/>
      <c r="E559" s="27"/>
      <c r="F559" s="36"/>
      <c r="G559" s="36"/>
      <c r="H559" s="36"/>
      <c r="I559" s="36"/>
      <c r="J559" s="37" t="str">
        <f aca="false">IF($E559="","",IFERROR(G559/F559,""))</f>
        <v/>
      </c>
      <c r="K559" s="30" t="str">
        <f aca="false">IF($E559="","",IFERROR(E559/G559,""))</f>
        <v/>
      </c>
      <c r="L559" s="30" t="str">
        <f aca="false">IF($E559="","",IFERROR(E559/F559*1000,""))</f>
        <v/>
      </c>
      <c r="M559" s="37" t="str">
        <f aca="false">IF($E559="","",IFERROR(H559/G559,""))</f>
        <v/>
      </c>
      <c r="N559" s="30" t="str">
        <f aca="false">IF($E559="","",IFERROR(E559/H559,"—"))</f>
        <v/>
      </c>
      <c r="O559" s="30" t="str">
        <f aca="false">IF($E559="","",IFERROR(INDEX('Гео-калькулятор'!$K$7:$K$13,MATCH($C559,'Гео-калькулятор'!$B$7:$B$13,0)),""))</f>
        <v/>
      </c>
      <c r="P559" s="38" t="str">
        <f aca="false">IF($E559="","",IFERROR(N559/O559,""))</f>
        <v/>
      </c>
      <c r="Q559" s="39" t="str">
        <f aca="false">IF($E559="","",IF($I559&lt;&gt;"",$I559,N($H559)*IFERROR(INDEX('Гео-калькулятор'!$E$7:$E$13,MATCH($C559,'Гео-калькулятор'!$B$7:$B$13,0)),0)))</f>
        <v/>
      </c>
      <c r="R559" s="38" t="str">
        <f aca="false">IF($E559="","",IFERROR(Q559/H559,""))</f>
        <v/>
      </c>
      <c r="S559" s="30" t="str">
        <f aca="false">IF($E559="","",IFERROR(E559/Q559,"—"))</f>
        <v/>
      </c>
      <c r="T559" s="30" t="str">
        <f aca="false">IF($E559="","",Q559*IFERROR(INDEX('Гео-калькулятор'!$D$7:$D$13,MATCH($C559,'Гео-калькулятор'!$B$7:$B$13,0)),0))</f>
        <v/>
      </c>
      <c r="U559" s="40" t="str">
        <f aca="false">IF($E559="","",T559-E559)</f>
        <v/>
      </c>
      <c r="V559" s="41" t="str">
        <f aca="false">IF($E559="","",IFERROR(U559/E559,""))</f>
        <v/>
      </c>
      <c r="W559" s="10" t="str">
        <f aca="false">IF($E559="","",IF($I559&lt;&gt;"","факт","прогноз"))</f>
        <v/>
      </c>
      <c r="X559" s="1"/>
      <c r="Y559" s="1"/>
      <c r="Z559" s="1"/>
      <c r="AA559" s="1"/>
      <c r="AB559" s="1"/>
      <c r="AC559" s="1"/>
      <c r="AD559" s="1"/>
    </row>
    <row r="560" customFormat="false" ht="18" hidden="false" customHeight="true" outlineLevel="0" collapsed="false">
      <c r="A560" s="1"/>
      <c r="B560" s="35"/>
      <c r="C560" s="8"/>
      <c r="D560" s="26"/>
      <c r="E560" s="27"/>
      <c r="F560" s="36"/>
      <c r="G560" s="36"/>
      <c r="H560" s="36"/>
      <c r="I560" s="36"/>
      <c r="J560" s="37" t="str">
        <f aca="false">IF($E560="","",IFERROR(G560/F560,""))</f>
        <v/>
      </c>
      <c r="K560" s="30" t="str">
        <f aca="false">IF($E560="","",IFERROR(E560/G560,""))</f>
        <v/>
      </c>
      <c r="L560" s="30" t="str">
        <f aca="false">IF($E560="","",IFERROR(E560/F560*1000,""))</f>
        <v/>
      </c>
      <c r="M560" s="37" t="str">
        <f aca="false">IF($E560="","",IFERROR(H560/G560,""))</f>
        <v/>
      </c>
      <c r="N560" s="30" t="str">
        <f aca="false">IF($E560="","",IFERROR(E560/H560,"—"))</f>
        <v/>
      </c>
      <c r="O560" s="30" t="str">
        <f aca="false">IF($E560="","",IFERROR(INDEX('Гео-калькулятор'!$K$7:$K$13,MATCH($C560,'Гео-калькулятор'!$B$7:$B$13,0)),""))</f>
        <v/>
      </c>
      <c r="P560" s="38" t="str">
        <f aca="false">IF($E560="","",IFERROR(N560/O560,""))</f>
        <v/>
      </c>
      <c r="Q560" s="39" t="str">
        <f aca="false">IF($E560="","",IF($I560&lt;&gt;"",$I560,N($H560)*IFERROR(INDEX('Гео-калькулятор'!$E$7:$E$13,MATCH($C560,'Гео-калькулятор'!$B$7:$B$13,0)),0)))</f>
        <v/>
      </c>
      <c r="R560" s="38" t="str">
        <f aca="false">IF($E560="","",IFERROR(Q560/H560,""))</f>
        <v/>
      </c>
      <c r="S560" s="30" t="str">
        <f aca="false">IF($E560="","",IFERROR(E560/Q560,"—"))</f>
        <v/>
      </c>
      <c r="T560" s="30" t="str">
        <f aca="false">IF($E560="","",Q560*IFERROR(INDEX('Гео-калькулятор'!$D$7:$D$13,MATCH($C560,'Гео-калькулятор'!$B$7:$B$13,0)),0))</f>
        <v/>
      </c>
      <c r="U560" s="40" t="str">
        <f aca="false">IF($E560="","",T560-E560)</f>
        <v/>
      </c>
      <c r="V560" s="41" t="str">
        <f aca="false">IF($E560="","",IFERROR(U560/E560,""))</f>
        <v/>
      </c>
      <c r="W560" s="10" t="str">
        <f aca="false">IF($E560="","",IF($I560&lt;&gt;"","факт","прогноз"))</f>
        <v/>
      </c>
      <c r="X560" s="1"/>
      <c r="Y560" s="1"/>
      <c r="Z560" s="1"/>
      <c r="AA560" s="1"/>
      <c r="AB560" s="1"/>
      <c r="AC560" s="1"/>
      <c r="AD560" s="1"/>
    </row>
    <row r="561" customFormat="false" ht="18" hidden="false" customHeight="true" outlineLevel="0" collapsed="false">
      <c r="A561" s="1"/>
      <c r="B561" s="35"/>
      <c r="C561" s="8"/>
      <c r="D561" s="26"/>
      <c r="E561" s="27"/>
      <c r="F561" s="36"/>
      <c r="G561" s="36"/>
      <c r="H561" s="36"/>
      <c r="I561" s="36"/>
      <c r="J561" s="37" t="str">
        <f aca="false">IF($E561="","",IFERROR(G561/F561,""))</f>
        <v/>
      </c>
      <c r="K561" s="30" t="str">
        <f aca="false">IF($E561="","",IFERROR(E561/G561,""))</f>
        <v/>
      </c>
      <c r="L561" s="30" t="str">
        <f aca="false">IF($E561="","",IFERROR(E561/F561*1000,""))</f>
        <v/>
      </c>
      <c r="M561" s="37" t="str">
        <f aca="false">IF($E561="","",IFERROR(H561/G561,""))</f>
        <v/>
      </c>
      <c r="N561" s="30" t="str">
        <f aca="false">IF($E561="","",IFERROR(E561/H561,"—"))</f>
        <v/>
      </c>
      <c r="O561" s="30" t="str">
        <f aca="false">IF($E561="","",IFERROR(INDEX('Гео-калькулятор'!$K$7:$K$13,MATCH($C561,'Гео-калькулятор'!$B$7:$B$13,0)),""))</f>
        <v/>
      </c>
      <c r="P561" s="38" t="str">
        <f aca="false">IF($E561="","",IFERROR(N561/O561,""))</f>
        <v/>
      </c>
      <c r="Q561" s="39" t="str">
        <f aca="false">IF($E561="","",IF($I561&lt;&gt;"",$I561,N($H561)*IFERROR(INDEX('Гео-калькулятор'!$E$7:$E$13,MATCH($C561,'Гео-калькулятор'!$B$7:$B$13,0)),0)))</f>
        <v/>
      </c>
      <c r="R561" s="38" t="str">
        <f aca="false">IF($E561="","",IFERROR(Q561/H561,""))</f>
        <v/>
      </c>
      <c r="S561" s="30" t="str">
        <f aca="false">IF($E561="","",IFERROR(E561/Q561,"—"))</f>
        <v/>
      </c>
      <c r="T561" s="30" t="str">
        <f aca="false">IF($E561="","",Q561*IFERROR(INDEX('Гео-калькулятор'!$D$7:$D$13,MATCH($C561,'Гео-калькулятор'!$B$7:$B$13,0)),0))</f>
        <v/>
      </c>
      <c r="U561" s="40" t="str">
        <f aca="false">IF($E561="","",T561-E561)</f>
        <v/>
      </c>
      <c r="V561" s="41" t="str">
        <f aca="false">IF($E561="","",IFERROR(U561/E561,""))</f>
        <v/>
      </c>
      <c r="W561" s="10" t="str">
        <f aca="false">IF($E561="","",IF($I561&lt;&gt;"","факт","прогноз"))</f>
        <v/>
      </c>
      <c r="X561" s="1"/>
      <c r="Y561" s="1"/>
      <c r="Z561" s="1"/>
      <c r="AA561" s="1"/>
      <c r="AB561" s="1"/>
      <c r="AC561" s="1"/>
      <c r="AD561" s="1"/>
    </row>
    <row r="562" customFormat="false" ht="18" hidden="false" customHeight="true" outlineLevel="0" collapsed="false">
      <c r="A562" s="1"/>
      <c r="B562" s="35"/>
      <c r="C562" s="8"/>
      <c r="D562" s="26"/>
      <c r="E562" s="27"/>
      <c r="F562" s="36"/>
      <c r="G562" s="36"/>
      <c r="H562" s="36"/>
      <c r="I562" s="36"/>
      <c r="J562" s="37" t="str">
        <f aca="false">IF($E562="","",IFERROR(G562/F562,""))</f>
        <v/>
      </c>
      <c r="K562" s="30" t="str">
        <f aca="false">IF($E562="","",IFERROR(E562/G562,""))</f>
        <v/>
      </c>
      <c r="L562" s="30" t="str">
        <f aca="false">IF($E562="","",IFERROR(E562/F562*1000,""))</f>
        <v/>
      </c>
      <c r="M562" s="37" t="str">
        <f aca="false">IF($E562="","",IFERROR(H562/G562,""))</f>
        <v/>
      </c>
      <c r="N562" s="30" t="str">
        <f aca="false">IF($E562="","",IFERROR(E562/H562,"—"))</f>
        <v/>
      </c>
      <c r="O562" s="30" t="str">
        <f aca="false">IF($E562="","",IFERROR(INDEX('Гео-калькулятор'!$K$7:$K$13,MATCH($C562,'Гео-калькулятор'!$B$7:$B$13,0)),""))</f>
        <v/>
      </c>
      <c r="P562" s="38" t="str">
        <f aca="false">IF($E562="","",IFERROR(N562/O562,""))</f>
        <v/>
      </c>
      <c r="Q562" s="39" t="str">
        <f aca="false">IF($E562="","",IF($I562&lt;&gt;"",$I562,N($H562)*IFERROR(INDEX('Гео-калькулятор'!$E$7:$E$13,MATCH($C562,'Гео-калькулятор'!$B$7:$B$13,0)),0)))</f>
        <v/>
      </c>
      <c r="R562" s="38" t="str">
        <f aca="false">IF($E562="","",IFERROR(Q562/H562,""))</f>
        <v/>
      </c>
      <c r="S562" s="30" t="str">
        <f aca="false">IF($E562="","",IFERROR(E562/Q562,"—"))</f>
        <v/>
      </c>
      <c r="T562" s="30" t="str">
        <f aca="false">IF($E562="","",Q562*IFERROR(INDEX('Гео-калькулятор'!$D$7:$D$13,MATCH($C562,'Гео-калькулятор'!$B$7:$B$13,0)),0))</f>
        <v/>
      </c>
      <c r="U562" s="40" t="str">
        <f aca="false">IF($E562="","",T562-E562)</f>
        <v/>
      </c>
      <c r="V562" s="41" t="str">
        <f aca="false">IF($E562="","",IFERROR(U562/E562,""))</f>
        <v/>
      </c>
      <c r="W562" s="10" t="str">
        <f aca="false">IF($E562="","",IF($I562&lt;&gt;"","факт","прогноз"))</f>
        <v/>
      </c>
      <c r="X562" s="1"/>
      <c r="Y562" s="1"/>
      <c r="Z562" s="1"/>
      <c r="AA562" s="1"/>
      <c r="AB562" s="1"/>
      <c r="AC562" s="1"/>
      <c r="AD562" s="1"/>
    </row>
    <row r="563" customFormat="false" ht="18" hidden="false" customHeight="true" outlineLevel="0" collapsed="false">
      <c r="A563" s="1"/>
      <c r="B563" s="35"/>
      <c r="C563" s="8"/>
      <c r="D563" s="26"/>
      <c r="E563" s="27"/>
      <c r="F563" s="36"/>
      <c r="G563" s="36"/>
      <c r="H563" s="36"/>
      <c r="I563" s="36"/>
      <c r="J563" s="37" t="str">
        <f aca="false">IF($E563="","",IFERROR(G563/F563,""))</f>
        <v/>
      </c>
      <c r="K563" s="30" t="str">
        <f aca="false">IF($E563="","",IFERROR(E563/G563,""))</f>
        <v/>
      </c>
      <c r="L563" s="30" t="str">
        <f aca="false">IF($E563="","",IFERROR(E563/F563*1000,""))</f>
        <v/>
      </c>
      <c r="M563" s="37" t="str">
        <f aca="false">IF($E563="","",IFERROR(H563/G563,""))</f>
        <v/>
      </c>
      <c r="N563" s="30" t="str">
        <f aca="false">IF($E563="","",IFERROR(E563/H563,"—"))</f>
        <v/>
      </c>
      <c r="O563" s="30" t="str">
        <f aca="false">IF($E563="","",IFERROR(INDEX('Гео-калькулятор'!$K$7:$K$13,MATCH($C563,'Гео-калькулятор'!$B$7:$B$13,0)),""))</f>
        <v/>
      </c>
      <c r="P563" s="38" t="str">
        <f aca="false">IF($E563="","",IFERROR(N563/O563,""))</f>
        <v/>
      </c>
      <c r="Q563" s="39" t="str">
        <f aca="false">IF($E563="","",IF($I563&lt;&gt;"",$I563,N($H563)*IFERROR(INDEX('Гео-калькулятор'!$E$7:$E$13,MATCH($C563,'Гео-калькулятор'!$B$7:$B$13,0)),0)))</f>
        <v/>
      </c>
      <c r="R563" s="38" t="str">
        <f aca="false">IF($E563="","",IFERROR(Q563/H563,""))</f>
        <v/>
      </c>
      <c r="S563" s="30" t="str">
        <f aca="false">IF($E563="","",IFERROR(E563/Q563,"—"))</f>
        <v/>
      </c>
      <c r="T563" s="30" t="str">
        <f aca="false">IF($E563="","",Q563*IFERROR(INDEX('Гео-калькулятор'!$D$7:$D$13,MATCH($C563,'Гео-калькулятор'!$B$7:$B$13,0)),0))</f>
        <v/>
      </c>
      <c r="U563" s="40" t="str">
        <f aca="false">IF($E563="","",T563-E563)</f>
        <v/>
      </c>
      <c r="V563" s="41" t="str">
        <f aca="false">IF($E563="","",IFERROR(U563/E563,""))</f>
        <v/>
      </c>
      <c r="W563" s="10" t="str">
        <f aca="false">IF($E563="","",IF($I563&lt;&gt;"","факт","прогноз"))</f>
        <v/>
      </c>
      <c r="X563" s="1"/>
      <c r="Y563" s="1"/>
      <c r="Z563" s="1"/>
      <c r="AA563" s="1"/>
      <c r="AB563" s="1"/>
      <c r="AC563" s="1"/>
      <c r="AD563" s="1"/>
    </row>
    <row r="564" customFormat="false" ht="18" hidden="false" customHeight="true" outlineLevel="0" collapsed="false">
      <c r="A564" s="1"/>
      <c r="B564" s="35"/>
      <c r="C564" s="8"/>
      <c r="D564" s="26"/>
      <c r="E564" s="27"/>
      <c r="F564" s="36"/>
      <c r="G564" s="36"/>
      <c r="H564" s="36"/>
      <c r="I564" s="36"/>
      <c r="J564" s="37" t="str">
        <f aca="false">IF($E564="","",IFERROR(G564/F564,""))</f>
        <v/>
      </c>
      <c r="K564" s="30" t="str">
        <f aca="false">IF($E564="","",IFERROR(E564/G564,""))</f>
        <v/>
      </c>
      <c r="L564" s="30" t="str">
        <f aca="false">IF($E564="","",IFERROR(E564/F564*1000,""))</f>
        <v/>
      </c>
      <c r="M564" s="37" t="str">
        <f aca="false">IF($E564="","",IFERROR(H564/G564,""))</f>
        <v/>
      </c>
      <c r="N564" s="30" t="str">
        <f aca="false">IF($E564="","",IFERROR(E564/H564,"—"))</f>
        <v/>
      </c>
      <c r="O564" s="30" t="str">
        <f aca="false">IF($E564="","",IFERROR(INDEX('Гео-калькулятор'!$K$7:$K$13,MATCH($C564,'Гео-калькулятор'!$B$7:$B$13,0)),""))</f>
        <v/>
      </c>
      <c r="P564" s="38" t="str">
        <f aca="false">IF($E564="","",IFERROR(N564/O564,""))</f>
        <v/>
      </c>
      <c r="Q564" s="39" t="str">
        <f aca="false">IF($E564="","",IF($I564&lt;&gt;"",$I564,N($H564)*IFERROR(INDEX('Гео-калькулятор'!$E$7:$E$13,MATCH($C564,'Гео-калькулятор'!$B$7:$B$13,0)),0)))</f>
        <v/>
      </c>
      <c r="R564" s="38" t="str">
        <f aca="false">IF($E564="","",IFERROR(Q564/H564,""))</f>
        <v/>
      </c>
      <c r="S564" s="30" t="str">
        <f aca="false">IF($E564="","",IFERROR(E564/Q564,"—"))</f>
        <v/>
      </c>
      <c r="T564" s="30" t="str">
        <f aca="false">IF($E564="","",Q564*IFERROR(INDEX('Гео-калькулятор'!$D$7:$D$13,MATCH($C564,'Гео-калькулятор'!$B$7:$B$13,0)),0))</f>
        <v/>
      </c>
      <c r="U564" s="40" t="str">
        <f aca="false">IF($E564="","",T564-E564)</f>
        <v/>
      </c>
      <c r="V564" s="41" t="str">
        <f aca="false">IF($E564="","",IFERROR(U564/E564,""))</f>
        <v/>
      </c>
      <c r="W564" s="10" t="str">
        <f aca="false">IF($E564="","",IF($I564&lt;&gt;"","факт","прогноз"))</f>
        <v/>
      </c>
      <c r="X564" s="1"/>
      <c r="Y564" s="1"/>
      <c r="Z564" s="1"/>
      <c r="AA564" s="1"/>
      <c r="AB564" s="1"/>
      <c r="AC564" s="1"/>
      <c r="AD564" s="1"/>
    </row>
    <row r="565" customFormat="false" ht="18" hidden="false" customHeight="true" outlineLevel="0" collapsed="false">
      <c r="A565" s="1"/>
      <c r="B565" s="35"/>
      <c r="C565" s="8"/>
      <c r="D565" s="26"/>
      <c r="E565" s="27"/>
      <c r="F565" s="36"/>
      <c r="G565" s="36"/>
      <c r="H565" s="36"/>
      <c r="I565" s="36"/>
      <c r="J565" s="37" t="str">
        <f aca="false">IF($E565="","",IFERROR(G565/F565,""))</f>
        <v/>
      </c>
      <c r="K565" s="30" t="str">
        <f aca="false">IF($E565="","",IFERROR(E565/G565,""))</f>
        <v/>
      </c>
      <c r="L565" s="30" t="str">
        <f aca="false">IF($E565="","",IFERROR(E565/F565*1000,""))</f>
        <v/>
      </c>
      <c r="M565" s="37" t="str">
        <f aca="false">IF($E565="","",IFERROR(H565/G565,""))</f>
        <v/>
      </c>
      <c r="N565" s="30" t="str">
        <f aca="false">IF($E565="","",IFERROR(E565/H565,"—"))</f>
        <v/>
      </c>
      <c r="O565" s="30" t="str">
        <f aca="false">IF($E565="","",IFERROR(INDEX('Гео-калькулятор'!$K$7:$K$13,MATCH($C565,'Гео-калькулятор'!$B$7:$B$13,0)),""))</f>
        <v/>
      </c>
      <c r="P565" s="38" t="str">
        <f aca="false">IF($E565="","",IFERROR(N565/O565,""))</f>
        <v/>
      </c>
      <c r="Q565" s="39" t="str">
        <f aca="false">IF($E565="","",IF($I565&lt;&gt;"",$I565,N($H565)*IFERROR(INDEX('Гео-калькулятор'!$E$7:$E$13,MATCH($C565,'Гео-калькулятор'!$B$7:$B$13,0)),0)))</f>
        <v/>
      </c>
      <c r="R565" s="38" t="str">
        <f aca="false">IF($E565="","",IFERROR(Q565/H565,""))</f>
        <v/>
      </c>
      <c r="S565" s="30" t="str">
        <f aca="false">IF($E565="","",IFERROR(E565/Q565,"—"))</f>
        <v/>
      </c>
      <c r="T565" s="30" t="str">
        <f aca="false">IF($E565="","",Q565*IFERROR(INDEX('Гео-калькулятор'!$D$7:$D$13,MATCH($C565,'Гео-калькулятор'!$B$7:$B$13,0)),0))</f>
        <v/>
      </c>
      <c r="U565" s="40" t="str">
        <f aca="false">IF($E565="","",T565-E565)</f>
        <v/>
      </c>
      <c r="V565" s="41" t="str">
        <f aca="false">IF($E565="","",IFERROR(U565/E565,""))</f>
        <v/>
      </c>
      <c r="W565" s="10" t="str">
        <f aca="false">IF($E565="","",IF($I565&lt;&gt;"","факт","прогноз"))</f>
        <v/>
      </c>
      <c r="X565" s="1"/>
      <c r="Y565" s="1"/>
      <c r="Z565" s="1"/>
      <c r="AA565" s="1"/>
      <c r="AB565" s="1"/>
      <c r="AC565" s="1"/>
      <c r="AD565" s="1"/>
    </row>
    <row r="566" customFormat="false" ht="18" hidden="false" customHeight="true" outlineLevel="0" collapsed="false">
      <c r="A566" s="1"/>
      <c r="B566" s="35"/>
      <c r="C566" s="8"/>
      <c r="D566" s="26"/>
      <c r="E566" s="27"/>
      <c r="F566" s="36"/>
      <c r="G566" s="36"/>
      <c r="H566" s="36"/>
      <c r="I566" s="36"/>
      <c r="J566" s="37" t="str">
        <f aca="false">IF($E566="","",IFERROR(G566/F566,""))</f>
        <v/>
      </c>
      <c r="K566" s="30" t="str">
        <f aca="false">IF($E566="","",IFERROR(E566/G566,""))</f>
        <v/>
      </c>
      <c r="L566" s="30" t="str">
        <f aca="false">IF($E566="","",IFERROR(E566/F566*1000,""))</f>
        <v/>
      </c>
      <c r="M566" s="37" t="str">
        <f aca="false">IF($E566="","",IFERROR(H566/G566,""))</f>
        <v/>
      </c>
      <c r="N566" s="30" t="str">
        <f aca="false">IF($E566="","",IFERROR(E566/H566,"—"))</f>
        <v/>
      </c>
      <c r="O566" s="30" t="str">
        <f aca="false">IF($E566="","",IFERROR(INDEX('Гео-калькулятор'!$K$7:$K$13,MATCH($C566,'Гео-калькулятор'!$B$7:$B$13,0)),""))</f>
        <v/>
      </c>
      <c r="P566" s="38" t="str">
        <f aca="false">IF($E566="","",IFERROR(N566/O566,""))</f>
        <v/>
      </c>
      <c r="Q566" s="39" t="str">
        <f aca="false">IF($E566="","",IF($I566&lt;&gt;"",$I566,N($H566)*IFERROR(INDEX('Гео-калькулятор'!$E$7:$E$13,MATCH($C566,'Гео-калькулятор'!$B$7:$B$13,0)),0)))</f>
        <v/>
      </c>
      <c r="R566" s="38" t="str">
        <f aca="false">IF($E566="","",IFERROR(Q566/H566,""))</f>
        <v/>
      </c>
      <c r="S566" s="30" t="str">
        <f aca="false">IF($E566="","",IFERROR(E566/Q566,"—"))</f>
        <v/>
      </c>
      <c r="T566" s="30" t="str">
        <f aca="false">IF($E566="","",Q566*IFERROR(INDEX('Гео-калькулятор'!$D$7:$D$13,MATCH($C566,'Гео-калькулятор'!$B$7:$B$13,0)),0))</f>
        <v/>
      </c>
      <c r="U566" s="40" t="str">
        <f aca="false">IF($E566="","",T566-E566)</f>
        <v/>
      </c>
      <c r="V566" s="41" t="str">
        <f aca="false">IF($E566="","",IFERROR(U566/E566,""))</f>
        <v/>
      </c>
      <c r="W566" s="10" t="str">
        <f aca="false">IF($E566="","",IF($I566&lt;&gt;"","факт","прогноз"))</f>
        <v/>
      </c>
      <c r="X566" s="1"/>
      <c r="Y566" s="1"/>
      <c r="Z566" s="1"/>
      <c r="AA566" s="1"/>
      <c r="AB566" s="1"/>
      <c r="AC566" s="1"/>
      <c r="AD566" s="1"/>
    </row>
    <row r="567" customFormat="false" ht="18" hidden="false" customHeight="true" outlineLevel="0" collapsed="false">
      <c r="A567" s="1"/>
      <c r="B567" s="35"/>
      <c r="C567" s="8"/>
      <c r="D567" s="26"/>
      <c r="E567" s="27"/>
      <c r="F567" s="36"/>
      <c r="G567" s="36"/>
      <c r="H567" s="36"/>
      <c r="I567" s="36"/>
      <c r="J567" s="37" t="str">
        <f aca="false">IF($E567="","",IFERROR(G567/F567,""))</f>
        <v/>
      </c>
      <c r="K567" s="30" t="str">
        <f aca="false">IF($E567="","",IFERROR(E567/G567,""))</f>
        <v/>
      </c>
      <c r="L567" s="30" t="str">
        <f aca="false">IF($E567="","",IFERROR(E567/F567*1000,""))</f>
        <v/>
      </c>
      <c r="M567" s="37" t="str">
        <f aca="false">IF($E567="","",IFERROR(H567/G567,""))</f>
        <v/>
      </c>
      <c r="N567" s="30" t="str">
        <f aca="false">IF($E567="","",IFERROR(E567/H567,"—"))</f>
        <v/>
      </c>
      <c r="O567" s="30" t="str">
        <f aca="false">IF($E567="","",IFERROR(INDEX('Гео-калькулятор'!$K$7:$K$13,MATCH($C567,'Гео-калькулятор'!$B$7:$B$13,0)),""))</f>
        <v/>
      </c>
      <c r="P567" s="38" t="str">
        <f aca="false">IF($E567="","",IFERROR(N567/O567,""))</f>
        <v/>
      </c>
      <c r="Q567" s="39" t="str">
        <f aca="false">IF($E567="","",IF($I567&lt;&gt;"",$I567,N($H567)*IFERROR(INDEX('Гео-калькулятор'!$E$7:$E$13,MATCH($C567,'Гео-калькулятор'!$B$7:$B$13,0)),0)))</f>
        <v/>
      </c>
      <c r="R567" s="38" t="str">
        <f aca="false">IF($E567="","",IFERROR(Q567/H567,""))</f>
        <v/>
      </c>
      <c r="S567" s="30" t="str">
        <f aca="false">IF($E567="","",IFERROR(E567/Q567,"—"))</f>
        <v/>
      </c>
      <c r="T567" s="30" t="str">
        <f aca="false">IF($E567="","",Q567*IFERROR(INDEX('Гео-калькулятор'!$D$7:$D$13,MATCH($C567,'Гео-калькулятор'!$B$7:$B$13,0)),0))</f>
        <v/>
      </c>
      <c r="U567" s="40" t="str">
        <f aca="false">IF($E567="","",T567-E567)</f>
        <v/>
      </c>
      <c r="V567" s="41" t="str">
        <f aca="false">IF($E567="","",IFERROR(U567/E567,""))</f>
        <v/>
      </c>
      <c r="W567" s="10" t="str">
        <f aca="false">IF($E567="","",IF($I567&lt;&gt;"","факт","прогноз"))</f>
        <v/>
      </c>
      <c r="X567" s="1"/>
      <c r="Y567" s="1"/>
      <c r="Z567" s="1"/>
      <c r="AA567" s="1"/>
      <c r="AB567" s="1"/>
      <c r="AC567" s="1"/>
      <c r="AD567" s="1"/>
    </row>
    <row r="568" customFormat="false" ht="18" hidden="false" customHeight="true" outlineLevel="0" collapsed="false">
      <c r="A568" s="1"/>
      <c r="B568" s="35"/>
      <c r="C568" s="8"/>
      <c r="D568" s="26"/>
      <c r="E568" s="27"/>
      <c r="F568" s="36"/>
      <c r="G568" s="36"/>
      <c r="H568" s="36"/>
      <c r="I568" s="36"/>
      <c r="J568" s="37" t="str">
        <f aca="false">IF($E568="","",IFERROR(G568/F568,""))</f>
        <v/>
      </c>
      <c r="K568" s="30" t="str">
        <f aca="false">IF($E568="","",IFERROR(E568/G568,""))</f>
        <v/>
      </c>
      <c r="L568" s="30" t="str">
        <f aca="false">IF($E568="","",IFERROR(E568/F568*1000,""))</f>
        <v/>
      </c>
      <c r="M568" s="37" t="str">
        <f aca="false">IF($E568="","",IFERROR(H568/G568,""))</f>
        <v/>
      </c>
      <c r="N568" s="30" t="str">
        <f aca="false">IF($E568="","",IFERROR(E568/H568,"—"))</f>
        <v/>
      </c>
      <c r="O568" s="30" t="str">
        <f aca="false">IF($E568="","",IFERROR(INDEX('Гео-калькулятор'!$K$7:$K$13,MATCH($C568,'Гео-калькулятор'!$B$7:$B$13,0)),""))</f>
        <v/>
      </c>
      <c r="P568" s="38" t="str">
        <f aca="false">IF($E568="","",IFERROR(N568/O568,""))</f>
        <v/>
      </c>
      <c r="Q568" s="39" t="str">
        <f aca="false">IF($E568="","",IF($I568&lt;&gt;"",$I568,N($H568)*IFERROR(INDEX('Гео-калькулятор'!$E$7:$E$13,MATCH($C568,'Гео-калькулятор'!$B$7:$B$13,0)),0)))</f>
        <v/>
      </c>
      <c r="R568" s="38" t="str">
        <f aca="false">IF($E568="","",IFERROR(Q568/H568,""))</f>
        <v/>
      </c>
      <c r="S568" s="30" t="str">
        <f aca="false">IF($E568="","",IFERROR(E568/Q568,"—"))</f>
        <v/>
      </c>
      <c r="T568" s="30" t="str">
        <f aca="false">IF($E568="","",Q568*IFERROR(INDEX('Гео-калькулятор'!$D$7:$D$13,MATCH($C568,'Гео-калькулятор'!$B$7:$B$13,0)),0))</f>
        <v/>
      </c>
      <c r="U568" s="40" t="str">
        <f aca="false">IF($E568="","",T568-E568)</f>
        <v/>
      </c>
      <c r="V568" s="41" t="str">
        <f aca="false">IF($E568="","",IFERROR(U568/E568,""))</f>
        <v/>
      </c>
      <c r="W568" s="10" t="str">
        <f aca="false">IF($E568="","",IF($I568&lt;&gt;"","факт","прогноз"))</f>
        <v/>
      </c>
      <c r="X568" s="1"/>
      <c r="Y568" s="1"/>
      <c r="Z568" s="1"/>
      <c r="AA568" s="1"/>
      <c r="AB568" s="1"/>
      <c r="AC568" s="1"/>
      <c r="AD568" s="1"/>
    </row>
    <row r="569" customFormat="false" ht="18" hidden="false" customHeight="true" outlineLevel="0" collapsed="false">
      <c r="A569" s="1"/>
      <c r="B569" s="35"/>
      <c r="C569" s="8"/>
      <c r="D569" s="26"/>
      <c r="E569" s="27"/>
      <c r="F569" s="36"/>
      <c r="G569" s="36"/>
      <c r="H569" s="36"/>
      <c r="I569" s="36"/>
      <c r="J569" s="37" t="str">
        <f aca="false">IF($E569="","",IFERROR(G569/F569,""))</f>
        <v/>
      </c>
      <c r="K569" s="30" t="str">
        <f aca="false">IF($E569="","",IFERROR(E569/G569,""))</f>
        <v/>
      </c>
      <c r="L569" s="30" t="str">
        <f aca="false">IF($E569="","",IFERROR(E569/F569*1000,""))</f>
        <v/>
      </c>
      <c r="M569" s="37" t="str">
        <f aca="false">IF($E569="","",IFERROR(H569/G569,""))</f>
        <v/>
      </c>
      <c r="N569" s="30" t="str">
        <f aca="false">IF($E569="","",IFERROR(E569/H569,"—"))</f>
        <v/>
      </c>
      <c r="O569" s="30" t="str">
        <f aca="false">IF($E569="","",IFERROR(INDEX('Гео-калькулятор'!$K$7:$K$13,MATCH($C569,'Гео-калькулятор'!$B$7:$B$13,0)),""))</f>
        <v/>
      </c>
      <c r="P569" s="38" t="str">
        <f aca="false">IF($E569="","",IFERROR(N569/O569,""))</f>
        <v/>
      </c>
      <c r="Q569" s="39" t="str">
        <f aca="false">IF($E569="","",IF($I569&lt;&gt;"",$I569,N($H569)*IFERROR(INDEX('Гео-калькулятор'!$E$7:$E$13,MATCH($C569,'Гео-калькулятор'!$B$7:$B$13,0)),0)))</f>
        <v/>
      </c>
      <c r="R569" s="38" t="str">
        <f aca="false">IF($E569="","",IFERROR(Q569/H569,""))</f>
        <v/>
      </c>
      <c r="S569" s="30" t="str">
        <f aca="false">IF($E569="","",IFERROR(E569/Q569,"—"))</f>
        <v/>
      </c>
      <c r="T569" s="30" t="str">
        <f aca="false">IF($E569="","",Q569*IFERROR(INDEX('Гео-калькулятор'!$D$7:$D$13,MATCH($C569,'Гео-калькулятор'!$B$7:$B$13,0)),0))</f>
        <v/>
      </c>
      <c r="U569" s="40" t="str">
        <f aca="false">IF($E569="","",T569-E569)</f>
        <v/>
      </c>
      <c r="V569" s="41" t="str">
        <f aca="false">IF($E569="","",IFERROR(U569/E569,""))</f>
        <v/>
      </c>
      <c r="W569" s="10" t="str">
        <f aca="false">IF($E569="","",IF($I569&lt;&gt;"","факт","прогноз"))</f>
        <v/>
      </c>
      <c r="X569" s="1"/>
      <c r="Y569" s="1"/>
      <c r="Z569" s="1"/>
      <c r="AA569" s="1"/>
      <c r="AB569" s="1"/>
      <c r="AC569" s="1"/>
      <c r="AD569" s="1"/>
    </row>
    <row r="570" customFormat="false" ht="18" hidden="false" customHeight="true" outlineLevel="0" collapsed="false">
      <c r="A570" s="1"/>
      <c r="B570" s="35"/>
      <c r="C570" s="8"/>
      <c r="D570" s="26"/>
      <c r="E570" s="27"/>
      <c r="F570" s="36"/>
      <c r="G570" s="36"/>
      <c r="H570" s="36"/>
      <c r="I570" s="36"/>
      <c r="J570" s="37" t="str">
        <f aca="false">IF($E570="","",IFERROR(G570/F570,""))</f>
        <v/>
      </c>
      <c r="K570" s="30" t="str">
        <f aca="false">IF($E570="","",IFERROR(E570/G570,""))</f>
        <v/>
      </c>
      <c r="L570" s="30" t="str">
        <f aca="false">IF($E570="","",IFERROR(E570/F570*1000,""))</f>
        <v/>
      </c>
      <c r="M570" s="37" t="str">
        <f aca="false">IF($E570="","",IFERROR(H570/G570,""))</f>
        <v/>
      </c>
      <c r="N570" s="30" t="str">
        <f aca="false">IF($E570="","",IFERROR(E570/H570,"—"))</f>
        <v/>
      </c>
      <c r="O570" s="30" t="str">
        <f aca="false">IF($E570="","",IFERROR(INDEX('Гео-калькулятор'!$K$7:$K$13,MATCH($C570,'Гео-калькулятор'!$B$7:$B$13,0)),""))</f>
        <v/>
      </c>
      <c r="P570" s="38" t="str">
        <f aca="false">IF($E570="","",IFERROR(N570/O570,""))</f>
        <v/>
      </c>
      <c r="Q570" s="39" t="str">
        <f aca="false">IF($E570="","",IF($I570&lt;&gt;"",$I570,N($H570)*IFERROR(INDEX('Гео-калькулятор'!$E$7:$E$13,MATCH($C570,'Гео-калькулятор'!$B$7:$B$13,0)),0)))</f>
        <v/>
      </c>
      <c r="R570" s="38" t="str">
        <f aca="false">IF($E570="","",IFERROR(Q570/H570,""))</f>
        <v/>
      </c>
      <c r="S570" s="30" t="str">
        <f aca="false">IF($E570="","",IFERROR(E570/Q570,"—"))</f>
        <v/>
      </c>
      <c r="T570" s="30" t="str">
        <f aca="false">IF($E570="","",Q570*IFERROR(INDEX('Гео-калькулятор'!$D$7:$D$13,MATCH($C570,'Гео-калькулятор'!$B$7:$B$13,0)),0))</f>
        <v/>
      </c>
      <c r="U570" s="40" t="str">
        <f aca="false">IF($E570="","",T570-E570)</f>
        <v/>
      </c>
      <c r="V570" s="41" t="str">
        <f aca="false">IF($E570="","",IFERROR(U570/E570,""))</f>
        <v/>
      </c>
      <c r="W570" s="10" t="str">
        <f aca="false">IF($E570="","",IF($I570&lt;&gt;"","факт","прогноз"))</f>
        <v/>
      </c>
      <c r="X570" s="1"/>
      <c r="Y570" s="1"/>
      <c r="Z570" s="1"/>
      <c r="AA570" s="1"/>
      <c r="AB570" s="1"/>
      <c r="AC570" s="1"/>
      <c r="AD570" s="1"/>
    </row>
    <row r="571" customFormat="false" ht="18" hidden="false" customHeight="true" outlineLevel="0" collapsed="false">
      <c r="A571" s="1"/>
      <c r="B571" s="35"/>
      <c r="C571" s="8"/>
      <c r="D571" s="26"/>
      <c r="E571" s="27"/>
      <c r="F571" s="36"/>
      <c r="G571" s="36"/>
      <c r="H571" s="36"/>
      <c r="I571" s="36"/>
      <c r="J571" s="37" t="str">
        <f aca="false">IF($E571="","",IFERROR(G571/F571,""))</f>
        <v/>
      </c>
      <c r="K571" s="30" t="str">
        <f aca="false">IF($E571="","",IFERROR(E571/G571,""))</f>
        <v/>
      </c>
      <c r="L571" s="30" t="str">
        <f aca="false">IF($E571="","",IFERROR(E571/F571*1000,""))</f>
        <v/>
      </c>
      <c r="M571" s="37" t="str">
        <f aca="false">IF($E571="","",IFERROR(H571/G571,""))</f>
        <v/>
      </c>
      <c r="N571" s="30" t="str">
        <f aca="false">IF($E571="","",IFERROR(E571/H571,"—"))</f>
        <v/>
      </c>
      <c r="O571" s="30" t="str">
        <f aca="false">IF($E571="","",IFERROR(INDEX('Гео-калькулятор'!$K$7:$K$13,MATCH($C571,'Гео-калькулятор'!$B$7:$B$13,0)),""))</f>
        <v/>
      </c>
      <c r="P571" s="38" t="str">
        <f aca="false">IF($E571="","",IFERROR(N571/O571,""))</f>
        <v/>
      </c>
      <c r="Q571" s="39" t="str">
        <f aca="false">IF($E571="","",IF($I571&lt;&gt;"",$I571,N($H571)*IFERROR(INDEX('Гео-калькулятор'!$E$7:$E$13,MATCH($C571,'Гео-калькулятор'!$B$7:$B$13,0)),0)))</f>
        <v/>
      </c>
      <c r="R571" s="38" t="str">
        <f aca="false">IF($E571="","",IFERROR(Q571/H571,""))</f>
        <v/>
      </c>
      <c r="S571" s="30" t="str">
        <f aca="false">IF($E571="","",IFERROR(E571/Q571,"—"))</f>
        <v/>
      </c>
      <c r="T571" s="30" t="str">
        <f aca="false">IF($E571="","",Q571*IFERROR(INDEX('Гео-калькулятор'!$D$7:$D$13,MATCH($C571,'Гео-калькулятор'!$B$7:$B$13,0)),0))</f>
        <v/>
      </c>
      <c r="U571" s="40" t="str">
        <f aca="false">IF($E571="","",T571-E571)</f>
        <v/>
      </c>
      <c r="V571" s="41" t="str">
        <f aca="false">IF($E571="","",IFERROR(U571/E571,""))</f>
        <v/>
      </c>
      <c r="W571" s="10" t="str">
        <f aca="false">IF($E571="","",IF($I571&lt;&gt;"","факт","прогноз"))</f>
        <v/>
      </c>
      <c r="X571" s="1"/>
      <c r="Y571" s="1"/>
      <c r="Z571" s="1"/>
      <c r="AA571" s="1"/>
      <c r="AB571" s="1"/>
      <c r="AC571" s="1"/>
      <c r="AD571" s="1"/>
    </row>
    <row r="572" customFormat="false" ht="18" hidden="false" customHeight="true" outlineLevel="0" collapsed="false">
      <c r="A572" s="1"/>
      <c r="B572" s="35"/>
      <c r="C572" s="8"/>
      <c r="D572" s="26"/>
      <c r="E572" s="27"/>
      <c r="F572" s="36"/>
      <c r="G572" s="36"/>
      <c r="H572" s="36"/>
      <c r="I572" s="36"/>
      <c r="J572" s="37" t="str">
        <f aca="false">IF($E572="","",IFERROR(G572/F572,""))</f>
        <v/>
      </c>
      <c r="K572" s="30" t="str">
        <f aca="false">IF($E572="","",IFERROR(E572/G572,""))</f>
        <v/>
      </c>
      <c r="L572" s="30" t="str">
        <f aca="false">IF($E572="","",IFERROR(E572/F572*1000,""))</f>
        <v/>
      </c>
      <c r="M572" s="37" t="str">
        <f aca="false">IF($E572="","",IFERROR(H572/G572,""))</f>
        <v/>
      </c>
      <c r="N572" s="30" t="str">
        <f aca="false">IF($E572="","",IFERROR(E572/H572,"—"))</f>
        <v/>
      </c>
      <c r="O572" s="30" t="str">
        <f aca="false">IF($E572="","",IFERROR(INDEX('Гео-калькулятор'!$K$7:$K$13,MATCH($C572,'Гео-калькулятор'!$B$7:$B$13,0)),""))</f>
        <v/>
      </c>
      <c r="P572" s="38" t="str">
        <f aca="false">IF($E572="","",IFERROR(N572/O572,""))</f>
        <v/>
      </c>
      <c r="Q572" s="39" t="str">
        <f aca="false">IF($E572="","",IF($I572&lt;&gt;"",$I572,N($H572)*IFERROR(INDEX('Гео-калькулятор'!$E$7:$E$13,MATCH($C572,'Гео-калькулятор'!$B$7:$B$13,0)),0)))</f>
        <v/>
      </c>
      <c r="R572" s="38" t="str">
        <f aca="false">IF($E572="","",IFERROR(Q572/H572,""))</f>
        <v/>
      </c>
      <c r="S572" s="30" t="str">
        <f aca="false">IF($E572="","",IFERROR(E572/Q572,"—"))</f>
        <v/>
      </c>
      <c r="T572" s="30" t="str">
        <f aca="false">IF($E572="","",Q572*IFERROR(INDEX('Гео-калькулятор'!$D$7:$D$13,MATCH($C572,'Гео-калькулятор'!$B$7:$B$13,0)),0))</f>
        <v/>
      </c>
      <c r="U572" s="40" t="str">
        <f aca="false">IF($E572="","",T572-E572)</f>
        <v/>
      </c>
      <c r="V572" s="41" t="str">
        <f aca="false">IF($E572="","",IFERROR(U572/E572,""))</f>
        <v/>
      </c>
      <c r="W572" s="10" t="str">
        <f aca="false">IF($E572="","",IF($I572&lt;&gt;"","факт","прогноз"))</f>
        <v/>
      </c>
      <c r="X572" s="1"/>
      <c r="Y572" s="1"/>
      <c r="Z572" s="1"/>
      <c r="AA572" s="1"/>
      <c r="AB572" s="1"/>
      <c r="AC572" s="1"/>
      <c r="AD572" s="1"/>
    </row>
    <row r="573" customFormat="false" ht="18" hidden="false" customHeight="true" outlineLevel="0" collapsed="false">
      <c r="A573" s="1"/>
      <c r="B573" s="35"/>
      <c r="C573" s="8"/>
      <c r="D573" s="26"/>
      <c r="E573" s="27"/>
      <c r="F573" s="36"/>
      <c r="G573" s="36"/>
      <c r="H573" s="36"/>
      <c r="I573" s="36"/>
      <c r="J573" s="37" t="str">
        <f aca="false">IF($E573="","",IFERROR(G573/F573,""))</f>
        <v/>
      </c>
      <c r="K573" s="30" t="str">
        <f aca="false">IF($E573="","",IFERROR(E573/G573,""))</f>
        <v/>
      </c>
      <c r="L573" s="30" t="str">
        <f aca="false">IF($E573="","",IFERROR(E573/F573*1000,""))</f>
        <v/>
      </c>
      <c r="M573" s="37" t="str">
        <f aca="false">IF($E573="","",IFERROR(H573/G573,""))</f>
        <v/>
      </c>
      <c r="N573" s="30" t="str">
        <f aca="false">IF($E573="","",IFERROR(E573/H573,"—"))</f>
        <v/>
      </c>
      <c r="O573" s="30" t="str">
        <f aca="false">IF($E573="","",IFERROR(INDEX('Гео-калькулятор'!$K$7:$K$13,MATCH($C573,'Гео-калькулятор'!$B$7:$B$13,0)),""))</f>
        <v/>
      </c>
      <c r="P573" s="38" t="str">
        <f aca="false">IF($E573="","",IFERROR(N573/O573,""))</f>
        <v/>
      </c>
      <c r="Q573" s="39" t="str">
        <f aca="false">IF($E573="","",IF($I573&lt;&gt;"",$I573,N($H573)*IFERROR(INDEX('Гео-калькулятор'!$E$7:$E$13,MATCH($C573,'Гео-калькулятор'!$B$7:$B$13,0)),0)))</f>
        <v/>
      </c>
      <c r="R573" s="38" t="str">
        <f aca="false">IF($E573="","",IFERROR(Q573/H573,""))</f>
        <v/>
      </c>
      <c r="S573" s="30" t="str">
        <f aca="false">IF($E573="","",IFERROR(E573/Q573,"—"))</f>
        <v/>
      </c>
      <c r="T573" s="30" t="str">
        <f aca="false">IF($E573="","",Q573*IFERROR(INDEX('Гео-калькулятор'!$D$7:$D$13,MATCH($C573,'Гео-калькулятор'!$B$7:$B$13,0)),0))</f>
        <v/>
      </c>
      <c r="U573" s="40" t="str">
        <f aca="false">IF($E573="","",T573-E573)</f>
        <v/>
      </c>
      <c r="V573" s="41" t="str">
        <f aca="false">IF($E573="","",IFERROR(U573/E573,""))</f>
        <v/>
      </c>
      <c r="W573" s="10" t="str">
        <f aca="false">IF($E573="","",IF($I573&lt;&gt;"","факт","прогноз"))</f>
        <v/>
      </c>
      <c r="X573" s="1"/>
      <c r="Y573" s="1"/>
      <c r="Z573" s="1"/>
      <c r="AA573" s="1"/>
      <c r="AB573" s="1"/>
      <c r="AC573" s="1"/>
      <c r="AD573" s="1"/>
    </row>
    <row r="574" customFormat="false" ht="18" hidden="false" customHeight="true" outlineLevel="0" collapsed="false">
      <c r="A574" s="1"/>
      <c r="B574" s="35"/>
      <c r="C574" s="8"/>
      <c r="D574" s="26"/>
      <c r="E574" s="27"/>
      <c r="F574" s="36"/>
      <c r="G574" s="36"/>
      <c r="H574" s="36"/>
      <c r="I574" s="36"/>
      <c r="J574" s="37" t="str">
        <f aca="false">IF($E574="","",IFERROR(G574/F574,""))</f>
        <v/>
      </c>
      <c r="K574" s="30" t="str">
        <f aca="false">IF($E574="","",IFERROR(E574/G574,""))</f>
        <v/>
      </c>
      <c r="L574" s="30" t="str">
        <f aca="false">IF($E574="","",IFERROR(E574/F574*1000,""))</f>
        <v/>
      </c>
      <c r="M574" s="37" t="str">
        <f aca="false">IF($E574="","",IFERROR(H574/G574,""))</f>
        <v/>
      </c>
      <c r="N574" s="30" t="str">
        <f aca="false">IF($E574="","",IFERROR(E574/H574,"—"))</f>
        <v/>
      </c>
      <c r="O574" s="30" t="str">
        <f aca="false">IF($E574="","",IFERROR(INDEX('Гео-калькулятор'!$K$7:$K$13,MATCH($C574,'Гео-калькулятор'!$B$7:$B$13,0)),""))</f>
        <v/>
      </c>
      <c r="P574" s="38" t="str">
        <f aca="false">IF($E574="","",IFERROR(N574/O574,""))</f>
        <v/>
      </c>
      <c r="Q574" s="39" t="str">
        <f aca="false">IF($E574="","",IF($I574&lt;&gt;"",$I574,N($H574)*IFERROR(INDEX('Гео-калькулятор'!$E$7:$E$13,MATCH($C574,'Гео-калькулятор'!$B$7:$B$13,0)),0)))</f>
        <v/>
      </c>
      <c r="R574" s="38" t="str">
        <f aca="false">IF($E574="","",IFERROR(Q574/H574,""))</f>
        <v/>
      </c>
      <c r="S574" s="30" t="str">
        <f aca="false">IF($E574="","",IFERROR(E574/Q574,"—"))</f>
        <v/>
      </c>
      <c r="T574" s="30" t="str">
        <f aca="false">IF($E574="","",Q574*IFERROR(INDEX('Гео-калькулятор'!$D$7:$D$13,MATCH($C574,'Гео-калькулятор'!$B$7:$B$13,0)),0))</f>
        <v/>
      </c>
      <c r="U574" s="40" t="str">
        <f aca="false">IF($E574="","",T574-E574)</f>
        <v/>
      </c>
      <c r="V574" s="41" t="str">
        <f aca="false">IF($E574="","",IFERROR(U574/E574,""))</f>
        <v/>
      </c>
      <c r="W574" s="10" t="str">
        <f aca="false">IF($E574="","",IF($I574&lt;&gt;"","факт","прогноз"))</f>
        <v/>
      </c>
      <c r="X574" s="1"/>
      <c r="Y574" s="1"/>
      <c r="Z574" s="1"/>
      <c r="AA574" s="1"/>
      <c r="AB574" s="1"/>
      <c r="AC574" s="1"/>
      <c r="AD574" s="1"/>
    </row>
    <row r="575" customFormat="false" ht="18" hidden="false" customHeight="true" outlineLevel="0" collapsed="false">
      <c r="A575" s="1"/>
      <c r="B575" s="35"/>
      <c r="C575" s="8"/>
      <c r="D575" s="26"/>
      <c r="E575" s="27"/>
      <c r="F575" s="36"/>
      <c r="G575" s="36"/>
      <c r="H575" s="36"/>
      <c r="I575" s="36"/>
      <c r="J575" s="37" t="str">
        <f aca="false">IF($E575="","",IFERROR(G575/F575,""))</f>
        <v/>
      </c>
      <c r="K575" s="30" t="str">
        <f aca="false">IF($E575="","",IFERROR(E575/G575,""))</f>
        <v/>
      </c>
      <c r="L575" s="30" t="str">
        <f aca="false">IF($E575="","",IFERROR(E575/F575*1000,""))</f>
        <v/>
      </c>
      <c r="M575" s="37" t="str">
        <f aca="false">IF($E575="","",IFERROR(H575/G575,""))</f>
        <v/>
      </c>
      <c r="N575" s="30" t="str">
        <f aca="false">IF($E575="","",IFERROR(E575/H575,"—"))</f>
        <v/>
      </c>
      <c r="O575" s="30" t="str">
        <f aca="false">IF($E575="","",IFERROR(INDEX('Гео-калькулятор'!$K$7:$K$13,MATCH($C575,'Гео-калькулятор'!$B$7:$B$13,0)),""))</f>
        <v/>
      </c>
      <c r="P575" s="38" t="str">
        <f aca="false">IF($E575="","",IFERROR(N575/O575,""))</f>
        <v/>
      </c>
      <c r="Q575" s="39" t="str">
        <f aca="false">IF($E575="","",IF($I575&lt;&gt;"",$I575,N($H575)*IFERROR(INDEX('Гео-калькулятор'!$E$7:$E$13,MATCH($C575,'Гео-калькулятор'!$B$7:$B$13,0)),0)))</f>
        <v/>
      </c>
      <c r="R575" s="38" t="str">
        <f aca="false">IF($E575="","",IFERROR(Q575/H575,""))</f>
        <v/>
      </c>
      <c r="S575" s="30" t="str">
        <f aca="false">IF($E575="","",IFERROR(E575/Q575,"—"))</f>
        <v/>
      </c>
      <c r="T575" s="30" t="str">
        <f aca="false">IF($E575="","",Q575*IFERROR(INDEX('Гео-калькулятор'!$D$7:$D$13,MATCH($C575,'Гео-калькулятор'!$B$7:$B$13,0)),0))</f>
        <v/>
      </c>
      <c r="U575" s="40" t="str">
        <f aca="false">IF($E575="","",T575-E575)</f>
        <v/>
      </c>
      <c r="V575" s="41" t="str">
        <f aca="false">IF($E575="","",IFERROR(U575/E575,""))</f>
        <v/>
      </c>
      <c r="W575" s="10" t="str">
        <f aca="false">IF($E575="","",IF($I575&lt;&gt;"","факт","прогноз"))</f>
        <v/>
      </c>
      <c r="X575" s="1"/>
      <c r="Y575" s="1"/>
      <c r="Z575" s="1"/>
      <c r="AA575" s="1"/>
      <c r="AB575" s="1"/>
      <c r="AC575" s="1"/>
      <c r="AD575" s="1"/>
    </row>
    <row r="576" customFormat="false" ht="18" hidden="false" customHeight="true" outlineLevel="0" collapsed="false">
      <c r="A576" s="1"/>
      <c r="B576" s="35"/>
      <c r="C576" s="8"/>
      <c r="D576" s="26"/>
      <c r="E576" s="27"/>
      <c r="F576" s="36"/>
      <c r="G576" s="36"/>
      <c r="H576" s="36"/>
      <c r="I576" s="36"/>
      <c r="J576" s="37" t="str">
        <f aca="false">IF($E576="","",IFERROR(G576/F576,""))</f>
        <v/>
      </c>
      <c r="K576" s="30" t="str">
        <f aca="false">IF($E576="","",IFERROR(E576/G576,""))</f>
        <v/>
      </c>
      <c r="L576" s="30" t="str">
        <f aca="false">IF($E576="","",IFERROR(E576/F576*1000,""))</f>
        <v/>
      </c>
      <c r="M576" s="37" t="str">
        <f aca="false">IF($E576="","",IFERROR(H576/G576,""))</f>
        <v/>
      </c>
      <c r="N576" s="30" t="str">
        <f aca="false">IF($E576="","",IFERROR(E576/H576,"—"))</f>
        <v/>
      </c>
      <c r="O576" s="30" t="str">
        <f aca="false">IF($E576="","",IFERROR(INDEX('Гео-калькулятор'!$K$7:$K$13,MATCH($C576,'Гео-калькулятор'!$B$7:$B$13,0)),""))</f>
        <v/>
      </c>
      <c r="P576" s="38" t="str">
        <f aca="false">IF($E576="","",IFERROR(N576/O576,""))</f>
        <v/>
      </c>
      <c r="Q576" s="39" t="str">
        <f aca="false">IF($E576="","",IF($I576&lt;&gt;"",$I576,N($H576)*IFERROR(INDEX('Гео-калькулятор'!$E$7:$E$13,MATCH($C576,'Гео-калькулятор'!$B$7:$B$13,0)),0)))</f>
        <v/>
      </c>
      <c r="R576" s="38" t="str">
        <f aca="false">IF($E576="","",IFERROR(Q576/H576,""))</f>
        <v/>
      </c>
      <c r="S576" s="30" t="str">
        <f aca="false">IF($E576="","",IFERROR(E576/Q576,"—"))</f>
        <v/>
      </c>
      <c r="T576" s="30" t="str">
        <f aca="false">IF($E576="","",Q576*IFERROR(INDEX('Гео-калькулятор'!$D$7:$D$13,MATCH($C576,'Гео-калькулятор'!$B$7:$B$13,0)),0))</f>
        <v/>
      </c>
      <c r="U576" s="40" t="str">
        <f aca="false">IF($E576="","",T576-E576)</f>
        <v/>
      </c>
      <c r="V576" s="41" t="str">
        <f aca="false">IF($E576="","",IFERROR(U576/E576,""))</f>
        <v/>
      </c>
      <c r="W576" s="10" t="str">
        <f aca="false">IF($E576="","",IF($I576&lt;&gt;"","факт","прогноз"))</f>
        <v/>
      </c>
      <c r="X576" s="1"/>
      <c r="Y576" s="1"/>
      <c r="Z576" s="1"/>
      <c r="AA576" s="1"/>
      <c r="AB576" s="1"/>
      <c r="AC576" s="1"/>
      <c r="AD576" s="1"/>
    </row>
    <row r="577" customFormat="false" ht="18" hidden="false" customHeight="true" outlineLevel="0" collapsed="false">
      <c r="A577" s="1"/>
      <c r="B577" s="35"/>
      <c r="C577" s="8"/>
      <c r="D577" s="26"/>
      <c r="E577" s="27"/>
      <c r="F577" s="36"/>
      <c r="G577" s="36"/>
      <c r="H577" s="36"/>
      <c r="I577" s="36"/>
      <c r="J577" s="37" t="str">
        <f aca="false">IF($E577="","",IFERROR(G577/F577,""))</f>
        <v/>
      </c>
      <c r="K577" s="30" t="str">
        <f aca="false">IF($E577="","",IFERROR(E577/G577,""))</f>
        <v/>
      </c>
      <c r="L577" s="30" t="str">
        <f aca="false">IF($E577="","",IFERROR(E577/F577*1000,""))</f>
        <v/>
      </c>
      <c r="M577" s="37" t="str">
        <f aca="false">IF($E577="","",IFERROR(H577/G577,""))</f>
        <v/>
      </c>
      <c r="N577" s="30" t="str">
        <f aca="false">IF($E577="","",IFERROR(E577/H577,"—"))</f>
        <v/>
      </c>
      <c r="O577" s="30" t="str">
        <f aca="false">IF($E577="","",IFERROR(INDEX('Гео-калькулятор'!$K$7:$K$13,MATCH($C577,'Гео-калькулятор'!$B$7:$B$13,0)),""))</f>
        <v/>
      </c>
      <c r="P577" s="38" t="str">
        <f aca="false">IF($E577="","",IFERROR(N577/O577,""))</f>
        <v/>
      </c>
      <c r="Q577" s="39" t="str">
        <f aca="false">IF($E577="","",IF($I577&lt;&gt;"",$I577,N($H577)*IFERROR(INDEX('Гео-калькулятор'!$E$7:$E$13,MATCH($C577,'Гео-калькулятор'!$B$7:$B$13,0)),0)))</f>
        <v/>
      </c>
      <c r="R577" s="38" t="str">
        <f aca="false">IF($E577="","",IFERROR(Q577/H577,""))</f>
        <v/>
      </c>
      <c r="S577" s="30" t="str">
        <f aca="false">IF($E577="","",IFERROR(E577/Q577,"—"))</f>
        <v/>
      </c>
      <c r="T577" s="30" t="str">
        <f aca="false">IF($E577="","",Q577*IFERROR(INDEX('Гео-калькулятор'!$D$7:$D$13,MATCH($C577,'Гео-калькулятор'!$B$7:$B$13,0)),0))</f>
        <v/>
      </c>
      <c r="U577" s="40" t="str">
        <f aca="false">IF($E577="","",T577-E577)</f>
        <v/>
      </c>
      <c r="V577" s="41" t="str">
        <f aca="false">IF($E577="","",IFERROR(U577/E577,""))</f>
        <v/>
      </c>
      <c r="W577" s="10" t="str">
        <f aca="false">IF($E577="","",IF($I577&lt;&gt;"","факт","прогноз"))</f>
        <v/>
      </c>
      <c r="X577" s="1"/>
      <c r="Y577" s="1"/>
      <c r="Z577" s="1"/>
      <c r="AA577" s="1"/>
      <c r="AB577" s="1"/>
      <c r="AC577" s="1"/>
      <c r="AD577" s="1"/>
    </row>
    <row r="578" customFormat="false" ht="18" hidden="false" customHeight="true" outlineLevel="0" collapsed="false">
      <c r="A578" s="1"/>
      <c r="B578" s="35"/>
      <c r="C578" s="8"/>
      <c r="D578" s="26"/>
      <c r="E578" s="27"/>
      <c r="F578" s="36"/>
      <c r="G578" s="36"/>
      <c r="H578" s="36"/>
      <c r="I578" s="36"/>
      <c r="J578" s="37" t="str">
        <f aca="false">IF($E578="","",IFERROR(G578/F578,""))</f>
        <v/>
      </c>
      <c r="K578" s="30" t="str">
        <f aca="false">IF($E578="","",IFERROR(E578/G578,""))</f>
        <v/>
      </c>
      <c r="L578" s="30" t="str">
        <f aca="false">IF($E578="","",IFERROR(E578/F578*1000,""))</f>
        <v/>
      </c>
      <c r="M578" s="37" t="str">
        <f aca="false">IF($E578="","",IFERROR(H578/G578,""))</f>
        <v/>
      </c>
      <c r="N578" s="30" t="str">
        <f aca="false">IF($E578="","",IFERROR(E578/H578,"—"))</f>
        <v/>
      </c>
      <c r="O578" s="30" t="str">
        <f aca="false">IF($E578="","",IFERROR(INDEX('Гео-калькулятор'!$K$7:$K$13,MATCH($C578,'Гео-калькулятор'!$B$7:$B$13,0)),""))</f>
        <v/>
      </c>
      <c r="P578" s="38" t="str">
        <f aca="false">IF($E578="","",IFERROR(N578/O578,""))</f>
        <v/>
      </c>
      <c r="Q578" s="39" t="str">
        <f aca="false">IF($E578="","",IF($I578&lt;&gt;"",$I578,N($H578)*IFERROR(INDEX('Гео-калькулятор'!$E$7:$E$13,MATCH($C578,'Гео-калькулятор'!$B$7:$B$13,0)),0)))</f>
        <v/>
      </c>
      <c r="R578" s="38" t="str">
        <f aca="false">IF($E578="","",IFERROR(Q578/H578,""))</f>
        <v/>
      </c>
      <c r="S578" s="30" t="str">
        <f aca="false">IF($E578="","",IFERROR(E578/Q578,"—"))</f>
        <v/>
      </c>
      <c r="T578" s="30" t="str">
        <f aca="false">IF($E578="","",Q578*IFERROR(INDEX('Гео-калькулятор'!$D$7:$D$13,MATCH($C578,'Гео-калькулятор'!$B$7:$B$13,0)),0))</f>
        <v/>
      </c>
      <c r="U578" s="40" t="str">
        <f aca="false">IF($E578="","",T578-E578)</f>
        <v/>
      </c>
      <c r="V578" s="41" t="str">
        <f aca="false">IF($E578="","",IFERROR(U578/E578,""))</f>
        <v/>
      </c>
      <c r="W578" s="10" t="str">
        <f aca="false">IF($E578="","",IF($I578&lt;&gt;"","факт","прогноз"))</f>
        <v/>
      </c>
      <c r="X578" s="1"/>
      <c r="Y578" s="1"/>
      <c r="Z578" s="1"/>
      <c r="AA578" s="1"/>
      <c r="AB578" s="1"/>
      <c r="AC578" s="1"/>
      <c r="AD578" s="1"/>
    </row>
    <row r="579" customFormat="false" ht="18" hidden="false" customHeight="true" outlineLevel="0" collapsed="false">
      <c r="A579" s="1"/>
      <c r="B579" s="35"/>
      <c r="C579" s="8"/>
      <c r="D579" s="26"/>
      <c r="E579" s="27"/>
      <c r="F579" s="36"/>
      <c r="G579" s="36"/>
      <c r="H579" s="36"/>
      <c r="I579" s="36"/>
      <c r="J579" s="37" t="str">
        <f aca="false">IF($E579="","",IFERROR(G579/F579,""))</f>
        <v/>
      </c>
      <c r="K579" s="30" t="str">
        <f aca="false">IF($E579="","",IFERROR(E579/G579,""))</f>
        <v/>
      </c>
      <c r="L579" s="30" t="str">
        <f aca="false">IF($E579="","",IFERROR(E579/F579*1000,""))</f>
        <v/>
      </c>
      <c r="M579" s="37" t="str">
        <f aca="false">IF($E579="","",IFERROR(H579/G579,""))</f>
        <v/>
      </c>
      <c r="N579" s="30" t="str">
        <f aca="false">IF($E579="","",IFERROR(E579/H579,"—"))</f>
        <v/>
      </c>
      <c r="O579" s="30" t="str">
        <f aca="false">IF($E579="","",IFERROR(INDEX('Гео-калькулятор'!$K$7:$K$13,MATCH($C579,'Гео-калькулятор'!$B$7:$B$13,0)),""))</f>
        <v/>
      </c>
      <c r="P579" s="38" t="str">
        <f aca="false">IF($E579="","",IFERROR(N579/O579,""))</f>
        <v/>
      </c>
      <c r="Q579" s="39" t="str">
        <f aca="false">IF($E579="","",IF($I579&lt;&gt;"",$I579,N($H579)*IFERROR(INDEX('Гео-калькулятор'!$E$7:$E$13,MATCH($C579,'Гео-калькулятор'!$B$7:$B$13,0)),0)))</f>
        <v/>
      </c>
      <c r="R579" s="38" t="str">
        <f aca="false">IF($E579="","",IFERROR(Q579/H579,""))</f>
        <v/>
      </c>
      <c r="S579" s="30" t="str">
        <f aca="false">IF($E579="","",IFERROR(E579/Q579,"—"))</f>
        <v/>
      </c>
      <c r="T579" s="30" t="str">
        <f aca="false">IF($E579="","",Q579*IFERROR(INDEX('Гео-калькулятор'!$D$7:$D$13,MATCH($C579,'Гео-калькулятор'!$B$7:$B$13,0)),0))</f>
        <v/>
      </c>
      <c r="U579" s="40" t="str">
        <f aca="false">IF($E579="","",T579-E579)</f>
        <v/>
      </c>
      <c r="V579" s="41" t="str">
        <f aca="false">IF($E579="","",IFERROR(U579/E579,""))</f>
        <v/>
      </c>
      <c r="W579" s="10" t="str">
        <f aca="false">IF($E579="","",IF($I579&lt;&gt;"","факт","прогноз"))</f>
        <v/>
      </c>
      <c r="X579" s="1"/>
      <c r="Y579" s="1"/>
      <c r="Z579" s="1"/>
      <c r="AA579" s="1"/>
      <c r="AB579" s="1"/>
      <c r="AC579" s="1"/>
      <c r="AD579" s="1"/>
    </row>
    <row r="580" customFormat="false" ht="18" hidden="false" customHeight="true" outlineLevel="0" collapsed="false">
      <c r="A580" s="1"/>
      <c r="B580" s="35"/>
      <c r="C580" s="8"/>
      <c r="D580" s="26"/>
      <c r="E580" s="27"/>
      <c r="F580" s="36"/>
      <c r="G580" s="36"/>
      <c r="H580" s="36"/>
      <c r="I580" s="36"/>
      <c r="J580" s="37" t="str">
        <f aca="false">IF($E580="","",IFERROR(G580/F580,""))</f>
        <v/>
      </c>
      <c r="K580" s="30" t="str">
        <f aca="false">IF($E580="","",IFERROR(E580/G580,""))</f>
        <v/>
      </c>
      <c r="L580" s="30" t="str">
        <f aca="false">IF($E580="","",IFERROR(E580/F580*1000,""))</f>
        <v/>
      </c>
      <c r="M580" s="37" t="str">
        <f aca="false">IF($E580="","",IFERROR(H580/G580,""))</f>
        <v/>
      </c>
      <c r="N580" s="30" t="str">
        <f aca="false">IF($E580="","",IFERROR(E580/H580,"—"))</f>
        <v/>
      </c>
      <c r="O580" s="30" t="str">
        <f aca="false">IF($E580="","",IFERROR(INDEX('Гео-калькулятор'!$K$7:$K$13,MATCH($C580,'Гео-калькулятор'!$B$7:$B$13,0)),""))</f>
        <v/>
      </c>
      <c r="P580" s="38" t="str">
        <f aca="false">IF($E580="","",IFERROR(N580/O580,""))</f>
        <v/>
      </c>
      <c r="Q580" s="39" t="str">
        <f aca="false">IF($E580="","",IF($I580&lt;&gt;"",$I580,N($H580)*IFERROR(INDEX('Гео-калькулятор'!$E$7:$E$13,MATCH($C580,'Гео-калькулятор'!$B$7:$B$13,0)),0)))</f>
        <v/>
      </c>
      <c r="R580" s="38" t="str">
        <f aca="false">IF($E580="","",IFERROR(Q580/H580,""))</f>
        <v/>
      </c>
      <c r="S580" s="30" t="str">
        <f aca="false">IF($E580="","",IFERROR(E580/Q580,"—"))</f>
        <v/>
      </c>
      <c r="T580" s="30" t="str">
        <f aca="false">IF($E580="","",Q580*IFERROR(INDEX('Гео-калькулятор'!$D$7:$D$13,MATCH($C580,'Гео-калькулятор'!$B$7:$B$13,0)),0))</f>
        <v/>
      </c>
      <c r="U580" s="40" t="str">
        <f aca="false">IF($E580="","",T580-E580)</f>
        <v/>
      </c>
      <c r="V580" s="41" t="str">
        <f aca="false">IF($E580="","",IFERROR(U580/E580,""))</f>
        <v/>
      </c>
      <c r="W580" s="10" t="str">
        <f aca="false">IF($E580="","",IF($I580&lt;&gt;"","факт","прогноз"))</f>
        <v/>
      </c>
      <c r="X580" s="1"/>
      <c r="Y580" s="1"/>
      <c r="Z580" s="1"/>
      <c r="AA580" s="1"/>
      <c r="AB580" s="1"/>
      <c r="AC580" s="1"/>
      <c r="AD580" s="1"/>
    </row>
    <row r="581" customFormat="false" ht="18" hidden="false" customHeight="true" outlineLevel="0" collapsed="false">
      <c r="A581" s="1"/>
      <c r="B581" s="35"/>
      <c r="C581" s="8"/>
      <c r="D581" s="26"/>
      <c r="E581" s="27"/>
      <c r="F581" s="36"/>
      <c r="G581" s="36"/>
      <c r="H581" s="36"/>
      <c r="I581" s="36"/>
      <c r="J581" s="37" t="str">
        <f aca="false">IF($E581="","",IFERROR(G581/F581,""))</f>
        <v/>
      </c>
      <c r="K581" s="30" t="str">
        <f aca="false">IF($E581="","",IFERROR(E581/G581,""))</f>
        <v/>
      </c>
      <c r="L581" s="30" t="str">
        <f aca="false">IF($E581="","",IFERROR(E581/F581*1000,""))</f>
        <v/>
      </c>
      <c r="M581" s="37" t="str">
        <f aca="false">IF($E581="","",IFERROR(H581/G581,""))</f>
        <v/>
      </c>
      <c r="N581" s="30" t="str">
        <f aca="false">IF($E581="","",IFERROR(E581/H581,"—"))</f>
        <v/>
      </c>
      <c r="O581" s="30" t="str">
        <f aca="false">IF($E581="","",IFERROR(INDEX('Гео-калькулятор'!$K$7:$K$13,MATCH($C581,'Гео-калькулятор'!$B$7:$B$13,0)),""))</f>
        <v/>
      </c>
      <c r="P581" s="38" t="str">
        <f aca="false">IF($E581="","",IFERROR(N581/O581,""))</f>
        <v/>
      </c>
      <c r="Q581" s="39" t="str">
        <f aca="false">IF($E581="","",IF($I581&lt;&gt;"",$I581,N($H581)*IFERROR(INDEX('Гео-калькулятор'!$E$7:$E$13,MATCH($C581,'Гео-калькулятор'!$B$7:$B$13,0)),0)))</f>
        <v/>
      </c>
      <c r="R581" s="38" t="str">
        <f aca="false">IF($E581="","",IFERROR(Q581/H581,""))</f>
        <v/>
      </c>
      <c r="S581" s="30" t="str">
        <f aca="false">IF($E581="","",IFERROR(E581/Q581,"—"))</f>
        <v/>
      </c>
      <c r="T581" s="30" t="str">
        <f aca="false">IF($E581="","",Q581*IFERROR(INDEX('Гео-калькулятор'!$D$7:$D$13,MATCH($C581,'Гео-калькулятор'!$B$7:$B$13,0)),0))</f>
        <v/>
      </c>
      <c r="U581" s="40" t="str">
        <f aca="false">IF($E581="","",T581-E581)</f>
        <v/>
      </c>
      <c r="V581" s="41" t="str">
        <f aca="false">IF($E581="","",IFERROR(U581/E581,""))</f>
        <v/>
      </c>
      <c r="W581" s="10" t="str">
        <f aca="false">IF($E581="","",IF($I581&lt;&gt;"","факт","прогноз"))</f>
        <v/>
      </c>
      <c r="X581" s="1"/>
      <c r="Y581" s="1"/>
      <c r="Z581" s="1"/>
      <c r="AA581" s="1"/>
      <c r="AB581" s="1"/>
      <c r="AC581" s="1"/>
      <c r="AD581" s="1"/>
    </row>
    <row r="582" customFormat="false" ht="18" hidden="false" customHeight="true" outlineLevel="0" collapsed="false">
      <c r="A582" s="1"/>
      <c r="B582" s="35"/>
      <c r="C582" s="8"/>
      <c r="D582" s="26"/>
      <c r="E582" s="27"/>
      <c r="F582" s="36"/>
      <c r="G582" s="36"/>
      <c r="H582" s="36"/>
      <c r="I582" s="36"/>
      <c r="J582" s="37" t="str">
        <f aca="false">IF($E582="","",IFERROR(G582/F582,""))</f>
        <v/>
      </c>
      <c r="K582" s="30" t="str">
        <f aca="false">IF($E582="","",IFERROR(E582/G582,""))</f>
        <v/>
      </c>
      <c r="L582" s="30" t="str">
        <f aca="false">IF($E582="","",IFERROR(E582/F582*1000,""))</f>
        <v/>
      </c>
      <c r="M582" s="37" t="str">
        <f aca="false">IF($E582="","",IFERROR(H582/G582,""))</f>
        <v/>
      </c>
      <c r="N582" s="30" t="str">
        <f aca="false">IF($E582="","",IFERROR(E582/H582,"—"))</f>
        <v/>
      </c>
      <c r="O582" s="30" t="str">
        <f aca="false">IF($E582="","",IFERROR(INDEX('Гео-калькулятор'!$K$7:$K$13,MATCH($C582,'Гео-калькулятор'!$B$7:$B$13,0)),""))</f>
        <v/>
      </c>
      <c r="P582" s="38" t="str">
        <f aca="false">IF($E582="","",IFERROR(N582/O582,""))</f>
        <v/>
      </c>
      <c r="Q582" s="39" t="str">
        <f aca="false">IF($E582="","",IF($I582&lt;&gt;"",$I582,N($H582)*IFERROR(INDEX('Гео-калькулятор'!$E$7:$E$13,MATCH($C582,'Гео-калькулятор'!$B$7:$B$13,0)),0)))</f>
        <v/>
      </c>
      <c r="R582" s="38" t="str">
        <f aca="false">IF($E582="","",IFERROR(Q582/H582,""))</f>
        <v/>
      </c>
      <c r="S582" s="30" t="str">
        <f aca="false">IF($E582="","",IFERROR(E582/Q582,"—"))</f>
        <v/>
      </c>
      <c r="T582" s="30" t="str">
        <f aca="false">IF($E582="","",Q582*IFERROR(INDEX('Гео-калькулятор'!$D$7:$D$13,MATCH($C582,'Гео-калькулятор'!$B$7:$B$13,0)),0))</f>
        <v/>
      </c>
      <c r="U582" s="40" t="str">
        <f aca="false">IF($E582="","",T582-E582)</f>
        <v/>
      </c>
      <c r="V582" s="41" t="str">
        <f aca="false">IF($E582="","",IFERROR(U582/E582,""))</f>
        <v/>
      </c>
      <c r="W582" s="10" t="str">
        <f aca="false">IF($E582="","",IF($I582&lt;&gt;"","факт","прогноз"))</f>
        <v/>
      </c>
      <c r="X582" s="1"/>
      <c r="Y582" s="1"/>
      <c r="Z582" s="1"/>
      <c r="AA582" s="1"/>
      <c r="AB582" s="1"/>
      <c r="AC582" s="1"/>
      <c r="AD582" s="1"/>
    </row>
    <row r="583" customFormat="false" ht="18" hidden="false" customHeight="true" outlineLevel="0" collapsed="false">
      <c r="A583" s="1"/>
      <c r="B583" s="35"/>
      <c r="C583" s="8"/>
      <c r="D583" s="26"/>
      <c r="E583" s="27"/>
      <c r="F583" s="36"/>
      <c r="G583" s="36"/>
      <c r="H583" s="36"/>
      <c r="I583" s="36"/>
      <c r="J583" s="37" t="str">
        <f aca="false">IF($E583="","",IFERROR(G583/F583,""))</f>
        <v/>
      </c>
      <c r="K583" s="30" t="str">
        <f aca="false">IF($E583="","",IFERROR(E583/G583,""))</f>
        <v/>
      </c>
      <c r="L583" s="30" t="str">
        <f aca="false">IF($E583="","",IFERROR(E583/F583*1000,""))</f>
        <v/>
      </c>
      <c r="M583" s="37" t="str">
        <f aca="false">IF($E583="","",IFERROR(H583/G583,""))</f>
        <v/>
      </c>
      <c r="N583" s="30" t="str">
        <f aca="false">IF($E583="","",IFERROR(E583/H583,"—"))</f>
        <v/>
      </c>
      <c r="O583" s="30" t="str">
        <f aca="false">IF($E583="","",IFERROR(INDEX('Гео-калькулятор'!$K$7:$K$13,MATCH($C583,'Гео-калькулятор'!$B$7:$B$13,0)),""))</f>
        <v/>
      </c>
      <c r="P583" s="38" t="str">
        <f aca="false">IF($E583="","",IFERROR(N583/O583,""))</f>
        <v/>
      </c>
      <c r="Q583" s="39" t="str">
        <f aca="false">IF($E583="","",IF($I583&lt;&gt;"",$I583,N($H583)*IFERROR(INDEX('Гео-калькулятор'!$E$7:$E$13,MATCH($C583,'Гео-калькулятор'!$B$7:$B$13,0)),0)))</f>
        <v/>
      </c>
      <c r="R583" s="38" t="str">
        <f aca="false">IF($E583="","",IFERROR(Q583/H583,""))</f>
        <v/>
      </c>
      <c r="S583" s="30" t="str">
        <f aca="false">IF($E583="","",IFERROR(E583/Q583,"—"))</f>
        <v/>
      </c>
      <c r="T583" s="30" t="str">
        <f aca="false">IF($E583="","",Q583*IFERROR(INDEX('Гео-калькулятор'!$D$7:$D$13,MATCH($C583,'Гео-калькулятор'!$B$7:$B$13,0)),0))</f>
        <v/>
      </c>
      <c r="U583" s="40" t="str">
        <f aca="false">IF($E583="","",T583-E583)</f>
        <v/>
      </c>
      <c r="V583" s="41" t="str">
        <f aca="false">IF($E583="","",IFERROR(U583/E583,""))</f>
        <v/>
      </c>
      <c r="W583" s="10" t="str">
        <f aca="false">IF($E583="","",IF($I583&lt;&gt;"","факт","прогноз"))</f>
        <v/>
      </c>
      <c r="X583" s="1"/>
      <c r="Y583" s="1"/>
      <c r="Z583" s="1"/>
      <c r="AA583" s="1"/>
      <c r="AB583" s="1"/>
      <c r="AC583" s="1"/>
      <c r="AD583" s="1"/>
    </row>
    <row r="584" customFormat="false" ht="18" hidden="false" customHeight="true" outlineLevel="0" collapsed="false">
      <c r="A584" s="1"/>
      <c r="B584" s="35"/>
      <c r="C584" s="8"/>
      <c r="D584" s="26"/>
      <c r="E584" s="27"/>
      <c r="F584" s="36"/>
      <c r="G584" s="36"/>
      <c r="H584" s="36"/>
      <c r="I584" s="36"/>
      <c r="J584" s="37" t="str">
        <f aca="false">IF($E584="","",IFERROR(G584/F584,""))</f>
        <v/>
      </c>
      <c r="K584" s="30" t="str">
        <f aca="false">IF($E584="","",IFERROR(E584/G584,""))</f>
        <v/>
      </c>
      <c r="L584" s="30" t="str">
        <f aca="false">IF($E584="","",IFERROR(E584/F584*1000,""))</f>
        <v/>
      </c>
      <c r="M584" s="37" t="str">
        <f aca="false">IF($E584="","",IFERROR(H584/G584,""))</f>
        <v/>
      </c>
      <c r="N584" s="30" t="str">
        <f aca="false">IF($E584="","",IFERROR(E584/H584,"—"))</f>
        <v/>
      </c>
      <c r="O584" s="30" t="str">
        <f aca="false">IF($E584="","",IFERROR(INDEX('Гео-калькулятор'!$K$7:$K$13,MATCH($C584,'Гео-калькулятор'!$B$7:$B$13,0)),""))</f>
        <v/>
      </c>
      <c r="P584" s="38" t="str">
        <f aca="false">IF($E584="","",IFERROR(N584/O584,""))</f>
        <v/>
      </c>
      <c r="Q584" s="39" t="str">
        <f aca="false">IF($E584="","",IF($I584&lt;&gt;"",$I584,N($H584)*IFERROR(INDEX('Гео-калькулятор'!$E$7:$E$13,MATCH($C584,'Гео-калькулятор'!$B$7:$B$13,0)),0)))</f>
        <v/>
      </c>
      <c r="R584" s="38" t="str">
        <f aca="false">IF($E584="","",IFERROR(Q584/H584,""))</f>
        <v/>
      </c>
      <c r="S584" s="30" t="str">
        <f aca="false">IF($E584="","",IFERROR(E584/Q584,"—"))</f>
        <v/>
      </c>
      <c r="T584" s="30" t="str">
        <f aca="false">IF($E584="","",Q584*IFERROR(INDEX('Гео-калькулятор'!$D$7:$D$13,MATCH($C584,'Гео-калькулятор'!$B$7:$B$13,0)),0))</f>
        <v/>
      </c>
      <c r="U584" s="40" t="str">
        <f aca="false">IF($E584="","",T584-E584)</f>
        <v/>
      </c>
      <c r="V584" s="41" t="str">
        <f aca="false">IF($E584="","",IFERROR(U584/E584,""))</f>
        <v/>
      </c>
      <c r="W584" s="10" t="str">
        <f aca="false">IF($E584="","",IF($I584&lt;&gt;"","факт","прогноз"))</f>
        <v/>
      </c>
      <c r="X584" s="1"/>
      <c r="Y584" s="1"/>
      <c r="Z584" s="1"/>
      <c r="AA584" s="1"/>
      <c r="AB584" s="1"/>
      <c r="AC584" s="1"/>
      <c r="AD584" s="1"/>
    </row>
    <row r="585" customFormat="false" ht="18" hidden="false" customHeight="true" outlineLevel="0" collapsed="false">
      <c r="A585" s="1"/>
      <c r="B585" s="35"/>
      <c r="C585" s="8"/>
      <c r="D585" s="26"/>
      <c r="E585" s="27"/>
      <c r="F585" s="36"/>
      <c r="G585" s="36"/>
      <c r="H585" s="36"/>
      <c r="I585" s="36"/>
      <c r="J585" s="37" t="str">
        <f aca="false">IF($E585="","",IFERROR(G585/F585,""))</f>
        <v/>
      </c>
      <c r="K585" s="30" t="str">
        <f aca="false">IF($E585="","",IFERROR(E585/G585,""))</f>
        <v/>
      </c>
      <c r="L585" s="30" t="str">
        <f aca="false">IF($E585="","",IFERROR(E585/F585*1000,""))</f>
        <v/>
      </c>
      <c r="M585" s="37" t="str">
        <f aca="false">IF($E585="","",IFERROR(H585/G585,""))</f>
        <v/>
      </c>
      <c r="N585" s="30" t="str">
        <f aca="false">IF($E585="","",IFERROR(E585/H585,"—"))</f>
        <v/>
      </c>
      <c r="O585" s="30" t="str">
        <f aca="false">IF($E585="","",IFERROR(INDEX('Гео-калькулятор'!$K$7:$K$13,MATCH($C585,'Гео-калькулятор'!$B$7:$B$13,0)),""))</f>
        <v/>
      </c>
      <c r="P585" s="38" t="str">
        <f aca="false">IF($E585="","",IFERROR(N585/O585,""))</f>
        <v/>
      </c>
      <c r="Q585" s="39" t="str">
        <f aca="false">IF($E585="","",IF($I585&lt;&gt;"",$I585,N($H585)*IFERROR(INDEX('Гео-калькулятор'!$E$7:$E$13,MATCH($C585,'Гео-калькулятор'!$B$7:$B$13,0)),0)))</f>
        <v/>
      </c>
      <c r="R585" s="38" t="str">
        <f aca="false">IF($E585="","",IFERROR(Q585/H585,""))</f>
        <v/>
      </c>
      <c r="S585" s="30" t="str">
        <f aca="false">IF($E585="","",IFERROR(E585/Q585,"—"))</f>
        <v/>
      </c>
      <c r="T585" s="30" t="str">
        <f aca="false">IF($E585="","",Q585*IFERROR(INDEX('Гео-калькулятор'!$D$7:$D$13,MATCH($C585,'Гео-калькулятор'!$B$7:$B$13,0)),0))</f>
        <v/>
      </c>
      <c r="U585" s="40" t="str">
        <f aca="false">IF($E585="","",T585-E585)</f>
        <v/>
      </c>
      <c r="V585" s="41" t="str">
        <f aca="false">IF($E585="","",IFERROR(U585/E585,""))</f>
        <v/>
      </c>
      <c r="W585" s="10" t="str">
        <f aca="false">IF($E585="","",IF($I585&lt;&gt;"","факт","прогноз"))</f>
        <v/>
      </c>
      <c r="X585" s="1"/>
      <c r="Y585" s="1"/>
      <c r="Z585" s="1"/>
      <c r="AA585" s="1"/>
      <c r="AB585" s="1"/>
      <c r="AC585" s="1"/>
      <c r="AD585" s="1"/>
    </row>
    <row r="586" customFormat="false" ht="18" hidden="false" customHeight="true" outlineLevel="0" collapsed="false">
      <c r="A586" s="1"/>
      <c r="B586" s="35"/>
      <c r="C586" s="8"/>
      <c r="D586" s="26"/>
      <c r="E586" s="27"/>
      <c r="F586" s="36"/>
      <c r="G586" s="36"/>
      <c r="H586" s="36"/>
      <c r="I586" s="36"/>
      <c r="J586" s="37" t="str">
        <f aca="false">IF($E586="","",IFERROR(G586/F586,""))</f>
        <v/>
      </c>
      <c r="K586" s="30" t="str">
        <f aca="false">IF($E586="","",IFERROR(E586/G586,""))</f>
        <v/>
      </c>
      <c r="L586" s="30" t="str">
        <f aca="false">IF($E586="","",IFERROR(E586/F586*1000,""))</f>
        <v/>
      </c>
      <c r="M586" s="37" t="str">
        <f aca="false">IF($E586="","",IFERROR(H586/G586,""))</f>
        <v/>
      </c>
      <c r="N586" s="30" t="str">
        <f aca="false">IF($E586="","",IFERROR(E586/H586,"—"))</f>
        <v/>
      </c>
      <c r="O586" s="30" t="str">
        <f aca="false">IF($E586="","",IFERROR(INDEX('Гео-калькулятор'!$K$7:$K$13,MATCH($C586,'Гео-калькулятор'!$B$7:$B$13,0)),""))</f>
        <v/>
      </c>
      <c r="P586" s="38" t="str">
        <f aca="false">IF($E586="","",IFERROR(N586/O586,""))</f>
        <v/>
      </c>
      <c r="Q586" s="39" t="str">
        <f aca="false">IF($E586="","",IF($I586&lt;&gt;"",$I586,N($H586)*IFERROR(INDEX('Гео-калькулятор'!$E$7:$E$13,MATCH($C586,'Гео-калькулятор'!$B$7:$B$13,0)),0)))</f>
        <v/>
      </c>
      <c r="R586" s="38" t="str">
        <f aca="false">IF($E586="","",IFERROR(Q586/H586,""))</f>
        <v/>
      </c>
      <c r="S586" s="30" t="str">
        <f aca="false">IF($E586="","",IFERROR(E586/Q586,"—"))</f>
        <v/>
      </c>
      <c r="T586" s="30" t="str">
        <f aca="false">IF($E586="","",Q586*IFERROR(INDEX('Гео-калькулятор'!$D$7:$D$13,MATCH($C586,'Гео-калькулятор'!$B$7:$B$13,0)),0))</f>
        <v/>
      </c>
      <c r="U586" s="40" t="str">
        <f aca="false">IF($E586="","",T586-E586)</f>
        <v/>
      </c>
      <c r="V586" s="41" t="str">
        <f aca="false">IF($E586="","",IFERROR(U586/E586,""))</f>
        <v/>
      </c>
      <c r="W586" s="10" t="str">
        <f aca="false">IF($E586="","",IF($I586&lt;&gt;"","факт","прогноз"))</f>
        <v/>
      </c>
      <c r="X586" s="1"/>
      <c r="Y586" s="1"/>
      <c r="Z586" s="1"/>
      <c r="AA586" s="1"/>
      <c r="AB586" s="1"/>
      <c r="AC586" s="1"/>
      <c r="AD586" s="1"/>
    </row>
    <row r="587" customFormat="false" ht="18" hidden="false" customHeight="true" outlineLevel="0" collapsed="false">
      <c r="A587" s="1"/>
      <c r="B587" s="35"/>
      <c r="C587" s="8"/>
      <c r="D587" s="26"/>
      <c r="E587" s="27"/>
      <c r="F587" s="36"/>
      <c r="G587" s="36"/>
      <c r="H587" s="36"/>
      <c r="I587" s="36"/>
      <c r="J587" s="37" t="str">
        <f aca="false">IF($E587="","",IFERROR(G587/F587,""))</f>
        <v/>
      </c>
      <c r="K587" s="30" t="str">
        <f aca="false">IF($E587="","",IFERROR(E587/G587,""))</f>
        <v/>
      </c>
      <c r="L587" s="30" t="str">
        <f aca="false">IF($E587="","",IFERROR(E587/F587*1000,""))</f>
        <v/>
      </c>
      <c r="M587" s="37" t="str">
        <f aca="false">IF($E587="","",IFERROR(H587/G587,""))</f>
        <v/>
      </c>
      <c r="N587" s="30" t="str">
        <f aca="false">IF($E587="","",IFERROR(E587/H587,"—"))</f>
        <v/>
      </c>
      <c r="O587" s="30" t="str">
        <f aca="false">IF($E587="","",IFERROR(INDEX('Гео-калькулятор'!$K$7:$K$13,MATCH($C587,'Гео-калькулятор'!$B$7:$B$13,0)),""))</f>
        <v/>
      </c>
      <c r="P587" s="38" t="str">
        <f aca="false">IF($E587="","",IFERROR(N587/O587,""))</f>
        <v/>
      </c>
      <c r="Q587" s="39" t="str">
        <f aca="false">IF($E587="","",IF($I587&lt;&gt;"",$I587,N($H587)*IFERROR(INDEX('Гео-калькулятор'!$E$7:$E$13,MATCH($C587,'Гео-калькулятор'!$B$7:$B$13,0)),0)))</f>
        <v/>
      </c>
      <c r="R587" s="38" t="str">
        <f aca="false">IF($E587="","",IFERROR(Q587/H587,""))</f>
        <v/>
      </c>
      <c r="S587" s="30" t="str">
        <f aca="false">IF($E587="","",IFERROR(E587/Q587,"—"))</f>
        <v/>
      </c>
      <c r="T587" s="30" t="str">
        <f aca="false">IF($E587="","",Q587*IFERROR(INDEX('Гео-калькулятор'!$D$7:$D$13,MATCH($C587,'Гео-калькулятор'!$B$7:$B$13,0)),0))</f>
        <v/>
      </c>
      <c r="U587" s="40" t="str">
        <f aca="false">IF($E587="","",T587-E587)</f>
        <v/>
      </c>
      <c r="V587" s="41" t="str">
        <f aca="false">IF($E587="","",IFERROR(U587/E587,""))</f>
        <v/>
      </c>
      <c r="W587" s="10" t="str">
        <f aca="false">IF($E587="","",IF($I587&lt;&gt;"","факт","прогноз"))</f>
        <v/>
      </c>
      <c r="X587" s="1"/>
      <c r="Y587" s="1"/>
      <c r="Z587" s="1"/>
      <c r="AA587" s="1"/>
      <c r="AB587" s="1"/>
      <c r="AC587" s="1"/>
      <c r="AD587" s="1"/>
    </row>
    <row r="588" customFormat="false" ht="18" hidden="false" customHeight="true" outlineLevel="0" collapsed="false">
      <c r="A588" s="1"/>
      <c r="B588" s="35"/>
      <c r="C588" s="8"/>
      <c r="D588" s="26"/>
      <c r="E588" s="27"/>
      <c r="F588" s="36"/>
      <c r="G588" s="36"/>
      <c r="H588" s="36"/>
      <c r="I588" s="36"/>
      <c r="J588" s="37" t="str">
        <f aca="false">IF($E588="","",IFERROR(G588/F588,""))</f>
        <v/>
      </c>
      <c r="K588" s="30" t="str">
        <f aca="false">IF($E588="","",IFERROR(E588/G588,""))</f>
        <v/>
      </c>
      <c r="L588" s="30" t="str">
        <f aca="false">IF($E588="","",IFERROR(E588/F588*1000,""))</f>
        <v/>
      </c>
      <c r="M588" s="37" t="str">
        <f aca="false">IF($E588="","",IFERROR(H588/G588,""))</f>
        <v/>
      </c>
      <c r="N588" s="30" t="str">
        <f aca="false">IF($E588="","",IFERROR(E588/H588,"—"))</f>
        <v/>
      </c>
      <c r="O588" s="30" t="str">
        <f aca="false">IF($E588="","",IFERROR(INDEX('Гео-калькулятор'!$K$7:$K$13,MATCH($C588,'Гео-калькулятор'!$B$7:$B$13,0)),""))</f>
        <v/>
      </c>
      <c r="P588" s="38" t="str">
        <f aca="false">IF($E588="","",IFERROR(N588/O588,""))</f>
        <v/>
      </c>
      <c r="Q588" s="39" t="str">
        <f aca="false">IF($E588="","",IF($I588&lt;&gt;"",$I588,N($H588)*IFERROR(INDEX('Гео-калькулятор'!$E$7:$E$13,MATCH($C588,'Гео-калькулятор'!$B$7:$B$13,0)),0)))</f>
        <v/>
      </c>
      <c r="R588" s="38" t="str">
        <f aca="false">IF($E588="","",IFERROR(Q588/H588,""))</f>
        <v/>
      </c>
      <c r="S588" s="30" t="str">
        <f aca="false">IF($E588="","",IFERROR(E588/Q588,"—"))</f>
        <v/>
      </c>
      <c r="T588" s="30" t="str">
        <f aca="false">IF($E588="","",Q588*IFERROR(INDEX('Гео-калькулятор'!$D$7:$D$13,MATCH($C588,'Гео-калькулятор'!$B$7:$B$13,0)),0))</f>
        <v/>
      </c>
      <c r="U588" s="40" t="str">
        <f aca="false">IF($E588="","",T588-E588)</f>
        <v/>
      </c>
      <c r="V588" s="41" t="str">
        <f aca="false">IF($E588="","",IFERROR(U588/E588,""))</f>
        <v/>
      </c>
      <c r="W588" s="10" t="str">
        <f aca="false">IF($E588="","",IF($I588&lt;&gt;"","факт","прогноз"))</f>
        <v/>
      </c>
      <c r="X588" s="1"/>
      <c r="Y588" s="1"/>
      <c r="Z588" s="1"/>
      <c r="AA588" s="1"/>
      <c r="AB588" s="1"/>
      <c r="AC588" s="1"/>
      <c r="AD588" s="1"/>
    </row>
    <row r="589" customFormat="false" ht="18" hidden="false" customHeight="true" outlineLevel="0" collapsed="false">
      <c r="A589" s="1"/>
      <c r="B589" s="35"/>
      <c r="C589" s="8"/>
      <c r="D589" s="26"/>
      <c r="E589" s="27"/>
      <c r="F589" s="36"/>
      <c r="G589" s="36"/>
      <c r="H589" s="36"/>
      <c r="I589" s="36"/>
      <c r="J589" s="37" t="str">
        <f aca="false">IF($E589="","",IFERROR(G589/F589,""))</f>
        <v/>
      </c>
      <c r="K589" s="30" t="str">
        <f aca="false">IF($E589="","",IFERROR(E589/G589,""))</f>
        <v/>
      </c>
      <c r="L589" s="30" t="str">
        <f aca="false">IF($E589="","",IFERROR(E589/F589*1000,""))</f>
        <v/>
      </c>
      <c r="M589" s="37" t="str">
        <f aca="false">IF($E589="","",IFERROR(H589/G589,""))</f>
        <v/>
      </c>
      <c r="N589" s="30" t="str">
        <f aca="false">IF($E589="","",IFERROR(E589/H589,"—"))</f>
        <v/>
      </c>
      <c r="O589" s="30" t="str">
        <f aca="false">IF($E589="","",IFERROR(INDEX('Гео-калькулятор'!$K$7:$K$13,MATCH($C589,'Гео-калькулятор'!$B$7:$B$13,0)),""))</f>
        <v/>
      </c>
      <c r="P589" s="38" t="str">
        <f aca="false">IF($E589="","",IFERROR(N589/O589,""))</f>
        <v/>
      </c>
      <c r="Q589" s="39" t="str">
        <f aca="false">IF($E589="","",IF($I589&lt;&gt;"",$I589,N($H589)*IFERROR(INDEX('Гео-калькулятор'!$E$7:$E$13,MATCH($C589,'Гео-калькулятор'!$B$7:$B$13,0)),0)))</f>
        <v/>
      </c>
      <c r="R589" s="38" t="str">
        <f aca="false">IF($E589="","",IFERROR(Q589/H589,""))</f>
        <v/>
      </c>
      <c r="S589" s="30" t="str">
        <f aca="false">IF($E589="","",IFERROR(E589/Q589,"—"))</f>
        <v/>
      </c>
      <c r="T589" s="30" t="str">
        <f aca="false">IF($E589="","",Q589*IFERROR(INDEX('Гео-калькулятор'!$D$7:$D$13,MATCH($C589,'Гео-калькулятор'!$B$7:$B$13,0)),0))</f>
        <v/>
      </c>
      <c r="U589" s="40" t="str">
        <f aca="false">IF($E589="","",T589-E589)</f>
        <v/>
      </c>
      <c r="V589" s="41" t="str">
        <f aca="false">IF($E589="","",IFERROR(U589/E589,""))</f>
        <v/>
      </c>
      <c r="W589" s="10" t="str">
        <f aca="false">IF($E589="","",IF($I589&lt;&gt;"","факт","прогноз"))</f>
        <v/>
      </c>
      <c r="X589" s="1"/>
      <c r="Y589" s="1"/>
      <c r="Z589" s="1"/>
      <c r="AA589" s="1"/>
      <c r="AB589" s="1"/>
      <c r="AC589" s="1"/>
      <c r="AD589" s="1"/>
    </row>
    <row r="590" customFormat="false" ht="18" hidden="false" customHeight="true" outlineLevel="0" collapsed="false">
      <c r="A590" s="1"/>
      <c r="B590" s="35"/>
      <c r="C590" s="8"/>
      <c r="D590" s="26"/>
      <c r="E590" s="27"/>
      <c r="F590" s="36"/>
      <c r="G590" s="36"/>
      <c r="H590" s="36"/>
      <c r="I590" s="36"/>
      <c r="J590" s="37" t="str">
        <f aca="false">IF($E590="","",IFERROR(G590/F590,""))</f>
        <v/>
      </c>
      <c r="K590" s="30" t="str">
        <f aca="false">IF($E590="","",IFERROR(E590/G590,""))</f>
        <v/>
      </c>
      <c r="L590" s="30" t="str">
        <f aca="false">IF($E590="","",IFERROR(E590/F590*1000,""))</f>
        <v/>
      </c>
      <c r="M590" s="37" t="str">
        <f aca="false">IF($E590="","",IFERROR(H590/G590,""))</f>
        <v/>
      </c>
      <c r="N590" s="30" t="str">
        <f aca="false">IF($E590="","",IFERROR(E590/H590,"—"))</f>
        <v/>
      </c>
      <c r="O590" s="30" t="str">
        <f aca="false">IF($E590="","",IFERROR(INDEX('Гео-калькулятор'!$K$7:$K$13,MATCH($C590,'Гео-калькулятор'!$B$7:$B$13,0)),""))</f>
        <v/>
      </c>
      <c r="P590" s="38" t="str">
        <f aca="false">IF($E590="","",IFERROR(N590/O590,""))</f>
        <v/>
      </c>
      <c r="Q590" s="39" t="str">
        <f aca="false">IF($E590="","",IF($I590&lt;&gt;"",$I590,N($H590)*IFERROR(INDEX('Гео-калькулятор'!$E$7:$E$13,MATCH($C590,'Гео-калькулятор'!$B$7:$B$13,0)),0)))</f>
        <v/>
      </c>
      <c r="R590" s="38" t="str">
        <f aca="false">IF($E590="","",IFERROR(Q590/H590,""))</f>
        <v/>
      </c>
      <c r="S590" s="30" t="str">
        <f aca="false">IF($E590="","",IFERROR(E590/Q590,"—"))</f>
        <v/>
      </c>
      <c r="T590" s="30" t="str">
        <f aca="false">IF($E590="","",Q590*IFERROR(INDEX('Гео-калькулятор'!$D$7:$D$13,MATCH($C590,'Гео-калькулятор'!$B$7:$B$13,0)),0))</f>
        <v/>
      </c>
      <c r="U590" s="40" t="str">
        <f aca="false">IF($E590="","",T590-E590)</f>
        <v/>
      </c>
      <c r="V590" s="41" t="str">
        <f aca="false">IF($E590="","",IFERROR(U590/E590,""))</f>
        <v/>
      </c>
      <c r="W590" s="10" t="str">
        <f aca="false">IF($E590="","",IF($I590&lt;&gt;"","факт","прогноз"))</f>
        <v/>
      </c>
      <c r="X590" s="1"/>
      <c r="Y590" s="1"/>
      <c r="Z590" s="1"/>
      <c r="AA590" s="1"/>
      <c r="AB590" s="1"/>
      <c r="AC590" s="1"/>
      <c r="AD590" s="1"/>
    </row>
    <row r="591" customFormat="false" ht="18" hidden="false" customHeight="true" outlineLevel="0" collapsed="false">
      <c r="A591" s="1"/>
      <c r="B591" s="35"/>
      <c r="C591" s="8"/>
      <c r="D591" s="26"/>
      <c r="E591" s="27"/>
      <c r="F591" s="36"/>
      <c r="G591" s="36"/>
      <c r="H591" s="36"/>
      <c r="I591" s="36"/>
      <c r="J591" s="37" t="str">
        <f aca="false">IF($E591="","",IFERROR(G591/F591,""))</f>
        <v/>
      </c>
      <c r="K591" s="30" t="str">
        <f aca="false">IF($E591="","",IFERROR(E591/G591,""))</f>
        <v/>
      </c>
      <c r="L591" s="30" t="str">
        <f aca="false">IF($E591="","",IFERROR(E591/F591*1000,""))</f>
        <v/>
      </c>
      <c r="M591" s="37" t="str">
        <f aca="false">IF($E591="","",IFERROR(H591/G591,""))</f>
        <v/>
      </c>
      <c r="N591" s="30" t="str">
        <f aca="false">IF($E591="","",IFERROR(E591/H591,"—"))</f>
        <v/>
      </c>
      <c r="O591" s="30" t="str">
        <f aca="false">IF($E591="","",IFERROR(INDEX('Гео-калькулятор'!$K$7:$K$13,MATCH($C591,'Гео-калькулятор'!$B$7:$B$13,0)),""))</f>
        <v/>
      </c>
      <c r="P591" s="38" t="str">
        <f aca="false">IF($E591="","",IFERROR(N591/O591,""))</f>
        <v/>
      </c>
      <c r="Q591" s="39" t="str">
        <f aca="false">IF($E591="","",IF($I591&lt;&gt;"",$I591,N($H591)*IFERROR(INDEX('Гео-калькулятор'!$E$7:$E$13,MATCH($C591,'Гео-калькулятор'!$B$7:$B$13,0)),0)))</f>
        <v/>
      </c>
      <c r="R591" s="38" t="str">
        <f aca="false">IF($E591="","",IFERROR(Q591/H591,""))</f>
        <v/>
      </c>
      <c r="S591" s="30" t="str">
        <f aca="false">IF($E591="","",IFERROR(E591/Q591,"—"))</f>
        <v/>
      </c>
      <c r="T591" s="30" t="str">
        <f aca="false">IF($E591="","",Q591*IFERROR(INDEX('Гео-калькулятор'!$D$7:$D$13,MATCH($C591,'Гео-калькулятор'!$B$7:$B$13,0)),0))</f>
        <v/>
      </c>
      <c r="U591" s="40" t="str">
        <f aca="false">IF($E591="","",T591-E591)</f>
        <v/>
      </c>
      <c r="V591" s="41" t="str">
        <f aca="false">IF($E591="","",IFERROR(U591/E591,""))</f>
        <v/>
      </c>
      <c r="W591" s="10" t="str">
        <f aca="false">IF($E591="","",IF($I591&lt;&gt;"","факт","прогноз"))</f>
        <v/>
      </c>
      <c r="X591" s="1"/>
      <c r="Y591" s="1"/>
      <c r="Z591" s="1"/>
      <c r="AA591" s="1"/>
      <c r="AB591" s="1"/>
      <c r="AC591" s="1"/>
      <c r="AD591" s="1"/>
    </row>
    <row r="592" customFormat="false" ht="18" hidden="false" customHeight="true" outlineLevel="0" collapsed="false">
      <c r="A592" s="1"/>
      <c r="B592" s="35"/>
      <c r="C592" s="8"/>
      <c r="D592" s="26"/>
      <c r="E592" s="27"/>
      <c r="F592" s="36"/>
      <c r="G592" s="36"/>
      <c r="H592" s="36"/>
      <c r="I592" s="36"/>
      <c r="J592" s="37" t="str">
        <f aca="false">IF($E592="","",IFERROR(G592/F592,""))</f>
        <v/>
      </c>
      <c r="K592" s="30" t="str">
        <f aca="false">IF($E592="","",IFERROR(E592/G592,""))</f>
        <v/>
      </c>
      <c r="L592" s="30" t="str">
        <f aca="false">IF($E592="","",IFERROR(E592/F592*1000,""))</f>
        <v/>
      </c>
      <c r="M592" s="37" t="str">
        <f aca="false">IF($E592="","",IFERROR(H592/G592,""))</f>
        <v/>
      </c>
      <c r="N592" s="30" t="str">
        <f aca="false">IF($E592="","",IFERROR(E592/H592,"—"))</f>
        <v/>
      </c>
      <c r="O592" s="30" t="str">
        <f aca="false">IF($E592="","",IFERROR(INDEX('Гео-калькулятор'!$K$7:$K$13,MATCH($C592,'Гео-калькулятор'!$B$7:$B$13,0)),""))</f>
        <v/>
      </c>
      <c r="P592" s="38" t="str">
        <f aca="false">IF($E592="","",IFERROR(N592/O592,""))</f>
        <v/>
      </c>
      <c r="Q592" s="39" t="str">
        <f aca="false">IF($E592="","",IF($I592&lt;&gt;"",$I592,N($H592)*IFERROR(INDEX('Гео-калькулятор'!$E$7:$E$13,MATCH($C592,'Гео-калькулятор'!$B$7:$B$13,0)),0)))</f>
        <v/>
      </c>
      <c r="R592" s="38" t="str">
        <f aca="false">IF($E592="","",IFERROR(Q592/H592,""))</f>
        <v/>
      </c>
      <c r="S592" s="30" t="str">
        <f aca="false">IF($E592="","",IFERROR(E592/Q592,"—"))</f>
        <v/>
      </c>
      <c r="T592" s="30" t="str">
        <f aca="false">IF($E592="","",Q592*IFERROR(INDEX('Гео-калькулятор'!$D$7:$D$13,MATCH($C592,'Гео-калькулятор'!$B$7:$B$13,0)),0))</f>
        <v/>
      </c>
      <c r="U592" s="40" t="str">
        <f aca="false">IF($E592="","",T592-E592)</f>
        <v/>
      </c>
      <c r="V592" s="41" t="str">
        <f aca="false">IF($E592="","",IFERROR(U592/E592,""))</f>
        <v/>
      </c>
      <c r="W592" s="10" t="str">
        <f aca="false">IF($E592="","",IF($I592&lt;&gt;"","факт","прогноз"))</f>
        <v/>
      </c>
      <c r="X592" s="1"/>
      <c r="Y592" s="1"/>
      <c r="Z592" s="1"/>
      <c r="AA592" s="1"/>
      <c r="AB592" s="1"/>
      <c r="AC592" s="1"/>
      <c r="AD592" s="1"/>
    </row>
    <row r="593" customFormat="false" ht="18" hidden="false" customHeight="true" outlineLevel="0" collapsed="false">
      <c r="A593" s="1"/>
      <c r="B593" s="35"/>
      <c r="C593" s="8"/>
      <c r="D593" s="26"/>
      <c r="E593" s="27"/>
      <c r="F593" s="36"/>
      <c r="G593" s="36"/>
      <c r="H593" s="36"/>
      <c r="I593" s="36"/>
      <c r="J593" s="37" t="str">
        <f aca="false">IF($E593="","",IFERROR(G593/F593,""))</f>
        <v/>
      </c>
      <c r="K593" s="30" t="str">
        <f aca="false">IF($E593="","",IFERROR(E593/G593,""))</f>
        <v/>
      </c>
      <c r="L593" s="30" t="str">
        <f aca="false">IF($E593="","",IFERROR(E593/F593*1000,""))</f>
        <v/>
      </c>
      <c r="M593" s="37" t="str">
        <f aca="false">IF($E593="","",IFERROR(H593/G593,""))</f>
        <v/>
      </c>
      <c r="N593" s="30" t="str">
        <f aca="false">IF($E593="","",IFERROR(E593/H593,"—"))</f>
        <v/>
      </c>
      <c r="O593" s="30" t="str">
        <f aca="false">IF($E593="","",IFERROR(INDEX('Гео-калькулятор'!$K$7:$K$13,MATCH($C593,'Гео-калькулятор'!$B$7:$B$13,0)),""))</f>
        <v/>
      </c>
      <c r="P593" s="38" t="str">
        <f aca="false">IF($E593="","",IFERROR(N593/O593,""))</f>
        <v/>
      </c>
      <c r="Q593" s="39" t="str">
        <f aca="false">IF($E593="","",IF($I593&lt;&gt;"",$I593,N($H593)*IFERROR(INDEX('Гео-калькулятор'!$E$7:$E$13,MATCH($C593,'Гео-калькулятор'!$B$7:$B$13,0)),0)))</f>
        <v/>
      </c>
      <c r="R593" s="38" t="str">
        <f aca="false">IF($E593="","",IFERROR(Q593/H593,""))</f>
        <v/>
      </c>
      <c r="S593" s="30" t="str">
        <f aca="false">IF($E593="","",IFERROR(E593/Q593,"—"))</f>
        <v/>
      </c>
      <c r="T593" s="30" t="str">
        <f aca="false">IF($E593="","",Q593*IFERROR(INDEX('Гео-калькулятор'!$D$7:$D$13,MATCH($C593,'Гео-калькулятор'!$B$7:$B$13,0)),0))</f>
        <v/>
      </c>
      <c r="U593" s="40" t="str">
        <f aca="false">IF($E593="","",T593-E593)</f>
        <v/>
      </c>
      <c r="V593" s="41" t="str">
        <f aca="false">IF($E593="","",IFERROR(U593/E593,""))</f>
        <v/>
      </c>
      <c r="W593" s="10" t="str">
        <f aca="false">IF($E593="","",IF($I593&lt;&gt;"","факт","прогноз"))</f>
        <v/>
      </c>
      <c r="X593" s="1"/>
      <c r="Y593" s="1"/>
      <c r="Z593" s="1"/>
      <c r="AA593" s="1"/>
      <c r="AB593" s="1"/>
      <c r="AC593" s="1"/>
      <c r="AD593" s="1"/>
    </row>
    <row r="594" customFormat="false" ht="18" hidden="false" customHeight="true" outlineLevel="0" collapsed="false">
      <c r="A594" s="1"/>
      <c r="B594" s="35"/>
      <c r="C594" s="8"/>
      <c r="D594" s="26"/>
      <c r="E594" s="27"/>
      <c r="F594" s="36"/>
      <c r="G594" s="36"/>
      <c r="H594" s="36"/>
      <c r="I594" s="36"/>
      <c r="J594" s="37" t="str">
        <f aca="false">IF($E594="","",IFERROR(G594/F594,""))</f>
        <v/>
      </c>
      <c r="K594" s="30" t="str">
        <f aca="false">IF($E594="","",IFERROR(E594/G594,""))</f>
        <v/>
      </c>
      <c r="L594" s="30" t="str">
        <f aca="false">IF($E594="","",IFERROR(E594/F594*1000,""))</f>
        <v/>
      </c>
      <c r="M594" s="37" t="str">
        <f aca="false">IF($E594="","",IFERROR(H594/G594,""))</f>
        <v/>
      </c>
      <c r="N594" s="30" t="str">
        <f aca="false">IF($E594="","",IFERROR(E594/H594,"—"))</f>
        <v/>
      </c>
      <c r="O594" s="30" t="str">
        <f aca="false">IF($E594="","",IFERROR(INDEX('Гео-калькулятор'!$K$7:$K$13,MATCH($C594,'Гео-калькулятор'!$B$7:$B$13,0)),""))</f>
        <v/>
      </c>
      <c r="P594" s="38" t="str">
        <f aca="false">IF($E594="","",IFERROR(N594/O594,""))</f>
        <v/>
      </c>
      <c r="Q594" s="39" t="str">
        <f aca="false">IF($E594="","",IF($I594&lt;&gt;"",$I594,N($H594)*IFERROR(INDEX('Гео-калькулятор'!$E$7:$E$13,MATCH($C594,'Гео-калькулятор'!$B$7:$B$13,0)),0)))</f>
        <v/>
      </c>
      <c r="R594" s="38" t="str">
        <f aca="false">IF($E594="","",IFERROR(Q594/H594,""))</f>
        <v/>
      </c>
      <c r="S594" s="30" t="str">
        <f aca="false">IF($E594="","",IFERROR(E594/Q594,"—"))</f>
        <v/>
      </c>
      <c r="T594" s="30" t="str">
        <f aca="false">IF($E594="","",Q594*IFERROR(INDEX('Гео-калькулятор'!$D$7:$D$13,MATCH($C594,'Гео-калькулятор'!$B$7:$B$13,0)),0))</f>
        <v/>
      </c>
      <c r="U594" s="40" t="str">
        <f aca="false">IF($E594="","",T594-E594)</f>
        <v/>
      </c>
      <c r="V594" s="41" t="str">
        <f aca="false">IF($E594="","",IFERROR(U594/E594,""))</f>
        <v/>
      </c>
      <c r="W594" s="10" t="str">
        <f aca="false">IF($E594="","",IF($I594&lt;&gt;"","факт","прогноз"))</f>
        <v/>
      </c>
      <c r="X594" s="1"/>
      <c r="Y594" s="1"/>
      <c r="Z594" s="1"/>
      <c r="AA594" s="1"/>
      <c r="AB594" s="1"/>
      <c r="AC594" s="1"/>
      <c r="AD594" s="1"/>
    </row>
    <row r="595" customFormat="false" ht="18" hidden="false" customHeight="true" outlineLevel="0" collapsed="false">
      <c r="A595" s="1"/>
      <c r="B595" s="35"/>
      <c r="C595" s="8"/>
      <c r="D595" s="26"/>
      <c r="E595" s="27"/>
      <c r="F595" s="36"/>
      <c r="G595" s="36"/>
      <c r="H595" s="36"/>
      <c r="I595" s="36"/>
      <c r="J595" s="37" t="str">
        <f aca="false">IF($E595="","",IFERROR(G595/F595,""))</f>
        <v/>
      </c>
      <c r="K595" s="30" t="str">
        <f aca="false">IF($E595="","",IFERROR(E595/G595,""))</f>
        <v/>
      </c>
      <c r="L595" s="30" t="str">
        <f aca="false">IF($E595="","",IFERROR(E595/F595*1000,""))</f>
        <v/>
      </c>
      <c r="M595" s="37" t="str">
        <f aca="false">IF($E595="","",IFERROR(H595/G595,""))</f>
        <v/>
      </c>
      <c r="N595" s="30" t="str">
        <f aca="false">IF($E595="","",IFERROR(E595/H595,"—"))</f>
        <v/>
      </c>
      <c r="O595" s="30" t="str">
        <f aca="false">IF($E595="","",IFERROR(INDEX('Гео-калькулятор'!$K$7:$K$13,MATCH($C595,'Гео-калькулятор'!$B$7:$B$13,0)),""))</f>
        <v/>
      </c>
      <c r="P595" s="38" t="str">
        <f aca="false">IF($E595="","",IFERROR(N595/O595,""))</f>
        <v/>
      </c>
      <c r="Q595" s="39" t="str">
        <f aca="false">IF($E595="","",IF($I595&lt;&gt;"",$I595,N($H595)*IFERROR(INDEX('Гео-калькулятор'!$E$7:$E$13,MATCH($C595,'Гео-калькулятор'!$B$7:$B$13,0)),0)))</f>
        <v/>
      </c>
      <c r="R595" s="38" t="str">
        <f aca="false">IF($E595="","",IFERROR(Q595/H595,""))</f>
        <v/>
      </c>
      <c r="S595" s="30" t="str">
        <f aca="false">IF($E595="","",IFERROR(E595/Q595,"—"))</f>
        <v/>
      </c>
      <c r="T595" s="30" t="str">
        <f aca="false">IF($E595="","",Q595*IFERROR(INDEX('Гео-калькулятор'!$D$7:$D$13,MATCH($C595,'Гео-калькулятор'!$B$7:$B$13,0)),0))</f>
        <v/>
      </c>
      <c r="U595" s="40" t="str">
        <f aca="false">IF($E595="","",T595-E595)</f>
        <v/>
      </c>
      <c r="V595" s="41" t="str">
        <f aca="false">IF($E595="","",IFERROR(U595/E595,""))</f>
        <v/>
      </c>
      <c r="W595" s="10" t="str">
        <f aca="false">IF($E595="","",IF($I595&lt;&gt;"","факт","прогноз"))</f>
        <v/>
      </c>
      <c r="X595" s="1"/>
      <c r="Y595" s="1"/>
      <c r="Z595" s="1"/>
      <c r="AA595" s="1"/>
      <c r="AB595" s="1"/>
      <c r="AC595" s="1"/>
      <c r="AD595" s="1"/>
    </row>
    <row r="596" customFormat="false" ht="18" hidden="false" customHeight="true" outlineLevel="0" collapsed="false">
      <c r="A596" s="1"/>
      <c r="B596" s="35"/>
      <c r="C596" s="8"/>
      <c r="D596" s="26"/>
      <c r="E596" s="27"/>
      <c r="F596" s="36"/>
      <c r="G596" s="36"/>
      <c r="H596" s="36"/>
      <c r="I596" s="36"/>
      <c r="J596" s="37" t="str">
        <f aca="false">IF($E596="","",IFERROR(G596/F596,""))</f>
        <v/>
      </c>
      <c r="K596" s="30" t="str">
        <f aca="false">IF($E596="","",IFERROR(E596/G596,""))</f>
        <v/>
      </c>
      <c r="L596" s="30" t="str">
        <f aca="false">IF($E596="","",IFERROR(E596/F596*1000,""))</f>
        <v/>
      </c>
      <c r="M596" s="37" t="str">
        <f aca="false">IF($E596="","",IFERROR(H596/G596,""))</f>
        <v/>
      </c>
      <c r="N596" s="30" t="str">
        <f aca="false">IF($E596="","",IFERROR(E596/H596,"—"))</f>
        <v/>
      </c>
      <c r="O596" s="30" t="str">
        <f aca="false">IF($E596="","",IFERROR(INDEX('Гео-калькулятор'!$K$7:$K$13,MATCH($C596,'Гео-калькулятор'!$B$7:$B$13,0)),""))</f>
        <v/>
      </c>
      <c r="P596" s="38" t="str">
        <f aca="false">IF($E596="","",IFERROR(N596/O596,""))</f>
        <v/>
      </c>
      <c r="Q596" s="39" t="str">
        <f aca="false">IF($E596="","",IF($I596&lt;&gt;"",$I596,N($H596)*IFERROR(INDEX('Гео-калькулятор'!$E$7:$E$13,MATCH($C596,'Гео-калькулятор'!$B$7:$B$13,0)),0)))</f>
        <v/>
      </c>
      <c r="R596" s="38" t="str">
        <f aca="false">IF($E596="","",IFERROR(Q596/H596,""))</f>
        <v/>
      </c>
      <c r="S596" s="30" t="str">
        <f aca="false">IF($E596="","",IFERROR(E596/Q596,"—"))</f>
        <v/>
      </c>
      <c r="T596" s="30" t="str">
        <f aca="false">IF($E596="","",Q596*IFERROR(INDEX('Гео-калькулятор'!$D$7:$D$13,MATCH($C596,'Гео-калькулятор'!$B$7:$B$13,0)),0))</f>
        <v/>
      </c>
      <c r="U596" s="40" t="str">
        <f aca="false">IF($E596="","",T596-E596)</f>
        <v/>
      </c>
      <c r="V596" s="41" t="str">
        <f aca="false">IF($E596="","",IFERROR(U596/E596,""))</f>
        <v/>
      </c>
      <c r="W596" s="10" t="str">
        <f aca="false">IF($E596="","",IF($I596&lt;&gt;"","факт","прогноз"))</f>
        <v/>
      </c>
      <c r="X596" s="1"/>
      <c r="Y596" s="1"/>
      <c r="Z596" s="1"/>
      <c r="AA596" s="1"/>
      <c r="AB596" s="1"/>
      <c r="AC596" s="1"/>
      <c r="AD596" s="1"/>
    </row>
    <row r="597" customFormat="false" ht="18" hidden="false" customHeight="true" outlineLevel="0" collapsed="false">
      <c r="A597" s="1"/>
      <c r="B597" s="35"/>
      <c r="C597" s="8"/>
      <c r="D597" s="26"/>
      <c r="E597" s="27"/>
      <c r="F597" s="36"/>
      <c r="G597" s="36"/>
      <c r="H597" s="36"/>
      <c r="I597" s="36"/>
      <c r="J597" s="37" t="str">
        <f aca="false">IF($E597="","",IFERROR(G597/F597,""))</f>
        <v/>
      </c>
      <c r="K597" s="30" t="str">
        <f aca="false">IF($E597="","",IFERROR(E597/G597,""))</f>
        <v/>
      </c>
      <c r="L597" s="30" t="str">
        <f aca="false">IF($E597="","",IFERROR(E597/F597*1000,""))</f>
        <v/>
      </c>
      <c r="M597" s="37" t="str">
        <f aca="false">IF($E597="","",IFERROR(H597/G597,""))</f>
        <v/>
      </c>
      <c r="N597" s="30" t="str">
        <f aca="false">IF($E597="","",IFERROR(E597/H597,"—"))</f>
        <v/>
      </c>
      <c r="O597" s="30" t="str">
        <f aca="false">IF($E597="","",IFERROR(INDEX('Гео-калькулятор'!$K$7:$K$13,MATCH($C597,'Гео-калькулятор'!$B$7:$B$13,0)),""))</f>
        <v/>
      </c>
      <c r="P597" s="38" t="str">
        <f aca="false">IF($E597="","",IFERROR(N597/O597,""))</f>
        <v/>
      </c>
      <c r="Q597" s="39" t="str">
        <f aca="false">IF($E597="","",IF($I597&lt;&gt;"",$I597,N($H597)*IFERROR(INDEX('Гео-калькулятор'!$E$7:$E$13,MATCH($C597,'Гео-калькулятор'!$B$7:$B$13,0)),0)))</f>
        <v/>
      </c>
      <c r="R597" s="38" t="str">
        <f aca="false">IF($E597="","",IFERROR(Q597/H597,""))</f>
        <v/>
      </c>
      <c r="S597" s="30" t="str">
        <f aca="false">IF($E597="","",IFERROR(E597/Q597,"—"))</f>
        <v/>
      </c>
      <c r="T597" s="30" t="str">
        <f aca="false">IF($E597="","",Q597*IFERROR(INDEX('Гео-калькулятор'!$D$7:$D$13,MATCH($C597,'Гео-калькулятор'!$B$7:$B$13,0)),0))</f>
        <v/>
      </c>
      <c r="U597" s="40" t="str">
        <f aca="false">IF($E597="","",T597-E597)</f>
        <v/>
      </c>
      <c r="V597" s="41" t="str">
        <f aca="false">IF($E597="","",IFERROR(U597/E597,""))</f>
        <v/>
      </c>
      <c r="W597" s="10" t="str">
        <f aca="false">IF($E597="","",IF($I597&lt;&gt;"","факт","прогноз"))</f>
        <v/>
      </c>
      <c r="X597" s="1"/>
      <c r="Y597" s="1"/>
      <c r="Z597" s="1"/>
      <c r="AA597" s="1"/>
      <c r="AB597" s="1"/>
      <c r="AC597" s="1"/>
      <c r="AD597" s="1"/>
    </row>
    <row r="598" customFormat="false" ht="18" hidden="false" customHeight="true" outlineLevel="0" collapsed="false">
      <c r="A598" s="1"/>
      <c r="B598" s="35"/>
      <c r="C598" s="8"/>
      <c r="D598" s="26"/>
      <c r="E598" s="27"/>
      <c r="F598" s="36"/>
      <c r="G598" s="36"/>
      <c r="H598" s="36"/>
      <c r="I598" s="36"/>
      <c r="J598" s="37" t="str">
        <f aca="false">IF($E598="","",IFERROR(G598/F598,""))</f>
        <v/>
      </c>
      <c r="K598" s="30" t="str">
        <f aca="false">IF($E598="","",IFERROR(E598/G598,""))</f>
        <v/>
      </c>
      <c r="L598" s="30" t="str">
        <f aca="false">IF($E598="","",IFERROR(E598/F598*1000,""))</f>
        <v/>
      </c>
      <c r="M598" s="37" t="str">
        <f aca="false">IF($E598="","",IFERROR(H598/G598,""))</f>
        <v/>
      </c>
      <c r="N598" s="30" t="str">
        <f aca="false">IF($E598="","",IFERROR(E598/H598,"—"))</f>
        <v/>
      </c>
      <c r="O598" s="30" t="str">
        <f aca="false">IF($E598="","",IFERROR(INDEX('Гео-калькулятор'!$K$7:$K$13,MATCH($C598,'Гео-калькулятор'!$B$7:$B$13,0)),""))</f>
        <v/>
      </c>
      <c r="P598" s="38" t="str">
        <f aca="false">IF($E598="","",IFERROR(N598/O598,""))</f>
        <v/>
      </c>
      <c r="Q598" s="39" t="str">
        <f aca="false">IF($E598="","",IF($I598&lt;&gt;"",$I598,N($H598)*IFERROR(INDEX('Гео-калькулятор'!$E$7:$E$13,MATCH($C598,'Гео-калькулятор'!$B$7:$B$13,0)),0)))</f>
        <v/>
      </c>
      <c r="R598" s="38" t="str">
        <f aca="false">IF($E598="","",IFERROR(Q598/H598,""))</f>
        <v/>
      </c>
      <c r="S598" s="30" t="str">
        <f aca="false">IF($E598="","",IFERROR(E598/Q598,"—"))</f>
        <v/>
      </c>
      <c r="T598" s="30" t="str">
        <f aca="false">IF($E598="","",Q598*IFERROR(INDEX('Гео-калькулятор'!$D$7:$D$13,MATCH($C598,'Гео-калькулятор'!$B$7:$B$13,0)),0))</f>
        <v/>
      </c>
      <c r="U598" s="40" t="str">
        <f aca="false">IF($E598="","",T598-E598)</f>
        <v/>
      </c>
      <c r="V598" s="41" t="str">
        <f aca="false">IF($E598="","",IFERROR(U598/E598,""))</f>
        <v/>
      </c>
      <c r="W598" s="10" t="str">
        <f aca="false">IF($E598="","",IF($I598&lt;&gt;"","факт","прогноз"))</f>
        <v/>
      </c>
      <c r="X598" s="1"/>
      <c r="Y598" s="1"/>
      <c r="Z598" s="1"/>
      <c r="AA598" s="1"/>
      <c r="AB598" s="1"/>
      <c r="AC598" s="1"/>
      <c r="AD598" s="1"/>
    </row>
    <row r="599" customFormat="false" ht="18" hidden="false" customHeight="true" outlineLevel="0" collapsed="false">
      <c r="A599" s="1"/>
      <c r="B599" s="35"/>
      <c r="C599" s="8"/>
      <c r="D599" s="26"/>
      <c r="E599" s="27"/>
      <c r="F599" s="36"/>
      <c r="G599" s="36"/>
      <c r="H599" s="36"/>
      <c r="I599" s="36"/>
      <c r="J599" s="37" t="str">
        <f aca="false">IF($E599="","",IFERROR(G599/F599,""))</f>
        <v/>
      </c>
      <c r="K599" s="30" t="str">
        <f aca="false">IF($E599="","",IFERROR(E599/G599,""))</f>
        <v/>
      </c>
      <c r="L599" s="30" t="str">
        <f aca="false">IF($E599="","",IFERROR(E599/F599*1000,""))</f>
        <v/>
      </c>
      <c r="M599" s="37" t="str">
        <f aca="false">IF($E599="","",IFERROR(H599/G599,""))</f>
        <v/>
      </c>
      <c r="N599" s="30" t="str">
        <f aca="false">IF($E599="","",IFERROR(E599/H599,"—"))</f>
        <v/>
      </c>
      <c r="O599" s="30" t="str">
        <f aca="false">IF($E599="","",IFERROR(INDEX('Гео-калькулятор'!$K$7:$K$13,MATCH($C599,'Гео-калькулятор'!$B$7:$B$13,0)),""))</f>
        <v/>
      </c>
      <c r="P599" s="38" t="str">
        <f aca="false">IF($E599="","",IFERROR(N599/O599,""))</f>
        <v/>
      </c>
      <c r="Q599" s="39" t="str">
        <f aca="false">IF($E599="","",IF($I599&lt;&gt;"",$I599,N($H599)*IFERROR(INDEX('Гео-калькулятор'!$E$7:$E$13,MATCH($C599,'Гео-калькулятор'!$B$7:$B$13,0)),0)))</f>
        <v/>
      </c>
      <c r="R599" s="38" t="str">
        <f aca="false">IF($E599="","",IFERROR(Q599/H599,""))</f>
        <v/>
      </c>
      <c r="S599" s="30" t="str">
        <f aca="false">IF($E599="","",IFERROR(E599/Q599,"—"))</f>
        <v/>
      </c>
      <c r="T599" s="30" t="str">
        <f aca="false">IF($E599="","",Q599*IFERROR(INDEX('Гео-калькулятор'!$D$7:$D$13,MATCH($C599,'Гео-калькулятор'!$B$7:$B$13,0)),0))</f>
        <v/>
      </c>
      <c r="U599" s="40" t="str">
        <f aca="false">IF($E599="","",T599-E599)</f>
        <v/>
      </c>
      <c r="V599" s="41" t="str">
        <f aca="false">IF($E599="","",IFERROR(U599/E599,""))</f>
        <v/>
      </c>
      <c r="W599" s="10" t="str">
        <f aca="false">IF($E599="","",IF($I599&lt;&gt;"","факт","прогноз"))</f>
        <v/>
      </c>
      <c r="X599" s="1"/>
      <c r="Y599" s="1"/>
      <c r="Z599" s="1"/>
      <c r="AA599" s="1"/>
      <c r="AB599" s="1"/>
      <c r="AC599" s="1"/>
      <c r="AD599" s="1"/>
    </row>
    <row r="600" customFormat="false" ht="18" hidden="false" customHeight="true" outlineLevel="0" collapsed="false">
      <c r="A600" s="1"/>
      <c r="B600" s="35"/>
      <c r="C600" s="8"/>
      <c r="D600" s="26"/>
      <c r="E600" s="27"/>
      <c r="F600" s="36"/>
      <c r="G600" s="36"/>
      <c r="H600" s="36"/>
      <c r="I600" s="36"/>
      <c r="J600" s="37" t="str">
        <f aca="false">IF($E600="","",IFERROR(G600/F600,""))</f>
        <v/>
      </c>
      <c r="K600" s="30" t="str">
        <f aca="false">IF($E600="","",IFERROR(E600/G600,""))</f>
        <v/>
      </c>
      <c r="L600" s="30" t="str">
        <f aca="false">IF($E600="","",IFERROR(E600/F600*1000,""))</f>
        <v/>
      </c>
      <c r="M600" s="37" t="str">
        <f aca="false">IF($E600="","",IFERROR(H600/G600,""))</f>
        <v/>
      </c>
      <c r="N600" s="30" t="str">
        <f aca="false">IF($E600="","",IFERROR(E600/H600,"—"))</f>
        <v/>
      </c>
      <c r="O600" s="30" t="str">
        <f aca="false">IF($E600="","",IFERROR(INDEX('Гео-калькулятор'!$K$7:$K$13,MATCH($C600,'Гео-калькулятор'!$B$7:$B$13,0)),""))</f>
        <v/>
      </c>
      <c r="P600" s="38" t="str">
        <f aca="false">IF($E600="","",IFERROR(N600/O600,""))</f>
        <v/>
      </c>
      <c r="Q600" s="39" t="str">
        <f aca="false">IF($E600="","",IF($I600&lt;&gt;"",$I600,N($H600)*IFERROR(INDEX('Гео-калькулятор'!$E$7:$E$13,MATCH($C600,'Гео-калькулятор'!$B$7:$B$13,0)),0)))</f>
        <v/>
      </c>
      <c r="R600" s="38" t="str">
        <f aca="false">IF($E600="","",IFERROR(Q600/H600,""))</f>
        <v/>
      </c>
      <c r="S600" s="30" t="str">
        <f aca="false">IF($E600="","",IFERROR(E600/Q600,"—"))</f>
        <v/>
      </c>
      <c r="T600" s="30" t="str">
        <f aca="false">IF($E600="","",Q600*IFERROR(INDEX('Гео-калькулятор'!$D$7:$D$13,MATCH($C600,'Гео-калькулятор'!$B$7:$B$13,0)),0))</f>
        <v/>
      </c>
      <c r="U600" s="40" t="str">
        <f aca="false">IF($E600="","",T600-E600)</f>
        <v/>
      </c>
      <c r="V600" s="41" t="str">
        <f aca="false">IF($E600="","",IFERROR(U600/E600,""))</f>
        <v/>
      </c>
      <c r="W600" s="10" t="str">
        <f aca="false">IF($E600="","",IF($I600&lt;&gt;"","факт","прогноз"))</f>
        <v/>
      </c>
      <c r="X600" s="1"/>
      <c r="Y600" s="1"/>
      <c r="Z600" s="1"/>
      <c r="AA600" s="1"/>
      <c r="AB600" s="1"/>
      <c r="AC600" s="1"/>
      <c r="AD600" s="1"/>
    </row>
    <row r="601" customFormat="false" ht="18" hidden="false" customHeight="true" outlineLevel="0" collapsed="false">
      <c r="A601" s="1"/>
      <c r="B601" s="35"/>
      <c r="C601" s="8"/>
      <c r="D601" s="26"/>
      <c r="E601" s="27"/>
      <c r="F601" s="36"/>
      <c r="G601" s="36"/>
      <c r="H601" s="36"/>
      <c r="I601" s="36"/>
      <c r="J601" s="37" t="str">
        <f aca="false">IF($E601="","",IFERROR(G601/F601,""))</f>
        <v/>
      </c>
      <c r="K601" s="30" t="str">
        <f aca="false">IF($E601="","",IFERROR(E601/G601,""))</f>
        <v/>
      </c>
      <c r="L601" s="30" t="str">
        <f aca="false">IF($E601="","",IFERROR(E601/F601*1000,""))</f>
        <v/>
      </c>
      <c r="M601" s="37" t="str">
        <f aca="false">IF($E601="","",IFERROR(H601/G601,""))</f>
        <v/>
      </c>
      <c r="N601" s="30" t="str">
        <f aca="false">IF($E601="","",IFERROR(E601/H601,"—"))</f>
        <v/>
      </c>
      <c r="O601" s="30" t="str">
        <f aca="false">IF($E601="","",IFERROR(INDEX('Гео-калькулятор'!$K$7:$K$13,MATCH($C601,'Гео-калькулятор'!$B$7:$B$13,0)),""))</f>
        <v/>
      </c>
      <c r="P601" s="38" t="str">
        <f aca="false">IF($E601="","",IFERROR(N601/O601,""))</f>
        <v/>
      </c>
      <c r="Q601" s="39" t="str">
        <f aca="false">IF($E601="","",IF($I601&lt;&gt;"",$I601,N($H601)*IFERROR(INDEX('Гео-калькулятор'!$E$7:$E$13,MATCH($C601,'Гео-калькулятор'!$B$7:$B$13,0)),0)))</f>
        <v/>
      </c>
      <c r="R601" s="38" t="str">
        <f aca="false">IF($E601="","",IFERROR(Q601/H601,""))</f>
        <v/>
      </c>
      <c r="S601" s="30" t="str">
        <f aca="false">IF($E601="","",IFERROR(E601/Q601,"—"))</f>
        <v/>
      </c>
      <c r="T601" s="30" t="str">
        <f aca="false">IF($E601="","",Q601*IFERROR(INDEX('Гео-калькулятор'!$D$7:$D$13,MATCH($C601,'Гео-калькулятор'!$B$7:$B$13,0)),0))</f>
        <v/>
      </c>
      <c r="U601" s="40" t="str">
        <f aca="false">IF($E601="","",T601-E601)</f>
        <v/>
      </c>
      <c r="V601" s="41" t="str">
        <f aca="false">IF($E601="","",IFERROR(U601/E601,""))</f>
        <v/>
      </c>
      <c r="W601" s="10" t="str">
        <f aca="false">IF($E601="","",IF($I601&lt;&gt;"","факт","прогноз"))</f>
        <v/>
      </c>
      <c r="X601" s="1"/>
      <c r="Y601" s="1"/>
      <c r="Z601" s="1"/>
      <c r="AA601" s="1"/>
      <c r="AB601" s="1"/>
      <c r="AC601" s="1"/>
      <c r="AD601" s="1"/>
    </row>
    <row r="602" customFormat="false" ht="18" hidden="false" customHeight="true" outlineLevel="0" collapsed="false">
      <c r="A602" s="1"/>
      <c r="B602" s="35"/>
      <c r="C602" s="8"/>
      <c r="D602" s="26"/>
      <c r="E602" s="27"/>
      <c r="F602" s="36"/>
      <c r="G602" s="36"/>
      <c r="H602" s="36"/>
      <c r="I602" s="36"/>
      <c r="J602" s="37" t="str">
        <f aca="false">IF($E602="","",IFERROR(G602/F602,""))</f>
        <v/>
      </c>
      <c r="K602" s="30" t="str">
        <f aca="false">IF($E602="","",IFERROR(E602/G602,""))</f>
        <v/>
      </c>
      <c r="L602" s="30" t="str">
        <f aca="false">IF($E602="","",IFERROR(E602/F602*1000,""))</f>
        <v/>
      </c>
      <c r="M602" s="37" t="str">
        <f aca="false">IF($E602="","",IFERROR(H602/G602,""))</f>
        <v/>
      </c>
      <c r="N602" s="30" t="str">
        <f aca="false">IF($E602="","",IFERROR(E602/H602,"—"))</f>
        <v/>
      </c>
      <c r="O602" s="30" t="str">
        <f aca="false">IF($E602="","",IFERROR(INDEX('Гео-калькулятор'!$K$7:$K$13,MATCH($C602,'Гео-калькулятор'!$B$7:$B$13,0)),""))</f>
        <v/>
      </c>
      <c r="P602" s="38" t="str">
        <f aca="false">IF($E602="","",IFERROR(N602/O602,""))</f>
        <v/>
      </c>
      <c r="Q602" s="39" t="str">
        <f aca="false">IF($E602="","",IF($I602&lt;&gt;"",$I602,N($H602)*IFERROR(INDEX('Гео-калькулятор'!$E$7:$E$13,MATCH($C602,'Гео-калькулятор'!$B$7:$B$13,0)),0)))</f>
        <v/>
      </c>
      <c r="R602" s="38" t="str">
        <f aca="false">IF($E602="","",IFERROR(Q602/H602,""))</f>
        <v/>
      </c>
      <c r="S602" s="30" t="str">
        <f aca="false">IF($E602="","",IFERROR(E602/Q602,"—"))</f>
        <v/>
      </c>
      <c r="T602" s="30" t="str">
        <f aca="false">IF($E602="","",Q602*IFERROR(INDEX('Гео-калькулятор'!$D$7:$D$13,MATCH($C602,'Гео-калькулятор'!$B$7:$B$13,0)),0))</f>
        <v/>
      </c>
      <c r="U602" s="40" t="str">
        <f aca="false">IF($E602="","",T602-E602)</f>
        <v/>
      </c>
      <c r="V602" s="41" t="str">
        <f aca="false">IF($E602="","",IFERROR(U602/E602,""))</f>
        <v/>
      </c>
      <c r="W602" s="10" t="str">
        <f aca="false">IF($E602="","",IF($I602&lt;&gt;"","факт","прогноз"))</f>
        <v/>
      </c>
      <c r="X602" s="1"/>
      <c r="Y602" s="1"/>
      <c r="Z602" s="1"/>
      <c r="AA602" s="1"/>
      <c r="AB602" s="1"/>
      <c r="AC602" s="1"/>
      <c r="AD602" s="1"/>
    </row>
    <row r="603" customFormat="false" ht="18" hidden="false" customHeight="true" outlineLevel="0" collapsed="false">
      <c r="A603" s="1"/>
      <c r="B603" s="35"/>
      <c r="C603" s="8"/>
      <c r="D603" s="26"/>
      <c r="E603" s="27"/>
      <c r="F603" s="36"/>
      <c r="G603" s="36"/>
      <c r="H603" s="36"/>
      <c r="I603" s="36"/>
      <c r="J603" s="37" t="str">
        <f aca="false">IF($E603="","",IFERROR(G603/F603,""))</f>
        <v/>
      </c>
      <c r="K603" s="30" t="str">
        <f aca="false">IF($E603="","",IFERROR(E603/G603,""))</f>
        <v/>
      </c>
      <c r="L603" s="30" t="str">
        <f aca="false">IF($E603="","",IFERROR(E603/F603*1000,""))</f>
        <v/>
      </c>
      <c r="M603" s="37" t="str">
        <f aca="false">IF($E603="","",IFERROR(H603/G603,""))</f>
        <v/>
      </c>
      <c r="N603" s="30" t="str">
        <f aca="false">IF($E603="","",IFERROR(E603/H603,"—"))</f>
        <v/>
      </c>
      <c r="O603" s="30" t="str">
        <f aca="false">IF($E603="","",IFERROR(INDEX('Гео-калькулятор'!$K$7:$K$13,MATCH($C603,'Гео-калькулятор'!$B$7:$B$13,0)),""))</f>
        <v/>
      </c>
      <c r="P603" s="38" t="str">
        <f aca="false">IF($E603="","",IFERROR(N603/O603,""))</f>
        <v/>
      </c>
      <c r="Q603" s="39" t="str">
        <f aca="false">IF($E603="","",IF($I603&lt;&gt;"",$I603,N($H603)*IFERROR(INDEX('Гео-калькулятор'!$E$7:$E$13,MATCH($C603,'Гео-калькулятор'!$B$7:$B$13,0)),0)))</f>
        <v/>
      </c>
      <c r="R603" s="38" t="str">
        <f aca="false">IF($E603="","",IFERROR(Q603/H603,""))</f>
        <v/>
      </c>
      <c r="S603" s="30" t="str">
        <f aca="false">IF($E603="","",IFERROR(E603/Q603,"—"))</f>
        <v/>
      </c>
      <c r="T603" s="30" t="str">
        <f aca="false">IF($E603="","",Q603*IFERROR(INDEX('Гео-калькулятор'!$D$7:$D$13,MATCH($C603,'Гео-калькулятор'!$B$7:$B$13,0)),0))</f>
        <v/>
      </c>
      <c r="U603" s="40" t="str">
        <f aca="false">IF($E603="","",T603-E603)</f>
        <v/>
      </c>
      <c r="V603" s="41" t="str">
        <f aca="false">IF($E603="","",IFERROR(U603/E603,""))</f>
        <v/>
      </c>
      <c r="W603" s="10" t="str">
        <f aca="false">IF($E603="","",IF($I603&lt;&gt;"","факт","прогноз"))</f>
        <v/>
      </c>
      <c r="X603" s="1"/>
      <c r="Y603" s="1"/>
      <c r="Z603" s="1"/>
      <c r="AA603" s="1"/>
      <c r="AB603" s="1"/>
      <c r="AC603" s="1"/>
      <c r="AD603" s="1"/>
    </row>
    <row r="604" customFormat="false" ht="18" hidden="false" customHeight="true" outlineLevel="0" collapsed="false">
      <c r="A604" s="1"/>
      <c r="B604" s="35"/>
      <c r="C604" s="8"/>
      <c r="D604" s="26"/>
      <c r="E604" s="27"/>
      <c r="F604" s="36"/>
      <c r="G604" s="36"/>
      <c r="H604" s="36"/>
      <c r="I604" s="36"/>
      <c r="J604" s="37" t="str">
        <f aca="false">IF($E604="","",IFERROR(G604/F604,""))</f>
        <v/>
      </c>
      <c r="K604" s="30" t="str">
        <f aca="false">IF($E604="","",IFERROR(E604/G604,""))</f>
        <v/>
      </c>
      <c r="L604" s="30" t="str">
        <f aca="false">IF($E604="","",IFERROR(E604/F604*1000,""))</f>
        <v/>
      </c>
      <c r="M604" s="37" t="str">
        <f aca="false">IF($E604="","",IFERROR(H604/G604,""))</f>
        <v/>
      </c>
      <c r="N604" s="30" t="str">
        <f aca="false">IF($E604="","",IFERROR(E604/H604,"—"))</f>
        <v/>
      </c>
      <c r="O604" s="30" t="str">
        <f aca="false">IF($E604="","",IFERROR(INDEX('Гео-калькулятор'!$K$7:$K$13,MATCH($C604,'Гео-калькулятор'!$B$7:$B$13,0)),""))</f>
        <v/>
      </c>
      <c r="P604" s="38" t="str">
        <f aca="false">IF($E604="","",IFERROR(N604/O604,""))</f>
        <v/>
      </c>
      <c r="Q604" s="39" t="str">
        <f aca="false">IF($E604="","",IF($I604&lt;&gt;"",$I604,N($H604)*IFERROR(INDEX('Гео-калькулятор'!$E$7:$E$13,MATCH($C604,'Гео-калькулятор'!$B$7:$B$13,0)),0)))</f>
        <v/>
      </c>
      <c r="R604" s="38" t="str">
        <f aca="false">IF($E604="","",IFERROR(Q604/H604,""))</f>
        <v/>
      </c>
      <c r="S604" s="30" t="str">
        <f aca="false">IF($E604="","",IFERROR(E604/Q604,"—"))</f>
        <v/>
      </c>
      <c r="T604" s="30" t="str">
        <f aca="false">IF($E604="","",Q604*IFERROR(INDEX('Гео-калькулятор'!$D$7:$D$13,MATCH($C604,'Гео-калькулятор'!$B$7:$B$13,0)),0))</f>
        <v/>
      </c>
      <c r="U604" s="40" t="str">
        <f aca="false">IF($E604="","",T604-E604)</f>
        <v/>
      </c>
      <c r="V604" s="41" t="str">
        <f aca="false">IF($E604="","",IFERROR(U604/E604,""))</f>
        <v/>
      </c>
      <c r="W604" s="10" t="str">
        <f aca="false">IF($E604="","",IF($I604&lt;&gt;"","факт","прогноз"))</f>
        <v/>
      </c>
      <c r="X604" s="1"/>
      <c r="Y604" s="1"/>
      <c r="Z604" s="1"/>
      <c r="AA604" s="1"/>
      <c r="AB604" s="1"/>
      <c r="AC604" s="1"/>
      <c r="AD604" s="1"/>
    </row>
    <row r="605" customFormat="false" ht="18" hidden="false" customHeight="true" outlineLevel="0" collapsed="false">
      <c r="A605" s="1"/>
      <c r="B605" s="35"/>
      <c r="C605" s="8"/>
      <c r="D605" s="26"/>
      <c r="E605" s="27"/>
      <c r="F605" s="36"/>
      <c r="G605" s="36"/>
      <c r="H605" s="36"/>
      <c r="I605" s="36"/>
      <c r="J605" s="37" t="str">
        <f aca="false">IF($E605="","",IFERROR(G605/F605,""))</f>
        <v/>
      </c>
      <c r="K605" s="30" t="str">
        <f aca="false">IF($E605="","",IFERROR(E605/G605,""))</f>
        <v/>
      </c>
      <c r="L605" s="30" t="str">
        <f aca="false">IF($E605="","",IFERROR(E605/F605*1000,""))</f>
        <v/>
      </c>
      <c r="M605" s="37" t="str">
        <f aca="false">IF($E605="","",IFERROR(H605/G605,""))</f>
        <v/>
      </c>
      <c r="N605" s="30" t="str">
        <f aca="false">IF($E605="","",IFERROR(E605/H605,"—"))</f>
        <v/>
      </c>
      <c r="O605" s="30" t="str">
        <f aca="false">IF($E605="","",IFERROR(INDEX('Гео-калькулятор'!$K$7:$K$13,MATCH($C605,'Гео-калькулятор'!$B$7:$B$13,0)),""))</f>
        <v/>
      </c>
      <c r="P605" s="38" t="str">
        <f aca="false">IF($E605="","",IFERROR(N605/O605,""))</f>
        <v/>
      </c>
      <c r="Q605" s="39" t="str">
        <f aca="false">IF($E605="","",IF($I605&lt;&gt;"",$I605,N($H605)*IFERROR(INDEX('Гео-калькулятор'!$E$7:$E$13,MATCH($C605,'Гео-калькулятор'!$B$7:$B$13,0)),0)))</f>
        <v/>
      </c>
      <c r="R605" s="38" t="str">
        <f aca="false">IF($E605="","",IFERROR(Q605/H605,""))</f>
        <v/>
      </c>
      <c r="S605" s="30" t="str">
        <f aca="false">IF($E605="","",IFERROR(E605/Q605,"—"))</f>
        <v/>
      </c>
      <c r="T605" s="30" t="str">
        <f aca="false">IF($E605="","",Q605*IFERROR(INDEX('Гео-калькулятор'!$D$7:$D$13,MATCH($C605,'Гео-калькулятор'!$B$7:$B$13,0)),0))</f>
        <v/>
      </c>
      <c r="U605" s="40" t="str">
        <f aca="false">IF($E605="","",T605-E605)</f>
        <v/>
      </c>
      <c r="V605" s="41" t="str">
        <f aca="false">IF($E605="","",IFERROR(U605/E605,""))</f>
        <v/>
      </c>
      <c r="W605" s="10" t="str">
        <f aca="false">IF($E605="","",IF($I605&lt;&gt;"","факт","прогноз"))</f>
        <v/>
      </c>
      <c r="X605" s="1"/>
      <c r="Y605" s="1"/>
      <c r="Z605" s="1"/>
      <c r="AA605" s="1"/>
      <c r="AB605" s="1"/>
      <c r="AC605" s="1"/>
      <c r="AD605" s="1"/>
    </row>
    <row r="606" customFormat="false" ht="18" hidden="false" customHeight="true" outlineLevel="0" collapsed="false">
      <c r="A606" s="1"/>
      <c r="B606" s="35"/>
      <c r="C606" s="8"/>
      <c r="D606" s="26"/>
      <c r="E606" s="27"/>
      <c r="F606" s="36"/>
      <c r="G606" s="36"/>
      <c r="H606" s="36"/>
      <c r="I606" s="36"/>
      <c r="J606" s="37" t="str">
        <f aca="false">IF($E606="","",IFERROR(G606/F606,""))</f>
        <v/>
      </c>
      <c r="K606" s="30" t="str">
        <f aca="false">IF($E606="","",IFERROR(E606/G606,""))</f>
        <v/>
      </c>
      <c r="L606" s="30" t="str">
        <f aca="false">IF($E606="","",IFERROR(E606/F606*1000,""))</f>
        <v/>
      </c>
      <c r="M606" s="37" t="str">
        <f aca="false">IF($E606="","",IFERROR(H606/G606,""))</f>
        <v/>
      </c>
      <c r="N606" s="30" t="str">
        <f aca="false">IF($E606="","",IFERROR(E606/H606,"—"))</f>
        <v/>
      </c>
      <c r="O606" s="30" t="str">
        <f aca="false">IF($E606="","",IFERROR(INDEX('Гео-калькулятор'!$K$7:$K$13,MATCH($C606,'Гео-калькулятор'!$B$7:$B$13,0)),""))</f>
        <v/>
      </c>
      <c r="P606" s="38" t="str">
        <f aca="false">IF($E606="","",IFERROR(N606/O606,""))</f>
        <v/>
      </c>
      <c r="Q606" s="39" t="str">
        <f aca="false">IF($E606="","",IF($I606&lt;&gt;"",$I606,N($H606)*IFERROR(INDEX('Гео-калькулятор'!$E$7:$E$13,MATCH($C606,'Гео-калькулятор'!$B$7:$B$13,0)),0)))</f>
        <v/>
      </c>
      <c r="R606" s="38" t="str">
        <f aca="false">IF($E606="","",IFERROR(Q606/H606,""))</f>
        <v/>
      </c>
      <c r="S606" s="30" t="str">
        <f aca="false">IF($E606="","",IFERROR(E606/Q606,"—"))</f>
        <v/>
      </c>
      <c r="T606" s="30" t="str">
        <f aca="false">IF($E606="","",Q606*IFERROR(INDEX('Гео-калькулятор'!$D$7:$D$13,MATCH($C606,'Гео-калькулятор'!$B$7:$B$13,0)),0))</f>
        <v/>
      </c>
      <c r="U606" s="40" t="str">
        <f aca="false">IF($E606="","",T606-E606)</f>
        <v/>
      </c>
      <c r="V606" s="41" t="str">
        <f aca="false">IF($E606="","",IFERROR(U606/E606,""))</f>
        <v/>
      </c>
      <c r="W606" s="10" t="str">
        <f aca="false">IF($E606="","",IF($I606&lt;&gt;"","факт","прогноз"))</f>
        <v/>
      </c>
      <c r="X606" s="1"/>
      <c r="Y606" s="1"/>
      <c r="Z606" s="1"/>
      <c r="AA606" s="1"/>
      <c r="AB606" s="1"/>
      <c r="AC606" s="1"/>
      <c r="AD606" s="1"/>
    </row>
    <row r="607" customFormat="false" ht="18" hidden="false" customHeight="true" outlineLevel="0" collapsed="false">
      <c r="A607" s="1"/>
      <c r="B607" s="35"/>
      <c r="C607" s="8"/>
      <c r="D607" s="26"/>
      <c r="E607" s="27"/>
      <c r="F607" s="36"/>
      <c r="G607" s="36"/>
      <c r="H607" s="36"/>
      <c r="I607" s="36"/>
      <c r="J607" s="37" t="str">
        <f aca="false">IF($E607="","",IFERROR(G607/F607,""))</f>
        <v/>
      </c>
      <c r="K607" s="30" t="str">
        <f aca="false">IF($E607="","",IFERROR(E607/G607,""))</f>
        <v/>
      </c>
      <c r="L607" s="30" t="str">
        <f aca="false">IF($E607="","",IFERROR(E607/F607*1000,""))</f>
        <v/>
      </c>
      <c r="M607" s="37" t="str">
        <f aca="false">IF($E607="","",IFERROR(H607/G607,""))</f>
        <v/>
      </c>
      <c r="N607" s="30" t="str">
        <f aca="false">IF($E607="","",IFERROR(E607/H607,"—"))</f>
        <v/>
      </c>
      <c r="O607" s="30" t="str">
        <f aca="false">IF($E607="","",IFERROR(INDEX('Гео-калькулятор'!$K$7:$K$13,MATCH($C607,'Гео-калькулятор'!$B$7:$B$13,0)),""))</f>
        <v/>
      </c>
      <c r="P607" s="38" t="str">
        <f aca="false">IF($E607="","",IFERROR(N607/O607,""))</f>
        <v/>
      </c>
      <c r="Q607" s="39" t="str">
        <f aca="false">IF($E607="","",IF($I607&lt;&gt;"",$I607,N($H607)*IFERROR(INDEX('Гео-калькулятор'!$E$7:$E$13,MATCH($C607,'Гео-калькулятор'!$B$7:$B$13,0)),0)))</f>
        <v/>
      </c>
      <c r="R607" s="38" t="str">
        <f aca="false">IF($E607="","",IFERROR(Q607/H607,""))</f>
        <v/>
      </c>
      <c r="S607" s="30" t="str">
        <f aca="false">IF($E607="","",IFERROR(E607/Q607,"—"))</f>
        <v/>
      </c>
      <c r="T607" s="30" t="str">
        <f aca="false">IF($E607="","",Q607*IFERROR(INDEX('Гео-калькулятор'!$D$7:$D$13,MATCH($C607,'Гео-калькулятор'!$B$7:$B$13,0)),0))</f>
        <v/>
      </c>
      <c r="U607" s="40" t="str">
        <f aca="false">IF($E607="","",T607-E607)</f>
        <v/>
      </c>
      <c r="V607" s="41" t="str">
        <f aca="false">IF($E607="","",IFERROR(U607/E607,""))</f>
        <v/>
      </c>
      <c r="W607" s="10" t="str">
        <f aca="false">IF($E607="","",IF($I607&lt;&gt;"","факт","прогноз"))</f>
        <v/>
      </c>
      <c r="X607" s="1"/>
      <c r="Y607" s="1"/>
      <c r="Z607" s="1"/>
      <c r="AA607" s="1"/>
      <c r="AB607" s="1"/>
      <c r="AC607" s="1"/>
      <c r="AD607" s="1"/>
    </row>
    <row r="608" customFormat="false" ht="18" hidden="false" customHeight="true" outlineLevel="0" collapsed="false">
      <c r="A608" s="1"/>
      <c r="B608" s="35"/>
      <c r="C608" s="8"/>
      <c r="D608" s="26"/>
      <c r="E608" s="27"/>
      <c r="F608" s="36"/>
      <c r="G608" s="36"/>
      <c r="H608" s="36"/>
      <c r="I608" s="36"/>
      <c r="J608" s="37" t="str">
        <f aca="false">IF($E608="","",IFERROR(G608/F608,""))</f>
        <v/>
      </c>
      <c r="K608" s="30" t="str">
        <f aca="false">IF($E608="","",IFERROR(E608/G608,""))</f>
        <v/>
      </c>
      <c r="L608" s="30" t="str">
        <f aca="false">IF($E608="","",IFERROR(E608/F608*1000,""))</f>
        <v/>
      </c>
      <c r="M608" s="37" t="str">
        <f aca="false">IF($E608="","",IFERROR(H608/G608,""))</f>
        <v/>
      </c>
      <c r="N608" s="30" t="str">
        <f aca="false">IF($E608="","",IFERROR(E608/H608,"—"))</f>
        <v/>
      </c>
      <c r="O608" s="30" t="str">
        <f aca="false">IF($E608="","",IFERROR(INDEX('Гео-калькулятор'!$K$7:$K$13,MATCH($C608,'Гео-калькулятор'!$B$7:$B$13,0)),""))</f>
        <v/>
      </c>
      <c r="P608" s="38" t="str">
        <f aca="false">IF($E608="","",IFERROR(N608/O608,""))</f>
        <v/>
      </c>
      <c r="Q608" s="39" t="str">
        <f aca="false">IF($E608="","",IF($I608&lt;&gt;"",$I608,N($H608)*IFERROR(INDEX('Гео-калькулятор'!$E$7:$E$13,MATCH($C608,'Гео-калькулятор'!$B$7:$B$13,0)),0)))</f>
        <v/>
      </c>
      <c r="R608" s="38" t="str">
        <f aca="false">IF($E608="","",IFERROR(Q608/H608,""))</f>
        <v/>
      </c>
      <c r="S608" s="30" t="str">
        <f aca="false">IF($E608="","",IFERROR(E608/Q608,"—"))</f>
        <v/>
      </c>
      <c r="T608" s="30" t="str">
        <f aca="false">IF($E608="","",Q608*IFERROR(INDEX('Гео-калькулятор'!$D$7:$D$13,MATCH($C608,'Гео-калькулятор'!$B$7:$B$13,0)),0))</f>
        <v/>
      </c>
      <c r="U608" s="40" t="str">
        <f aca="false">IF($E608="","",T608-E608)</f>
        <v/>
      </c>
      <c r="V608" s="41" t="str">
        <f aca="false">IF($E608="","",IFERROR(U608/E608,""))</f>
        <v/>
      </c>
      <c r="W608" s="10" t="str">
        <f aca="false">IF($E608="","",IF($I608&lt;&gt;"","факт","прогноз"))</f>
        <v/>
      </c>
      <c r="X608" s="1"/>
      <c r="Y608" s="1"/>
      <c r="Z608" s="1"/>
      <c r="AA608" s="1"/>
      <c r="AB608" s="1"/>
      <c r="AC608" s="1"/>
      <c r="AD608" s="1"/>
    </row>
    <row r="609" customFormat="false" ht="18" hidden="false" customHeight="true" outlineLevel="0" collapsed="false">
      <c r="A609" s="1"/>
      <c r="B609" s="35"/>
      <c r="C609" s="8"/>
      <c r="D609" s="26"/>
      <c r="E609" s="27"/>
      <c r="F609" s="36"/>
      <c r="G609" s="36"/>
      <c r="H609" s="36"/>
      <c r="I609" s="36"/>
      <c r="J609" s="37" t="str">
        <f aca="false">IF($E609="","",IFERROR(G609/F609,""))</f>
        <v/>
      </c>
      <c r="K609" s="30" t="str">
        <f aca="false">IF($E609="","",IFERROR(E609/G609,""))</f>
        <v/>
      </c>
      <c r="L609" s="30" t="str">
        <f aca="false">IF($E609="","",IFERROR(E609/F609*1000,""))</f>
        <v/>
      </c>
      <c r="M609" s="37" t="str">
        <f aca="false">IF($E609="","",IFERROR(H609/G609,""))</f>
        <v/>
      </c>
      <c r="N609" s="30" t="str">
        <f aca="false">IF($E609="","",IFERROR(E609/H609,"—"))</f>
        <v/>
      </c>
      <c r="O609" s="30" t="str">
        <f aca="false">IF($E609="","",IFERROR(INDEX('Гео-калькулятор'!$K$7:$K$13,MATCH($C609,'Гео-калькулятор'!$B$7:$B$13,0)),""))</f>
        <v/>
      </c>
      <c r="P609" s="38" t="str">
        <f aca="false">IF($E609="","",IFERROR(N609/O609,""))</f>
        <v/>
      </c>
      <c r="Q609" s="39" t="str">
        <f aca="false">IF($E609="","",IF($I609&lt;&gt;"",$I609,N($H609)*IFERROR(INDEX('Гео-калькулятор'!$E$7:$E$13,MATCH($C609,'Гео-калькулятор'!$B$7:$B$13,0)),0)))</f>
        <v/>
      </c>
      <c r="R609" s="38" t="str">
        <f aca="false">IF($E609="","",IFERROR(Q609/H609,""))</f>
        <v/>
      </c>
      <c r="S609" s="30" t="str">
        <f aca="false">IF($E609="","",IFERROR(E609/Q609,"—"))</f>
        <v/>
      </c>
      <c r="T609" s="30" t="str">
        <f aca="false">IF($E609="","",Q609*IFERROR(INDEX('Гео-калькулятор'!$D$7:$D$13,MATCH($C609,'Гео-калькулятор'!$B$7:$B$13,0)),0))</f>
        <v/>
      </c>
      <c r="U609" s="40" t="str">
        <f aca="false">IF($E609="","",T609-E609)</f>
        <v/>
      </c>
      <c r="V609" s="41" t="str">
        <f aca="false">IF($E609="","",IFERROR(U609/E609,""))</f>
        <v/>
      </c>
      <c r="W609" s="10" t="str">
        <f aca="false">IF($E609="","",IF($I609&lt;&gt;"","факт","прогноз"))</f>
        <v/>
      </c>
      <c r="X609" s="1"/>
      <c r="Y609" s="1"/>
      <c r="Z609" s="1"/>
      <c r="AA609" s="1"/>
      <c r="AB609" s="1"/>
      <c r="AC609" s="1"/>
      <c r="AD609" s="1"/>
    </row>
    <row r="610" customFormat="false" ht="18" hidden="false" customHeight="true" outlineLevel="0" collapsed="false">
      <c r="A610" s="1"/>
      <c r="B610" s="35"/>
      <c r="C610" s="8"/>
      <c r="D610" s="26"/>
      <c r="E610" s="27"/>
      <c r="F610" s="36"/>
      <c r="G610" s="36"/>
      <c r="H610" s="36"/>
      <c r="I610" s="36"/>
      <c r="J610" s="37" t="str">
        <f aca="false">IF($E610="","",IFERROR(G610/F610,""))</f>
        <v/>
      </c>
      <c r="K610" s="30" t="str">
        <f aca="false">IF($E610="","",IFERROR(E610/G610,""))</f>
        <v/>
      </c>
      <c r="L610" s="30" t="str">
        <f aca="false">IF($E610="","",IFERROR(E610/F610*1000,""))</f>
        <v/>
      </c>
      <c r="M610" s="37" t="str">
        <f aca="false">IF($E610="","",IFERROR(H610/G610,""))</f>
        <v/>
      </c>
      <c r="N610" s="30" t="str">
        <f aca="false">IF($E610="","",IFERROR(E610/H610,"—"))</f>
        <v/>
      </c>
      <c r="O610" s="30" t="str">
        <f aca="false">IF($E610="","",IFERROR(INDEX('Гео-калькулятор'!$K$7:$K$13,MATCH($C610,'Гео-калькулятор'!$B$7:$B$13,0)),""))</f>
        <v/>
      </c>
      <c r="P610" s="38" t="str">
        <f aca="false">IF($E610="","",IFERROR(N610/O610,""))</f>
        <v/>
      </c>
      <c r="Q610" s="39" t="str">
        <f aca="false">IF($E610="","",IF($I610&lt;&gt;"",$I610,N($H610)*IFERROR(INDEX('Гео-калькулятор'!$E$7:$E$13,MATCH($C610,'Гео-калькулятор'!$B$7:$B$13,0)),0)))</f>
        <v/>
      </c>
      <c r="R610" s="38" t="str">
        <f aca="false">IF($E610="","",IFERROR(Q610/H610,""))</f>
        <v/>
      </c>
      <c r="S610" s="30" t="str">
        <f aca="false">IF($E610="","",IFERROR(E610/Q610,"—"))</f>
        <v/>
      </c>
      <c r="T610" s="30" t="str">
        <f aca="false">IF($E610="","",Q610*IFERROR(INDEX('Гео-калькулятор'!$D$7:$D$13,MATCH($C610,'Гео-калькулятор'!$B$7:$B$13,0)),0))</f>
        <v/>
      </c>
      <c r="U610" s="40" t="str">
        <f aca="false">IF($E610="","",T610-E610)</f>
        <v/>
      </c>
      <c r="V610" s="41" t="str">
        <f aca="false">IF($E610="","",IFERROR(U610/E610,""))</f>
        <v/>
      </c>
      <c r="W610" s="10" t="str">
        <f aca="false">IF($E610="","",IF($I610&lt;&gt;"","факт","прогноз"))</f>
        <v/>
      </c>
      <c r="X610" s="1"/>
      <c r="Y610" s="1"/>
      <c r="Z610" s="1"/>
      <c r="AA610" s="1"/>
      <c r="AB610" s="1"/>
      <c r="AC610" s="1"/>
      <c r="AD610" s="1"/>
    </row>
    <row r="611" customFormat="false" ht="18" hidden="false" customHeight="true" outlineLevel="0" collapsed="false">
      <c r="A611" s="1"/>
      <c r="B611" s="35"/>
      <c r="C611" s="8"/>
      <c r="D611" s="26"/>
      <c r="E611" s="27"/>
      <c r="F611" s="36"/>
      <c r="G611" s="36"/>
      <c r="H611" s="36"/>
      <c r="I611" s="36"/>
      <c r="J611" s="37" t="str">
        <f aca="false">IF($E611="","",IFERROR(G611/F611,""))</f>
        <v/>
      </c>
      <c r="K611" s="30" t="str">
        <f aca="false">IF($E611="","",IFERROR(E611/G611,""))</f>
        <v/>
      </c>
      <c r="L611" s="30" t="str">
        <f aca="false">IF($E611="","",IFERROR(E611/F611*1000,""))</f>
        <v/>
      </c>
      <c r="M611" s="37" t="str">
        <f aca="false">IF($E611="","",IFERROR(H611/G611,""))</f>
        <v/>
      </c>
      <c r="N611" s="30" t="str">
        <f aca="false">IF($E611="","",IFERROR(E611/H611,"—"))</f>
        <v/>
      </c>
      <c r="O611" s="30" t="str">
        <f aca="false">IF($E611="","",IFERROR(INDEX('Гео-калькулятор'!$K$7:$K$13,MATCH($C611,'Гео-калькулятор'!$B$7:$B$13,0)),""))</f>
        <v/>
      </c>
      <c r="P611" s="38" t="str">
        <f aca="false">IF($E611="","",IFERROR(N611/O611,""))</f>
        <v/>
      </c>
      <c r="Q611" s="39" t="str">
        <f aca="false">IF($E611="","",IF($I611&lt;&gt;"",$I611,N($H611)*IFERROR(INDEX('Гео-калькулятор'!$E$7:$E$13,MATCH($C611,'Гео-калькулятор'!$B$7:$B$13,0)),0)))</f>
        <v/>
      </c>
      <c r="R611" s="38" t="str">
        <f aca="false">IF($E611="","",IFERROR(Q611/H611,""))</f>
        <v/>
      </c>
      <c r="S611" s="30" t="str">
        <f aca="false">IF($E611="","",IFERROR(E611/Q611,"—"))</f>
        <v/>
      </c>
      <c r="T611" s="30" t="str">
        <f aca="false">IF($E611="","",Q611*IFERROR(INDEX('Гео-калькулятор'!$D$7:$D$13,MATCH($C611,'Гео-калькулятор'!$B$7:$B$13,0)),0))</f>
        <v/>
      </c>
      <c r="U611" s="40" t="str">
        <f aca="false">IF($E611="","",T611-E611)</f>
        <v/>
      </c>
      <c r="V611" s="41" t="str">
        <f aca="false">IF($E611="","",IFERROR(U611/E611,""))</f>
        <v/>
      </c>
      <c r="W611" s="10" t="str">
        <f aca="false">IF($E611="","",IF($I611&lt;&gt;"","факт","прогноз"))</f>
        <v/>
      </c>
      <c r="X611" s="1"/>
      <c r="Y611" s="1"/>
      <c r="Z611" s="1"/>
      <c r="AA611" s="1"/>
      <c r="AB611" s="1"/>
      <c r="AC611" s="1"/>
      <c r="AD611" s="1"/>
    </row>
    <row r="612" customFormat="false" ht="18" hidden="false" customHeight="true" outlineLevel="0" collapsed="false">
      <c r="A612" s="1"/>
      <c r="B612" s="35"/>
      <c r="C612" s="8"/>
      <c r="D612" s="26"/>
      <c r="E612" s="27"/>
      <c r="F612" s="36"/>
      <c r="G612" s="36"/>
      <c r="H612" s="36"/>
      <c r="I612" s="36"/>
      <c r="J612" s="37" t="str">
        <f aca="false">IF($E612="","",IFERROR(G612/F612,""))</f>
        <v/>
      </c>
      <c r="K612" s="30" t="str">
        <f aca="false">IF($E612="","",IFERROR(E612/G612,""))</f>
        <v/>
      </c>
      <c r="L612" s="30" t="str">
        <f aca="false">IF($E612="","",IFERROR(E612/F612*1000,""))</f>
        <v/>
      </c>
      <c r="M612" s="37" t="str">
        <f aca="false">IF($E612="","",IFERROR(H612/G612,""))</f>
        <v/>
      </c>
      <c r="N612" s="30" t="str">
        <f aca="false">IF($E612="","",IFERROR(E612/H612,"—"))</f>
        <v/>
      </c>
      <c r="O612" s="30" t="str">
        <f aca="false">IF($E612="","",IFERROR(INDEX('Гео-калькулятор'!$K$7:$K$13,MATCH($C612,'Гео-калькулятор'!$B$7:$B$13,0)),""))</f>
        <v/>
      </c>
      <c r="P612" s="38" t="str">
        <f aca="false">IF($E612="","",IFERROR(N612/O612,""))</f>
        <v/>
      </c>
      <c r="Q612" s="39" t="str">
        <f aca="false">IF($E612="","",IF($I612&lt;&gt;"",$I612,N($H612)*IFERROR(INDEX('Гео-калькулятор'!$E$7:$E$13,MATCH($C612,'Гео-калькулятор'!$B$7:$B$13,0)),0)))</f>
        <v/>
      </c>
      <c r="R612" s="38" t="str">
        <f aca="false">IF($E612="","",IFERROR(Q612/H612,""))</f>
        <v/>
      </c>
      <c r="S612" s="30" t="str">
        <f aca="false">IF($E612="","",IFERROR(E612/Q612,"—"))</f>
        <v/>
      </c>
      <c r="T612" s="30" t="str">
        <f aca="false">IF($E612="","",Q612*IFERROR(INDEX('Гео-калькулятор'!$D$7:$D$13,MATCH($C612,'Гео-калькулятор'!$B$7:$B$13,0)),0))</f>
        <v/>
      </c>
      <c r="U612" s="40" t="str">
        <f aca="false">IF($E612="","",T612-E612)</f>
        <v/>
      </c>
      <c r="V612" s="41" t="str">
        <f aca="false">IF($E612="","",IFERROR(U612/E612,""))</f>
        <v/>
      </c>
      <c r="W612" s="10" t="str">
        <f aca="false">IF($E612="","",IF($I612&lt;&gt;"","факт","прогноз"))</f>
        <v/>
      </c>
      <c r="X612" s="1"/>
      <c r="Y612" s="1"/>
      <c r="Z612" s="1"/>
      <c r="AA612" s="1"/>
      <c r="AB612" s="1"/>
      <c r="AC612" s="1"/>
      <c r="AD612" s="1"/>
    </row>
    <row r="613" customFormat="false" ht="18" hidden="false" customHeight="true" outlineLevel="0" collapsed="false">
      <c r="A613" s="1"/>
      <c r="B613" s="35"/>
      <c r="C613" s="8"/>
      <c r="D613" s="26"/>
      <c r="E613" s="27"/>
      <c r="F613" s="36"/>
      <c r="G613" s="36"/>
      <c r="H613" s="36"/>
      <c r="I613" s="36"/>
      <c r="J613" s="37" t="str">
        <f aca="false">IF($E613="","",IFERROR(G613/F613,""))</f>
        <v/>
      </c>
      <c r="K613" s="30" t="str">
        <f aca="false">IF($E613="","",IFERROR(E613/G613,""))</f>
        <v/>
      </c>
      <c r="L613" s="30" t="str">
        <f aca="false">IF($E613="","",IFERROR(E613/F613*1000,""))</f>
        <v/>
      </c>
      <c r="M613" s="37" t="str">
        <f aca="false">IF($E613="","",IFERROR(H613/G613,""))</f>
        <v/>
      </c>
      <c r="N613" s="30" t="str">
        <f aca="false">IF($E613="","",IFERROR(E613/H613,"—"))</f>
        <v/>
      </c>
      <c r="O613" s="30" t="str">
        <f aca="false">IF($E613="","",IFERROR(INDEX('Гео-калькулятор'!$K$7:$K$13,MATCH($C613,'Гео-калькулятор'!$B$7:$B$13,0)),""))</f>
        <v/>
      </c>
      <c r="P613" s="38" t="str">
        <f aca="false">IF($E613="","",IFERROR(N613/O613,""))</f>
        <v/>
      </c>
      <c r="Q613" s="39" t="str">
        <f aca="false">IF($E613="","",IF($I613&lt;&gt;"",$I613,N($H613)*IFERROR(INDEX('Гео-калькулятор'!$E$7:$E$13,MATCH($C613,'Гео-калькулятор'!$B$7:$B$13,0)),0)))</f>
        <v/>
      </c>
      <c r="R613" s="38" t="str">
        <f aca="false">IF($E613="","",IFERROR(Q613/H613,""))</f>
        <v/>
      </c>
      <c r="S613" s="30" t="str">
        <f aca="false">IF($E613="","",IFERROR(E613/Q613,"—"))</f>
        <v/>
      </c>
      <c r="T613" s="30" t="str">
        <f aca="false">IF($E613="","",Q613*IFERROR(INDEX('Гео-калькулятор'!$D$7:$D$13,MATCH($C613,'Гео-калькулятор'!$B$7:$B$13,0)),0))</f>
        <v/>
      </c>
      <c r="U613" s="40" t="str">
        <f aca="false">IF($E613="","",T613-E613)</f>
        <v/>
      </c>
      <c r="V613" s="41" t="str">
        <f aca="false">IF($E613="","",IFERROR(U613/E613,""))</f>
        <v/>
      </c>
      <c r="W613" s="10" t="str">
        <f aca="false">IF($E613="","",IF($I613&lt;&gt;"","факт","прогноз"))</f>
        <v/>
      </c>
      <c r="X613" s="1"/>
      <c r="Y613" s="1"/>
      <c r="Z613" s="1"/>
      <c r="AA613" s="1"/>
      <c r="AB613" s="1"/>
      <c r="AC613" s="1"/>
      <c r="AD613" s="1"/>
    </row>
    <row r="614" customFormat="false" ht="18" hidden="false" customHeight="true" outlineLevel="0" collapsed="false">
      <c r="A614" s="1"/>
      <c r="B614" s="35"/>
      <c r="C614" s="8"/>
      <c r="D614" s="26"/>
      <c r="E614" s="27"/>
      <c r="F614" s="36"/>
      <c r="G614" s="36"/>
      <c r="H614" s="36"/>
      <c r="I614" s="36"/>
      <c r="J614" s="37" t="str">
        <f aca="false">IF($E614="","",IFERROR(G614/F614,""))</f>
        <v/>
      </c>
      <c r="K614" s="30" t="str">
        <f aca="false">IF($E614="","",IFERROR(E614/G614,""))</f>
        <v/>
      </c>
      <c r="L614" s="30" t="str">
        <f aca="false">IF($E614="","",IFERROR(E614/F614*1000,""))</f>
        <v/>
      </c>
      <c r="M614" s="37" t="str">
        <f aca="false">IF($E614="","",IFERROR(H614/G614,""))</f>
        <v/>
      </c>
      <c r="N614" s="30" t="str">
        <f aca="false">IF($E614="","",IFERROR(E614/H614,"—"))</f>
        <v/>
      </c>
      <c r="O614" s="30" t="str">
        <f aca="false">IF($E614="","",IFERROR(INDEX('Гео-калькулятор'!$K$7:$K$13,MATCH($C614,'Гео-калькулятор'!$B$7:$B$13,0)),""))</f>
        <v/>
      </c>
      <c r="P614" s="38" t="str">
        <f aca="false">IF($E614="","",IFERROR(N614/O614,""))</f>
        <v/>
      </c>
      <c r="Q614" s="39" t="str">
        <f aca="false">IF($E614="","",IF($I614&lt;&gt;"",$I614,N($H614)*IFERROR(INDEX('Гео-калькулятор'!$E$7:$E$13,MATCH($C614,'Гео-калькулятор'!$B$7:$B$13,0)),0)))</f>
        <v/>
      </c>
      <c r="R614" s="38" t="str">
        <f aca="false">IF($E614="","",IFERROR(Q614/H614,""))</f>
        <v/>
      </c>
      <c r="S614" s="30" t="str">
        <f aca="false">IF($E614="","",IFERROR(E614/Q614,"—"))</f>
        <v/>
      </c>
      <c r="T614" s="30" t="str">
        <f aca="false">IF($E614="","",Q614*IFERROR(INDEX('Гео-калькулятор'!$D$7:$D$13,MATCH($C614,'Гео-калькулятор'!$B$7:$B$13,0)),0))</f>
        <v/>
      </c>
      <c r="U614" s="40" t="str">
        <f aca="false">IF($E614="","",T614-E614)</f>
        <v/>
      </c>
      <c r="V614" s="41" t="str">
        <f aca="false">IF($E614="","",IFERROR(U614/E614,""))</f>
        <v/>
      </c>
      <c r="W614" s="10" t="str">
        <f aca="false">IF($E614="","",IF($I614&lt;&gt;"","факт","прогноз"))</f>
        <v/>
      </c>
      <c r="X614" s="1"/>
      <c r="Y614" s="1"/>
      <c r="Z614" s="1"/>
      <c r="AA614" s="1"/>
      <c r="AB614" s="1"/>
      <c r="AC614" s="1"/>
      <c r="AD614" s="1"/>
    </row>
    <row r="615" customFormat="false" ht="18" hidden="false" customHeight="true" outlineLevel="0" collapsed="false">
      <c r="A615" s="1"/>
      <c r="B615" s="35"/>
      <c r="C615" s="8"/>
      <c r="D615" s="26"/>
      <c r="E615" s="27"/>
      <c r="F615" s="36"/>
      <c r="G615" s="36"/>
      <c r="H615" s="36"/>
      <c r="I615" s="36"/>
      <c r="J615" s="37" t="str">
        <f aca="false">IF($E615="","",IFERROR(G615/F615,""))</f>
        <v/>
      </c>
      <c r="K615" s="30" t="str">
        <f aca="false">IF($E615="","",IFERROR(E615/G615,""))</f>
        <v/>
      </c>
      <c r="L615" s="30" t="str">
        <f aca="false">IF($E615="","",IFERROR(E615/F615*1000,""))</f>
        <v/>
      </c>
      <c r="M615" s="37" t="str">
        <f aca="false">IF($E615="","",IFERROR(H615/G615,""))</f>
        <v/>
      </c>
      <c r="N615" s="30" t="str">
        <f aca="false">IF($E615="","",IFERROR(E615/H615,"—"))</f>
        <v/>
      </c>
      <c r="O615" s="30" t="str">
        <f aca="false">IF($E615="","",IFERROR(INDEX('Гео-калькулятор'!$K$7:$K$13,MATCH($C615,'Гео-калькулятор'!$B$7:$B$13,0)),""))</f>
        <v/>
      </c>
      <c r="P615" s="38" t="str">
        <f aca="false">IF($E615="","",IFERROR(N615/O615,""))</f>
        <v/>
      </c>
      <c r="Q615" s="39" t="str">
        <f aca="false">IF($E615="","",IF($I615&lt;&gt;"",$I615,N($H615)*IFERROR(INDEX('Гео-калькулятор'!$E$7:$E$13,MATCH($C615,'Гео-калькулятор'!$B$7:$B$13,0)),0)))</f>
        <v/>
      </c>
      <c r="R615" s="38" t="str">
        <f aca="false">IF($E615="","",IFERROR(Q615/H615,""))</f>
        <v/>
      </c>
      <c r="S615" s="30" t="str">
        <f aca="false">IF($E615="","",IFERROR(E615/Q615,"—"))</f>
        <v/>
      </c>
      <c r="T615" s="30" t="str">
        <f aca="false">IF($E615="","",Q615*IFERROR(INDEX('Гео-калькулятор'!$D$7:$D$13,MATCH($C615,'Гео-калькулятор'!$B$7:$B$13,0)),0))</f>
        <v/>
      </c>
      <c r="U615" s="40" t="str">
        <f aca="false">IF($E615="","",T615-E615)</f>
        <v/>
      </c>
      <c r="V615" s="41" t="str">
        <f aca="false">IF($E615="","",IFERROR(U615/E615,""))</f>
        <v/>
      </c>
      <c r="W615" s="10" t="str">
        <f aca="false">IF($E615="","",IF($I615&lt;&gt;"","факт","прогноз"))</f>
        <v/>
      </c>
      <c r="X615" s="1"/>
      <c r="Y615" s="1"/>
      <c r="Z615" s="1"/>
      <c r="AA615" s="1"/>
      <c r="AB615" s="1"/>
      <c r="AC615" s="1"/>
      <c r="AD615" s="1"/>
    </row>
    <row r="616" customFormat="false" ht="18" hidden="false" customHeight="true" outlineLevel="0" collapsed="false">
      <c r="A616" s="1"/>
      <c r="B616" s="35"/>
      <c r="C616" s="8"/>
      <c r="D616" s="26"/>
      <c r="E616" s="27"/>
      <c r="F616" s="36"/>
      <c r="G616" s="36"/>
      <c r="H616" s="36"/>
      <c r="I616" s="36"/>
      <c r="J616" s="37" t="str">
        <f aca="false">IF($E616="","",IFERROR(G616/F616,""))</f>
        <v/>
      </c>
      <c r="K616" s="30" t="str">
        <f aca="false">IF($E616="","",IFERROR(E616/G616,""))</f>
        <v/>
      </c>
      <c r="L616" s="30" t="str">
        <f aca="false">IF($E616="","",IFERROR(E616/F616*1000,""))</f>
        <v/>
      </c>
      <c r="M616" s="37" t="str">
        <f aca="false">IF($E616="","",IFERROR(H616/G616,""))</f>
        <v/>
      </c>
      <c r="N616" s="30" t="str">
        <f aca="false">IF($E616="","",IFERROR(E616/H616,"—"))</f>
        <v/>
      </c>
      <c r="O616" s="30" t="str">
        <f aca="false">IF($E616="","",IFERROR(INDEX('Гео-калькулятор'!$K$7:$K$13,MATCH($C616,'Гео-калькулятор'!$B$7:$B$13,0)),""))</f>
        <v/>
      </c>
      <c r="P616" s="38" t="str">
        <f aca="false">IF($E616="","",IFERROR(N616/O616,""))</f>
        <v/>
      </c>
      <c r="Q616" s="39" t="str">
        <f aca="false">IF($E616="","",IF($I616&lt;&gt;"",$I616,N($H616)*IFERROR(INDEX('Гео-калькулятор'!$E$7:$E$13,MATCH($C616,'Гео-калькулятор'!$B$7:$B$13,0)),0)))</f>
        <v/>
      </c>
      <c r="R616" s="38" t="str">
        <f aca="false">IF($E616="","",IFERROR(Q616/H616,""))</f>
        <v/>
      </c>
      <c r="S616" s="30" t="str">
        <f aca="false">IF($E616="","",IFERROR(E616/Q616,"—"))</f>
        <v/>
      </c>
      <c r="T616" s="30" t="str">
        <f aca="false">IF($E616="","",Q616*IFERROR(INDEX('Гео-калькулятор'!$D$7:$D$13,MATCH($C616,'Гео-калькулятор'!$B$7:$B$13,0)),0))</f>
        <v/>
      </c>
      <c r="U616" s="40" t="str">
        <f aca="false">IF($E616="","",T616-E616)</f>
        <v/>
      </c>
      <c r="V616" s="41" t="str">
        <f aca="false">IF($E616="","",IFERROR(U616/E616,""))</f>
        <v/>
      </c>
      <c r="W616" s="10" t="str">
        <f aca="false">IF($E616="","",IF($I616&lt;&gt;"","факт","прогноз"))</f>
        <v/>
      </c>
      <c r="X616" s="1"/>
      <c r="Y616" s="1"/>
      <c r="Z616" s="1"/>
      <c r="AA616" s="1"/>
      <c r="AB616" s="1"/>
      <c r="AC616" s="1"/>
      <c r="AD616" s="1"/>
    </row>
    <row r="617" customFormat="false" ht="18" hidden="false" customHeight="true" outlineLevel="0" collapsed="false">
      <c r="A617" s="1"/>
      <c r="B617" s="35"/>
      <c r="C617" s="8"/>
      <c r="D617" s="26"/>
      <c r="E617" s="27"/>
      <c r="F617" s="36"/>
      <c r="G617" s="36"/>
      <c r="H617" s="36"/>
      <c r="I617" s="36"/>
      <c r="J617" s="37" t="str">
        <f aca="false">IF($E617="","",IFERROR(G617/F617,""))</f>
        <v/>
      </c>
      <c r="K617" s="30" t="str">
        <f aca="false">IF($E617="","",IFERROR(E617/G617,""))</f>
        <v/>
      </c>
      <c r="L617" s="30" t="str">
        <f aca="false">IF($E617="","",IFERROR(E617/F617*1000,""))</f>
        <v/>
      </c>
      <c r="M617" s="37" t="str">
        <f aca="false">IF($E617="","",IFERROR(H617/G617,""))</f>
        <v/>
      </c>
      <c r="N617" s="30" t="str">
        <f aca="false">IF($E617="","",IFERROR(E617/H617,"—"))</f>
        <v/>
      </c>
      <c r="O617" s="30" t="str">
        <f aca="false">IF($E617="","",IFERROR(INDEX('Гео-калькулятор'!$K$7:$K$13,MATCH($C617,'Гео-калькулятор'!$B$7:$B$13,0)),""))</f>
        <v/>
      </c>
      <c r="P617" s="38" t="str">
        <f aca="false">IF($E617="","",IFERROR(N617/O617,""))</f>
        <v/>
      </c>
      <c r="Q617" s="39" t="str">
        <f aca="false">IF($E617="","",IF($I617&lt;&gt;"",$I617,N($H617)*IFERROR(INDEX('Гео-калькулятор'!$E$7:$E$13,MATCH($C617,'Гео-калькулятор'!$B$7:$B$13,0)),0)))</f>
        <v/>
      </c>
      <c r="R617" s="38" t="str">
        <f aca="false">IF($E617="","",IFERROR(Q617/H617,""))</f>
        <v/>
      </c>
      <c r="S617" s="30" t="str">
        <f aca="false">IF($E617="","",IFERROR(E617/Q617,"—"))</f>
        <v/>
      </c>
      <c r="T617" s="30" t="str">
        <f aca="false">IF($E617="","",Q617*IFERROR(INDEX('Гео-калькулятор'!$D$7:$D$13,MATCH($C617,'Гео-калькулятор'!$B$7:$B$13,0)),0))</f>
        <v/>
      </c>
      <c r="U617" s="40" t="str">
        <f aca="false">IF($E617="","",T617-E617)</f>
        <v/>
      </c>
      <c r="V617" s="41" t="str">
        <f aca="false">IF($E617="","",IFERROR(U617/E617,""))</f>
        <v/>
      </c>
      <c r="W617" s="10" t="str">
        <f aca="false">IF($E617="","",IF($I617&lt;&gt;"","факт","прогноз"))</f>
        <v/>
      </c>
      <c r="X617" s="1"/>
      <c r="Y617" s="1"/>
      <c r="Z617" s="1"/>
      <c r="AA617" s="1"/>
      <c r="AB617" s="1"/>
      <c r="AC617" s="1"/>
      <c r="AD617" s="1"/>
    </row>
    <row r="618" customFormat="false" ht="18" hidden="false" customHeight="true" outlineLevel="0" collapsed="false">
      <c r="A618" s="1"/>
      <c r="B618" s="35"/>
      <c r="C618" s="8"/>
      <c r="D618" s="26"/>
      <c r="E618" s="27"/>
      <c r="F618" s="36"/>
      <c r="G618" s="36"/>
      <c r="H618" s="36"/>
      <c r="I618" s="36"/>
      <c r="J618" s="37" t="str">
        <f aca="false">IF($E618="","",IFERROR(G618/F618,""))</f>
        <v/>
      </c>
      <c r="K618" s="30" t="str">
        <f aca="false">IF($E618="","",IFERROR(E618/G618,""))</f>
        <v/>
      </c>
      <c r="L618" s="30" t="str">
        <f aca="false">IF($E618="","",IFERROR(E618/F618*1000,""))</f>
        <v/>
      </c>
      <c r="M618" s="37" t="str">
        <f aca="false">IF($E618="","",IFERROR(H618/G618,""))</f>
        <v/>
      </c>
      <c r="N618" s="30" t="str">
        <f aca="false">IF($E618="","",IFERROR(E618/H618,"—"))</f>
        <v/>
      </c>
      <c r="O618" s="30" t="str">
        <f aca="false">IF($E618="","",IFERROR(INDEX('Гео-калькулятор'!$K$7:$K$13,MATCH($C618,'Гео-калькулятор'!$B$7:$B$13,0)),""))</f>
        <v/>
      </c>
      <c r="P618" s="38" t="str">
        <f aca="false">IF($E618="","",IFERROR(N618/O618,""))</f>
        <v/>
      </c>
      <c r="Q618" s="39" t="str">
        <f aca="false">IF($E618="","",IF($I618&lt;&gt;"",$I618,N($H618)*IFERROR(INDEX('Гео-калькулятор'!$E$7:$E$13,MATCH($C618,'Гео-калькулятор'!$B$7:$B$13,0)),0)))</f>
        <v/>
      </c>
      <c r="R618" s="38" t="str">
        <f aca="false">IF($E618="","",IFERROR(Q618/H618,""))</f>
        <v/>
      </c>
      <c r="S618" s="30" t="str">
        <f aca="false">IF($E618="","",IFERROR(E618/Q618,"—"))</f>
        <v/>
      </c>
      <c r="T618" s="30" t="str">
        <f aca="false">IF($E618="","",Q618*IFERROR(INDEX('Гео-калькулятор'!$D$7:$D$13,MATCH($C618,'Гео-калькулятор'!$B$7:$B$13,0)),0))</f>
        <v/>
      </c>
      <c r="U618" s="40" t="str">
        <f aca="false">IF($E618="","",T618-E618)</f>
        <v/>
      </c>
      <c r="V618" s="41" t="str">
        <f aca="false">IF($E618="","",IFERROR(U618/E618,""))</f>
        <v/>
      </c>
      <c r="W618" s="10" t="str">
        <f aca="false">IF($E618="","",IF($I618&lt;&gt;"","факт","прогноз"))</f>
        <v/>
      </c>
      <c r="X618" s="1"/>
      <c r="Y618" s="1"/>
      <c r="Z618" s="1"/>
      <c r="AA618" s="1"/>
      <c r="AB618" s="1"/>
      <c r="AC618" s="1"/>
      <c r="AD618" s="1"/>
    </row>
    <row r="619" customFormat="false" ht="18" hidden="false" customHeight="true" outlineLevel="0" collapsed="false">
      <c r="A619" s="1"/>
      <c r="B619" s="35"/>
      <c r="C619" s="8"/>
      <c r="D619" s="26"/>
      <c r="E619" s="27"/>
      <c r="F619" s="36"/>
      <c r="G619" s="36"/>
      <c r="H619" s="36"/>
      <c r="I619" s="36"/>
      <c r="J619" s="37" t="str">
        <f aca="false">IF($E619="","",IFERROR(G619/F619,""))</f>
        <v/>
      </c>
      <c r="K619" s="30" t="str">
        <f aca="false">IF($E619="","",IFERROR(E619/G619,""))</f>
        <v/>
      </c>
      <c r="L619" s="30" t="str">
        <f aca="false">IF($E619="","",IFERROR(E619/F619*1000,""))</f>
        <v/>
      </c>
      <c r="M619" s="37" t="str">
        <f aca="false">IF($E619="","",IFERROR(H619/G619,""))</f>
        <v/>
      </c>
      <c r="N619" s="30" t="str">
        <f aca="false">IF($E619="","",IFERROR(E619/H619,"—"))</f>
        <v/>
      </c>
      <c r="O619" s="30" t="str">
        <f aca="false">IF($E619="","",IFERROR(INDEX('Гео-калькулятор'!$K$7:$K$13,MATCH($C619,'Гео-калькулятор'!$B$7:$B$13,0)),""))</f>
        <v/>
      </c>
      <c r="P619" s="38" t="str">
        <f aca="false">IF($E619="","",IFERROR(N619/O619,""))</f>
        <v/>
      </c>
      <c r="Q619" s="39" t="str">
        <f aca="false">IF($E619="","",IF($I619&lt;&gt;"",$I619,N($H619)*IFERROR(INDEX('Гео-калькулятор'!$E$7:$E$13,MATCH($C619,'Гео-калькулятор'!$B$7:$B$13,0)),0)))</f>
        <v/>
      </c>
      <c r="R619" s="38" t="str">
        <f aca="false">IF($E619="","",IFERROR(Q619/H619,""))</f>
        <v/>
      </c>
      <c r="S619" s="30" t="str">
        <f aca="false">IF($E619="","",IFERROR(E619/Q619,"—"))</f>
        <v/>
      </c>
      <c r="T619" s="30" t="str">
        <f aca="false">IF($E619="","",Q619*IFERROR(INDEX('Гео-калькулятор'!$D$7:$D$13,MATCH($C619,'Гео-калькулятор'!$B$7:$B$13,0)),0))</f>
        <v/>
      </c>
      <c r="U619" s="40" t="str">
        <f aca="false">IF($E619="","",T619-E619)</f>
        <v/>
      </c>
      <c r="V619" s="41" t="str">
        <f aca="false">IF($E619="","",IFERROR(U619/E619,""))</f>
        <v/>
      </c>
      <c r="W619" s="10" t="str">
        <f aca="false">IF($E619="","",IF($I619&lt;&gt;"","факт","прогноз"))</f>
        <v/>
      </c>
      <c r="X619" s="1"/>
      <c r="Y619" s="1"/>
      <c r="Z619" s="1"/>
      <c r="AA619" s="1"/>
      <c r="AB619" s="1"/>
      <c r="AC619" s="1"/>
      <c r="AD619" s="1"/>
    </row>
    <row r="620" customFormat="false" ht="18" hidden="false" customHeight="true" outlineLevel="0" collapsed="false">
      <c r="A620" s="1"/>
      <c r="B620" s="35"/>
      <c r="C620" s="8"/>
      <c r="D620" s="26"/>
      <c r="E620" s="27"/>
      <c r="F620" s="36"/>
      <c r="G620" s="36"/>
      <c r="H620" s="36"/>
      <c r="I620" s="36"/>
      <c r="J620" s="37" t="str">
        <f aca="false">IF($E620="","",IFERROR(G620/F620,""))</f>
        <v/>
      </c>
      <c r="K620" s="30" t="str">
        <f aca="false">IF($E620="","",IFERROR(E620/G620,""))</f>
        <v/>
      </c>
      <c r="L620" s="30" t="str">
        <f aca="false">IF($E620="","",IFERROR(E620/F620*1000,""))</f>
        <v/>
      </c>
      <c r="M620" s="37" t="str">
        <f aca="false">IF($E620="","",IFERROR(H620/G620,""))</f>
        <v/>
      </c>
      <c r="N620" s="30" t="str">
        <f aca="false">IF($E620="","",IFERROR(E620/H620,"—"))</f>
        <v/>
      </c>
      <c r="O620" s="30" t="str">
        <f aca="false">IF($E620="","",IFERROR(INDEX('Гео-калькулятор'!$K$7:$K$13,MATCH($C620,'Гео-калькулятор'!$B$7:$B$13,0)),""))</f>
        <v/>
      </c>
      <c r="P620" s="38" t="str">
        <f aca="false">IF($E620="","",IFERROR(N620/O620,""))</f>
        <v/>
      </c>
      <c r="Q620" s="39" t="str">
        <f aca="false">IF($E620="","",IF($I620&lt;&gt;"",$I620,N($H620)*IFERROR(INDEX('Гео-калькулятор'!$E$7:$E$13,MATCH($C620,'Гео-калькулятор'!$B$7:$B$13,0)),0)))</f>
        <v/>
      </c>
      <c r="R620" s="38" t="str">
        <f aca="false">IF($E620="","",IFERROR(Q620/H620,""))</f>
        <v/>
      </c>
      <c r="S620" s="30" t="str">
        <f aca="false">IF($E620="","",IFERROR(E620/Q620,"—"))</f>
        <v/>
      </c>
      <c r="T620" s="30" t="str">
        <f aca="false">IF($E620="","",Q620*IFERROR(INDEX('Гео-калькулятор'!$D$7:$D$13,MATCH($C620,'Гео-калькулятор'!$B$7:$B$13,0)),0))</f>
        <v/>
      </c>
      <c r="U620" s="40" t="str">
        <f aca="false">IF($E620="","",T620-E620)</f>
        <v/>
      </c>
      <c r="V620" s="41" t="str">
        <f aca="false">IF($E620="","",IFERROR(U620/E620,""))</f>
        <v/>
      </c>
      <c r="W620" s="10" t="str">
        <f aca="false">IF($E620="","",IF($I620&lt;&gt;"","факт","прогноз"))</f>
        <v/>
      </c>
      <c r="X620" s="1"/>
      <c r="Y620" s="1"/>
      <c r="Z620" s="1"/>
      <c r="AA620" s="1"/>
      <c r="AB620" s="1"/>
      <c r="AC620" s="1"/>
      <c r="AD620" s="1"/>
    </row>
    <row r="621" customFormat="false" ht="18" hidden="false" customHeight="true" outlineLevel="0" collapsed="false">
      <c r="A621" s="1"/>
      <c r="B621" s="35"/>
      <c r="C621" s="8"/>
      <c r="D621" s="26"/>
      <c r="E621" s="27"/>
      <c r="F621" s="36"/>
      <c r="G621" s="36"/>
      <c r="H621" s="36"/>
      <c r="I621" s="36"/>
      <c r="J621" s="37" t="str">
        <f aca="false">IF($E621="","",IFERROR(G621/F621,""))</f>
        <v/>
      </c>
      <c r="K621" s="30" t="str">
        <f aca="false">IF($E621="","",IFERROR(E621/G621,""))</f>
        <v/>
      </c>
      <c r="L621" s="30" t="str">
        <f aca="false">IF($E621="","",IFERROR(E621/F621*1000,""))</f>
        <v/>
      </c>
      <c r="M621" s="37" t="str">
        <f aca="false">IF($E621="","",IFERROR(H621/G621,""))</f>
        <v/>
      </c>
      <c r="N621" s="30" t="str">
        <f aca="false">IF($E621="","",IFERROR(E621/H621,"—"))</f>
        <v/>
      </c>
      <c r="O621" s="30" t="str">
        <f aca="false">IF($E621="","",IFERROR(INDEX('Гео-калькулятор'!$K$7:$K$13,MATCH($C621,'Гео-калькулятор'!$B$7:$B$13,0)),""))</f>
        <v/>
      </c>
      <c r="P621" s="38" t="str">
        <f aca="false">IF($E621="","",IFERROR(N621/O621,""))</f>
        <v/>
      </c>
      <c r="Q621" s="39" t="str">
        <f aca="false">IF($E621="","",IF($I621&lt;&gt;"",$I621,N($H621)*IFERROR(INDEX('Гео-калькулятор'!$E$7:$E$13,MATCH($C621,'Гео-калькулятор'!$B$7:$B$13,0)),0)))</f>
        <v/>
      </c>
      <c r="R621" s="38" t="str">
        <f aca="false">IF($E621="","",IFERROR(Q621/H621,""))</f>
        <v/>
      </c>
      <c r="S621" s="30" t="str">
        <f aca="false">IF($E621="","",IFERROR(E621/Q621,"—"))</f>
        <v/>
      </c>
      <c r="T621" s="30" t="str">
        <f aca="false">IF($E621="","",Q621*IFERROR(INDEX('Гео-калькулятор'!$D$7:$D$13,MATCH($C621,'Гео-калькулятор'!$B$7:$B$13,0)),0))</f>
        <v/>
      </c>
      <c r="U621" s="40" t="str">
        <f aca="false">IF($E621="","",T621-E621)</f>
        <v/>
      </c>
      <c r="V621" s="41" t="str">
        <f aca="false">IF($E621="","",IFERROR(U621/E621,""))</f>
        <v/>
      </c>
      <c r="W621" s="10" t="str">
        <f aca="false">IF($E621="","",IF($I621&lt;&gt;"","факт","прогноз"))</f>
        <v/>
      </c>
      <c r="X621" s="1"/>
      <c r="Y621" s="1"/>
      <c r="Z621" s="1"/>
      <c r="AA621" s="1"/>
      <c r="AB621" s="1"/>
      <c r="AC621" s="1"/>
      <c r="AD621" s="1"/>
    </row>
    <row r="622" customFormat="false" ht="18" hidden="false" customHeight="true" outlineLevel="0" collapsed="false">
      <c r="A622" s="1"/>
      <c r="B622" s="35"/>
      <c r="C622" s="8"/>
      <c r="D622" s="26"/>
      <c r="E622" s="27"/>
      <c r="F622" s="36"/>
      <c r="G622" s="36"/>
      <c r="H622" s="36"/>
      <c r="I622" s="36"/>
      <c r="J622" s="37" t="str">
        <f aca="false">IF($E622="","",IFERROR(G622/F622,""))</f>
        <v/>
      </c>
      <c r="K622" s="30" t="str">
        <f aca="false">IF($E622="","",IFERROR(E622/G622,""))</f>
        <v/>
      </c>
      <c r="L622" s="30" t="str">
        <f aca="false">IF($E622="","",IFERROR(E622/F622*1000,""))</f>
        <v/>
      </c>
      <c r="M622" s="37" t="str">
        <f aca="false">IF($E622="","",IFERROR(H622/G622,""))</f>
        <v/>
      </c>
      <c r="N622" s="30" t="str">
        <f aca="false">IF($E622="","",IFERROR(E622/H622,"—"))</f>
        <v/>
      </c>
      <c r="O622" s="30" t="str">
        <f aca="false">IF($E622="","",IFERROR(INDEX('Гео-калькулятор'!$K$7:$K$13,MATCH($C622,'Гео-калькулятор'!$B$7:$B$13,0)),""))</f>
        <v/>
      </c>
      <c r="P622" s="38" t="str">
        <f aca="false">IF($E622="","",IFERROR(N622/O622,""))</f>
        <v/>
      </c>
      <c r="Q622" s="39" t="str">
        <f aca="false">IF($E622="","",IF($I622&lt;&gt;"",$I622,N($H622)*IFERROR(INDEX('Гео-калькулятор'!$E$7:$E$13,MATCH($C622,'Гео-калькулятор'!$B$7:$B$13,0)),0)))</f>
        <v/>
      </c>
      <c r="R622" s="38" t="str">
        <f aca="false">IF($E622="","",IFERROR(Q622/H622,""))</f>
        <v/>
      </c>
      <c r="S622" s="30" t="str">
        <f aca="false">IF($E622="","",IFERROR(E622/Q622,"—"))</f>
        <v/>
      </c>
      <c r="T622" s="30" t="str">
        <f aca="false">IF($E622="","",Q622*IFERROR(INDEX('Гео-калькулятор'!$D$7:$D$13,MATCH($C622,'Гео-калькулятор'!$B$7:$B$13,0)),0))</f>
        <v/>
      </c>
      <c r="U622" s="40" t="str">
        <f aca="false">IF($E622="","",T622-E622)</f>
        <v/>
      </c>
      <c r="V622" s="41" t="str">
        <f aca="false">IF($E622="","",IFERROR(U622/E622,""))</f>
        <v/>
      </c>
      <c r="W622" s="10" t="str">
        <f aca="false">IF($E622="","",IF($I622&lt;&gt;"","факт","прогноз"))</f>
        <v/>
      </c>
      <c r="X622" s="1"/>
      <c r="Y622" s="1"/>
      <c r="Z622" s="1"/>
      <c r="AA622" s="1"/>
      <c r="AB622" s="1"/>
      <c r="AC622" s="1"/>
      <c r="AD622" s="1"/>
    </row>
    <row r="623" customFormat="false" ht="18" hidden="false" customHeight="true" outlineLevel="0" collapsed="false">
      <c r="A623" s="1"/>
      <c r="B623" s="35"/>
      <c r="C623" s="8"/>
      <c r="D623" s="26"/>
      <c r="E623" s="27"/>
      <c r="F623" s="36"/>
      <c r="G623" s="36"/>
      <c r="H623" s="36"/>
      <c r="I623" s="36"/>
      <c r="J623" s="37" t="str">
        <f aca="false">IF($E623="","",IFERROR(G623/F623,""))</f>
        <v/>
      </c>
      <c r="K623" s="30" t="str">
        <f aca="false">IF($E623="","",IFERROR(E623/G623,""))</f>
        <v/>
      </c>
      <c r="L623" s="30" t="str">
        <f aca="false">IF($E623="","",IFERROR(E623/F623*1000,""))</f>
        <v/>
      </c>
      <c r="M623" s="37" t="str">
        <f aca="false">IF($E623="","",IFERROR(H623/G623,""))</f>
        <v/>
      </c>
      <c r="N623" s="30" t="str">
        <f aca="false">IF($E623="","",IFERROR(E623/H623,"—"))</f>
        <v/>
      </c>
      <c r="O623" s="30" t="str">
        <f aca="false">IF($E623="","",IFERROR(INDEX('Гео-калькулятор'!$K$7:$K$13,MATCH($C623,'Гео-калькулятор'!$B$7:$B$13,0)),""))</f>
        <v/>
      </c>
      <c r="P623" s="38" t="str">
        <f aca="false">IF($E623="","",IFERROR(N623/O623,""))</f>
        <v/>
      </c>
      <c r="Q623" s="39" t="str">
        <f aca="false">IF($E623="","",IF($I623&lt;&gt;"",$I623,N($H623)*IFERROR(INDEX('Гео-калькулятор'!$E$7:$E$13,MATCH($C623,'Гео-калькулятор'!$B$7:$B$13,0)),0)))</f>
        <v/>
      </c>
      <c r="R623" s="38" t="str">
        <f aca="false">IF($E623="","",IFERROR(Q623/H623,""))</f>
        <v/>
      </c>
      <c r="S623" s="30" t="str">
        <f aca="false">IF($E623="","",IFERROR(E623/Q623,"—"))</f>
        <v/>
      </c>
      <c r="T623" s="30" t="str">
        <f aca="false">IF($E623="","",Q623*IFERROR(INDEX('Гео-калькулятор'!$D$7:$D$13,MATCH($C623,'Гео-калькулятор'!$B$7:$B$13,0)),0))</f>
        <v/>
      </c>
      <c r="U623" s="40" t="str">
        <f aca="false">IF($E623="","",T623-E623)</f>
        <v/>
      </c>
      <c r="V623" s="41" t="str">
        <f aca="false">IF($E623="","",IFERROR(U623/E623,""))</f>
        <v/>
      </c>
      <c r="W623" s="10" t="str">
        <f aca="false">IF($E623="","",IF($I623&lt;&gt;"","факт","прогноз"))</f>
        <v/>
      </c>
      <c r="X623" s="1"/>
      <c r="Y623" s="1"/>
      <c r="Z623" s="1"/>
      <c r="AA623" s="1"/>
      <c r="AB623" s="1"/>
      <c r="AC623" s="1"/>
      <c r="AD623" s="1"/>
    </row>
    <row r="624" customFormat="false" ht="18" hidden="false" customHeight="true" outlineLevel="0" collapsed="false">
      <c r="A624" s="1"/>
      <c r="B624" s="35"/>
      <c r="C624" s="8"/>
      <c r="D624" s="26"/>
      <c r="E624" s="27"/>
      <c r="F624" s="36"/>
      <c r="G624" s="36"/>
      <c r="H624" s="36"/>
      <c r="I624" s="36"/>
      <c r="J624" s="37" t="str">
        <f aca="false">IF($E624="","",IFERROR(G624/F624,""))</f>
        <v/>
      </c>
      <c r="K624" s="30" t="str">
        <f aca="false">IF($E624="","",IFERROR(E624/G624,""))</f>
        <v/>
      </c>
      <c r="L624" s="30" t="str">
        <f aca="false">IF($E624="","",IFERROR(E624/F624*1000,""))</f>
        <v/>
      </c>
      <c r="M624" s="37" t="str">
        <f aca="false">IF($E624="","",IFERROR(H624/G624,""))</f>
        <v/>
      </c>
      <c r="N624" s="30" t="str">
        <f aca="false">IF($E624="","",IFERROR(E624/H624,"—"))</f>
        <v/>
      </c>
      <c r="O624" s="30" t="str">
        <f aca="false">IF($E624="","",IFERROR(INDEX('Гео-калькулятор'!$K$7:$K$13,MATCH($C624,'Гео-калькулятор'!$B$7:$B$13,0)),""))</f>
        <v/>
      </c>
      <c r="P624" s="38" t="str">
        <f aca="false">IF($E624="","",IFERROR(N624/O624,""))</f>
        <v/>
      </c>
      <c r="Q624" s="39" t="str">
        <f aca="false">IF($E624="","",IF($I624&lt;&gt;"",$I624,N($H624)*IFERROR(INDEX('Гео-калькулятор'!$E$7:$E$13,MATCH($C624,'Гео-калькулятор'!$B$7:$B$13,0)),0)))</f>
        <v/>
      </c>
      <c r="R624" s="38" t="str">
        <f aca="false">IF($E624="","",IFERROR(Q624/H624,""))</f>
        <v/>
      </c>
      <c r="S624" s="30" t="str">
        <f aca="false">IF($E624="","",IFERROR(E624/Q624,"—"))</f>
        <v/>
      </c>
      <c r="T624" s="30" t="str">
        <f aca="false">IF($E624="","",Q624*IFERROR(INDEX('Гео-калькулятор'!$D$7:$D$13,MATCH($C624,'Гео-калькулятор'!$B$7:$B$13,0)),0))</f>
        <v/>
      </c>
      <c r="U624" s="40" t="str">
        <f aca="false">IF($E624="","",T624-E624)</f>
        <v/>
      </c>
      <c r="V624" s="41" t="str">
        <f aca="false">IF($E624="","",IFERROR(U624/E624,""))</f>
        <v/>
      </c>
      <c r="W624" s="10" t="str">
        <f aca="false">IF($E624="","",IF($I624&lt;&gt;"","факт","прогноз"))</f>
        <v/>
      </c>
      <c r="X624" s="1"/>
      <c r="Y624" s="1"/>
      <c r="Z624" s="1"/>
      <c r="AA624" s="1"/>
      <c r="AB624" s="1"/>
      <c r="AC624" s="1"/>
      <c r="AD624" s="1"/>
    </row>
    <row r="625" customFormat="false" ht="18" hidden="false" customHeight="true" outlineLevel="0" collapsed="false">
      <c r="A625" s="1"/>
      <c r="B625" s="35"/>
      <c r="C625" s="8"/>
      <c r="D625" s="26"/>
      <c r="E625" s="27"/>
      <c r="F625" s="36"/>
      <c r="G625" s="36"/>
      <c r="H625" s="36"/>
      <c r="I625" s="36"/>
      <c r="J625" s="37" t="str">
        <f aca="false">IF($E625="","",IFERROR(G625/F625,""))</f>
        <v/>
      </c>
      <c r="K625" s="30" t="str">
        <f aca="false">IF($E625="","",IFERROR(E625/G625,""))</f>
        <v/>
      </c>
      <c r="L625" s="30" t="str">
        <f aca="false">IF($E625="","",IFERROR(E625/F625*1000,""))</f>
        <v/>
      </c>
      <c r="M625" s="37" t="str">
        <f aca="false">IF($E625="","",IFERROR(H625/G625,""))</f>
        <v/>
      </c>
      <c r="N625" s="30" t="str">
        <f aca="false">IF($E625="","",IFERROR(E625/H625,"—"))</f>
        <v/>
      </c>
      <c r="O625" s="30" t="str">
        <f aca="false">IF($E625="","",IFERROR(INDEX('Гео-калькулятор'!$K$7:$K$13,MATCH($C625,'Гео-калькулятор'!$B$7:$B$13,0)),""))</f>
        <v/>
      </c>
      <c r="P625" s="38" t="str">
        <f aca="false">IF($E625="","",IFERROR(N625/O625,""))</f>
        <v/>
      </c>
      <c r="Q625" s="39" t="str">
        <f aca="false">IF($E625="","",IF($I625&lt;&gt;"",$I625,N($H625)*IFERROR(INDEX('Гео-калькулятор'!$E$7:$E$13,MATCH($C625,'Гео-калькулятор'!$B$7:$B$13,0)),0)))</f>
        <v/>
      </c>
      <c r="R625" s="38" t="str">
        <f aca="false">IF($E625="","",IFERROR(Q625/H625,""))</f>
        <v/>
      </c>
      <c r="S625" s="30" t="str">
        <f aca="false">IF($E625="","",IFERROR(E625/Q625,"—"))</f>
        <v/>
      </c>
      <c r="T625" s="30" t="str">
        <f aca="false">IF($E625="","",Q625*IFERROR(INDEX('Гео-калькулятор'!$D$7:$D$13,MATCH($C625,'Гео-калькулятор'!$B$7:$B$13,0)),0))</f>
        <v/>
      </c>
      <c r="U625" s="40" t="str">
        <f aca="false">IF($E625="","",T625-E625)</f>
        <v/>
      </c>
      <c r="V625" s="41" t="str">
        <f aca="false">IF($E625="","",IFERROR(U625/E625,""))</f>
        <v/>
      </c>
      <c r="W625" s="10" t="str">
        <f aca="false">IF($E625="","",IF($I625&lt;&gt;"","факт","прогноз"))</f>
        <v/>
      </c>
      <c r="X625" s="1"/>
      <c r="Y625" s="1"/>
      <c r="Z625" s="1"/>
      <c r="AA625" s="1"/>
      <c r="AB625" s="1"/>
      <c r="AC625" s="1"/>
      <c r="AD625" s="1"/>
    </row>
    <row r="626" customFormat="false" ht="18" hidden="false" customHeight="true" outlineLevel="0" collapsed="false">
      <c r="A626" s="1"/>
      <c r="B626" s="35"/>
      <c r="C626" s="8"/>
      <c r="D626" s="26"/>
      <c r="E626" s="27"/>
      <c r="F626" s="36"/>
      <c r="G626" s="36"/>
      <c r="H626" s="36"/>
      <c r="I626" s="36"/>
      <c r="J626" s="37" t="str">
        <f aca="false">IF($E626="","",IFERROR(G626/F626,""))</f>
        <v/>
      </c>
      <c r="K626" s="30" t="str">
        <f aca="false">IF($E626="","",IFERROR(E626/G626,""))</f>
        <v/>
      </c>
      <c r="L626" s="30" t="str">
        <f aca="false">IF($E626="","",IFERROR(E626/F626*1000,""))</f>
        <v/>
      </c>
      <c r="M626" s="37" t="str">
        <f aca="false">IF($E626="","",IFERROR(H626/G626,""))</f>
        <v/>
      </c>
      <c r="N626" s="30" t="str">
        <f aca="false">IF($E626="","",IFERROR(E626/H626,"—"))</f>
        <v/>
      </c>
      <c r="O626" s="30" t="str">
        <f aca="false">IF($E626="","",IFERROR(INDEX('Гео-калькулятор'!$K$7:$K$13,MATCH($C626,'Гео-калькулятор'!$B$7:$B$13,0)),""))</f>
        <v/>
      </c>
      <c r="P626" s="38" t="str">
        <f aca="false">IF($E626="","",IFERROR(N626/O626,""))</f>
        <v/>
      </c>
      <c r="Q626" s="39" t="str">
        <f aca="false">IF($E626="","",IF($I626&lt;&gt;"",$I626,N($H626)*IFERROR(INDEX('Гео-калькулятор'!$E$7:$E$13,MATCH($C626,'Гео-калькулятор'!$B$7:$B$13,0)),0)))</f>
        <v/>
      </c>
      <c r="R626" s="38" t="str">
        <f aca="false">IF($E626="","",IFERROR(Q626/H626,""))</f>
        <v/>
      </c>
      <c r="S626" s="30" t="str">
        <f aca="false">IF($E626="","",IFERROR(E626/Q626,"—"))</f>
        <v/>
      </c>
      <c r="T626" s="30" t="str">
        <f aca="false">IF($E626="","",Q626*IFERROR(INDEX('Гео-калькулятор'!$D$7:$D$13,MATCH($C626,'Гео-калькулятор'!$B$7:$B$13,0)),0))</f>
        <v/>
      </c>
      <c r="U626" s="40" t="str">
        <f aca="false">IF($E626="","",T626-E626)</f>
        <v/>
      </c>
      <c r="V626" s="41" t="str">
        <f aca="false">IF($E626="","",IFERROR(U626/E626,""))</f>
        <v/>
      </c>
      <c r="W626" s="10" t="str">
        <f aca="false">IF($E626="","",IF($I626&lt;&gt;"","факт","прогноз"))</f>
        <v/>
      </c>
      <c r="X626" s="1"/>
      <c r="Y626" s="1"/>
      <c r="Z626" s="1"/>
      <c r="AA626" s="1"/>
      <c r="AB626" s="1"/>
      <c r="AC626" s="1"/>
      <c r="AD626" s="1"/>
    </row>
    <row r="627" customFormat="false" ht="18" hidden="false" customHeight="true" outlineLevel="0" collapsed="false">
      <c r="A627" s="1"/>
      <c r="B627" s="35"/>
      <c r="C627" s="8"/>
      <c r="D627" s="26"/>
      <c r="E627" s="27"/>
      <c r="F627" s="36"/>
      <c r="G627" s="36"/>
      <c r="H627" s="36"/>
      <c r="I627" s="36"/>
      <c r="J627" s="37" t="str">
        <f aca="false">IF($E627="","",IFERROR(G627/F627,""))</f>
        <v/>
      </c>
      <c r="K627" s="30" t="str">
        <f aca="false">IF($E627="","",IFERROR(E627/G627,""))</f>
        <v/>
      </c>
      <c r="L627" s="30" t="str">
        <f aca="false">IF($E627="","",IFERROR(E627/F627*1000,""))</f>
        <v/>
      </c>
      <c r="M627" s="37" t="str">
        <f aca="false">IF($E627="","",IFERROR(H627/G627,""))</f>
        <v/>
      </c>
      <c r="N627" s="30" t="str">
        <f aca="false">IF($E627="","",IFERROR(E627/H627,"—"))</f>
        <v/>
      </c>
      <c r="O627" s="30" t="str">
        <f aca="false">IF($E627="","",IFERROR(INDEX('Гео-калькулятор'!$K$7:$K$13,MATCH($C627,'Гео-калькулятор'!$B$7:$B$13,0)),""))</f>
        <v/>
      </c>
      <c r="P627" s="38" t="str">
        <f aca="false">IF($E627="","",IFERROR(N627/O627,""))</f>
        <v/>
      </c>
      <c r="Q627" s="39" t="str">
        <f aca="false">IF($E627="","",IF($I627&lt;&gt;"",$I627,N($H627)*IFERROR(INDEX('Гео-калькулятор'!$E$7:$E$13,MATCH($C627,'Гео-калькулятор'!$B$7:$B$13,0)),0)))</f>
        <v/>
      </c>
      <c r="R627" s="38" t="str">
        <f aca="false">IF($E627="","",IFERROR(Q627/H627,""))</f>
        <v/>
      </c>
      <c r="S627" s="30" t="str">
        <f aca="false">IF($E627="","",IFERROR(E627/Q627,"—"))</f>
        <v/>
      </c>
      <c r="T627" s="30" t="str">
        <f aca="false">IF($E627="","",Q627*IFERROR(INDEX('Гео-калькулятор'!$D$7:$D$13,MATCH($C627,'Гео-калькулятор'!$B$7:$B$13,0)),0))</f>
        <v/>
      </c>
      <c r="U627" s="40" t="str">
        <f aca="false">IF($E627="","",T627-E627)</f>
        <v/>
      </c>
      <c r="V627" s="41" t="str">
        <f aca="false">IF($E627="","",IFERROR(U627/E627,""))</f>
        <v/>
      </c>
      <c r="W627" s="10" t="str">
        <f aca="false">IF($E627="","",IF($I627&lt;&gt;"","факт","прогноз"))</f>
        <v/>
      </c>
      <c r="X627" s="1"/>
      <c r="Y627" s="1"/>
      <c r="Z627" s="1"/>
      <c r="AA627" s="1"/>
      <c r="AB627" s="1"/>
      <c r="AC627" s="1"/>
      <c r="AD627" s="1"/>
    </row>
    <row r="628" customFormat="false" ht="18" hidden="false" customHeight="true" outlineLevel="0" collapsed="false">
      <c r="A628" s="1"/>
      <c r="B628" s="35"/>
      <c r="C628" s="8"/>
      <c r="D628" s="26"/>
      <c r="E628" s="27"/>
      <c r="F628" s="36"/>
      <c r="G628" s="36"/>
      <c r="H628" s="36"/>
      <c r="I628" s="36"/>
      <c r="J628" s="37" t="str">
        <f aca="false">IF($E628="","",IFERROR(G628/F628,""))</f>
        <v/>
      </c>
      <c r="K628" s="30" t="str">
        <f aca="false">IF($E628="","",IFERROR(E628/G628,""))</f>
        <v/>
      </c>
      <c r="L628" s="30" t="str">
        <f aca="false">IF($E628="","",IFERROR(E628/F628*1000,""))</f>
        <v/>
      </c>
      <c r="M628" s="37" t="str">
        <f aca="false">IF($E628="","",IFERROR(H628/G628,""))</f>
        <v/>
      </c>
      <c r="N628" s="30" t="str">
        <f aca="false">IF($E628="","",IFERROR(E628/H628,"—"))</f>
        <v/>
      </c>
      <c r="O628" s="30" t="str">
        <f aca="false">IF($E628="","",IFERROR(INDEX('Гео-калькулятор'!$K$7:$K$13,MATCH($C628,'Гео-калькулятор'!$B$7:$B$13,0)),""))</f>
        <v/>
      </c>
      <c r="P628" s="38" t="str">
        <f aca="false">IF($E628="","",IFERROR(N628/O628,""))</f>
        <v/>
      </c>
      <c r="Q628" s="39" t="str">
        <f aca="false">IF($E628="","",IF($I628&lt;&gt;"",$I628,N($H628)*IFERROR(INDEX('Гео-калькулятор'!$E$7:$E$13,MATCH($C628,'Гео-калькулятор'!$B$7:$B$13,0)),0)))</f>
        <v/>
      </c>
      <c r="R628" s="38" t="str">
        <f aca="false">IF($E628="","",IFERROR(Q628/H628,""))</f>
        <v/>
      </c>
      <c r="S628" s="30" t="str">
        <f aca="false">IF($E628="","",IFERROR(E628/Q628,"—"))</f>
        <v/>
      </c>
      <c r="T628" s="30" t="str">
        <f aca="false">IF($E628="","",Q628*IFERROR(INDEX('Гео-калькулятор'!$D$7:$D$13,MATCH($C628,'Гео-калькулятор'!$B$7:$B$13,0)),0))</f>
        <v/>
      </c>
      <c r="U628" s="40" t="str">
        <f aca="false">IF($E628="","",T628-E628)</f>
        <v/>
      </c>
      <c r="V628" s="41" t="str">
        <f aca="false">IF($E628="","",IFERROR(U628/E628,""))</f>
        <v/>
      </c>
      <c r="W628" s="10" t="str">
        <f aca="false">IF($E628="","",IF($I628&lt;&gt;"","факт","прогноз"))</f>
        <v/>
      </c>
      <c r="X628" s="1"/>
      <c r="Y628" s="1"/>
      <c r="Z628" s="1"/>
      <c r="AA628" s="1"/>
      <c r="AB628" s="1"/>
      <c r="AC628" s="1"/>
      <c r="AD628" s="1"/>
    </row>
    <row r="629" customFormat="false" ht="18" hidden="false" customHeight="true" outlineLevel="0" collapsed="false">
      <c r="A629" s="1"/>
      <c r="B629" s="35"/>
      <c r="C629" s="8"/>
      <c r="D629" s="26"/>
      <c r="E629" s="27"/>
      <c r="F629" s="36"/>
      <c r="G629" s="36"/>
      <c r="H629" s="36"/>
      <c r="I629" s="36"/>
      <c r="J629" s="37" t="str">
        <f aca="false">IF($E629="","",IFERROR(G629/F629,""))</f>
        <v/>
      </c>
      <c r="K629" s="30" t="str">
        <f aca="false">IF($E629="","",IFERROR(E629/G629,""))</f>
        <v/>
      </c>
      <c r="L629" s="30" t="str">
        <f aca="false">IF($E629="","",IFERROR(E629/F629*1000,""))</f>
        <v/>
      </c>
      <c r="M629" s="37" t="str">
        <f aca="false">IF($E629="","",IFERROR(H629/G629,""))</f>
        <v/>
      </c>
      <c r="N629" s="30" t="str">
        <f aca="false">IF($E629="","",IFERROR(E629/H629,"—"))</f>
        <v/>
      </c>
      <c r="O629" s="30" t="str">
        <f aca="false">IF($E629="","",IFERROR(INDEX('Гео-калькулятор'!$K$7:$K$13,MATCH($C629,'Гео-калькулятор'!$B$7:$B$13,0)),""))</f>
        <v/>
      </c>
      <c r="P629" s="38" t="str">
        <f aca="false">IF($E629="","",IFERROR(N629/O629,""))</f>
        <v/>
      </c>
      <c r="Q629" s="39" t="str">
        <f aca="false">IF($E629="","",IF($I629&lt;&gt;"",$I629,N($H629)*IFERROR(INDEX('Гео-калькулятор'!$E$7:$E$13,MATCH($C629,'Гео-калькулятор'!$B$7:$B$13,0)),0)))</f>
        <v/>
      </c>
      <c r="R629" s="38" t="str">
        <f aca="false">IF($E629="","",IFERROR(Q629/H629,""))</f>
        <v/>
      </c>
      <c r="S629" s="30" t="str">
        <f aca="false">IF($E629="","",IFERROR(E629/Q629,"—"))</f>
        <v/>
      </c>
      <c r="T629" s="30" t="str">
        <f aca="false">IF($E629="","",Q629*IFERROR(INDEX('Гео-калькулятор'!$D$7:$D$13,MATCH($C629,'Гео-калькулятор'!$B$7:$B$13,0)),0))</f>
        <v/>
      </c>
      <c r="U629" s="40" t="str">
        <f aca="false">IF($E629="","",T629-E629)</f>
        <v/>
      </c>
      <c r="V629" s="41" t="str">
        <f aca="false">IF($E629="","",IFERROR(U629/E629,""))</f>
        <v/>
      </c>
      <c r="W629" s="10" t="str">
        <f aca="false">IF($E629="","",IF($I629&lt;&gt;"","факт","прогноз"))</f>
        <v/>
      </c>
      <c r="X629" s="1"/>
      <c r="Y629" s="1"/>
      <c r="Z629" s="1"/>
      <c r="AA629" s="1"/>
      <c r="AB629" s="1"/>
      <c r="AC629" s="1"/>
      <c r="AD629" s="1"/>
    </row>
    <row r="630" customFormat="false" ht="18" hidden="false" customHeight="true" outlineLevel="0" collapsed="false">
      <c r="A630" s="1"/>
      <c r="B630" s="35"/>
      <c r="C630" s="8"/>
      <c r="D630" s="26"/>
      <c r="E630" s="27"/>
      <c r="F630" s="36"/>
      <c r="G630" s="36"/>
      <c r="H630" s="36"/>
      <c r="I630" s="36"/>
      <c r="J630" s="37" t="str">
        <f aca="false">IF($E630="","",IFERROR(G630/F630,""))</f>
        <v/>
      </c>
      <c r="K630" s="30" t="str">
        <f aca="false">IF($E630="","",IFERROR(E630/G630,""))</f>
        <v/>
      </c>
      <c r="L630" s="30" t="str">
        <f aca="false">IF($E630="","",IFERROR(E630/F630*1000,""))</f>
        <v/>
      </c>
      <c r="M630" s="37" t="str">
        <f aca="false">IF($E630="","",IFERROR(H630/G630,""))</f>
        <v/>
      </c>
      <c r="N630" s="30" t="str">
        <f aca="false">IF($E630="","",IFERROR(E630/H630,"—"))</f>
        <v/>
      </c>
      <c r="O630" s="30" t="str">
        <f aca="false">IF($E630="","",IFERROR(INDEX('Гео-калькулятор'!$K$7:$K$13,MATCH($C630,'Гео-калькулятор'!$B$7:$B$13,0)),""))</f>
        <v/>
      </c>
      <c r="P630" s="38" t="str">
        <f aca="false">IF($E630="","",IFERROR(N630/O630,""))</f>
        <v/>
      </c>
      <c r="Q630" s="39" t="str">
        <f aca="false">IF($E630="","",IF($I630&lt;&gt;"",$I630,N($H630)*IFERROR(INDEX('Гео-калькулятор'!$E$7:$E$13,MATCH($C630,'Гео-калькулятор'!$B$7:$B$13,0)),0)))</f>
        <v/>
      </c>
      <c r="R630" s="38" t="str">
        <f aca="false">IF($E630="","",IFERROR(Q630/H630,""))</f>
        <v/>
      </c>
      <c r="S630" s="30" t="str">
        <f aca="false">IF($E630="","",IFERROR(E630/Q630,"—"))</f>
        <v/>
      </c>
      <c r="T630" s="30" t="str">
        <f aca="false">IF($E630="","",Q630*IFERROR(INDEX('Гео-калькулятор'!$D$7:$D$13,MATCH($C630,'Гео-калькулятор'!$B$7:$B$13,0)),0))</f>
        <v/>
      </c>
      <c r="U630" s="40" t="str">
        <f aca="false">IF($E630="","",T630-E630)</f>
        <v/>
      </c>
      <c r="V630" s="41" t="str">
        <f aca="false">IF($E630="","",IFERROR(U630/E630,""))</f>
        <v/>
      </c>
      <c r="W630" s="10" t="str">
        <f aca="false">IF($E630="","",IF($I630&lt;&gt;"","факт","прогноз"))</f>
        <v/>
      </c>
      <c r="X630" s="1"/>
      <c r="Y630" s="1"/>
      <c r="Z630" s="1"/>
      <c r="AA630" s="1"/>
      <c r="AB630" s="1"/>
      <c r="AC630" s="1"/>
      <c r="AD630" s="1"/>
    </row>
    <row r="631" customFormat="false" ht="18" hidden="false" customHeight="true" outlineLevel="0" collapsed="false">
      <c r="A631" s="1"/>
      <c r="B631" s="35"/>
      <c r="C631" s="8"/>
      <c r="D631" s="26"/>
      <c r="E631" s="27"/>
      <c r="F631" s="36"/>
      <c r="G631" s="36"/>
      <c r="H631" s="36"/>
      <c r="I631" s="36"/>
      <c r="J631" s="37" t="str">
        <f aca="false">IF($E631="","",IFERROR(G631/F631,""))</f>
        <v/>
      </c>
      <c r="K631" s="30" t="str">
        <f aca="false">IF($E631="","",IFERROR(E631/G631,""))</f>
        <v/>
      </c>
      <c r="L631" s="30" t="str">
        <f aca="false">IF($E631="","",IFERROR(E631/F631*1000,""))</f>
        <v/>
      </c>
      <c r="M631" s="37" t="str">
        <f aca="false">IF($E631="","",IFERROR(H631/G631,""))</f>
        <v/>
      </c>
      <c r="N631" s="30" t="str">
        <f aca="false">IF($E631="","",IFERROR(E631/H631,"—"))</f>
        <v/>
      </c>
      <c r="O631" s="30" t="str">
        <f aca="false">IF($E631="","",IFERROR(INDEX('Гео-калькулятор'!$K$7:$K$13,MATCH($C631,'Гео-калькулятор'!$B$7:$B$13,0)),""))</f>
        <v/>
      </c>
      <c r="P631" s="38" t="str">
        <f aca="false">IF($E631="","",IFERROR(N631/O631,""))</f>
        <v/>
      </c>
      <c r="Q631" s="39" t="str">
        <f aca="false">IF($E631="","",IF($I631&lt;&gt;"",$I631,N($H631)*IFERROR(INDEX('Гео-калькулятор'!$E$7:$E$13,MATCH($C631,'Гео-калькулятор'!$B$7:$B$13,0)),0)))</f>
        <v/>
      </c>
      <c r="R631" s="38" t="str">
        <f aca="false">IF($E631="","",IFERROR(Q631/H631,""))</f>
        <v/>
      </c>
      <c r="S631" s="30" t="str">
        <f aca="false">IF($E631="","",IFERROR(E631/Q631,"—"))</f>
        <v/>
      </c>
      <c r="T631" s="30" t="str">
        <f aca="false">IF($E631="","",Q631*IFERROR(INDEX('Гео-калькулятор'!$D$7:$D$13,MATCH($C631,'Гео-калькулятор'!$B$7:$B$13,0)),0))</f>
        <v/>
      </c>
      <c r="U631" s="40" t="str">
        <f aca="false">IF($E631="","",T631-E631)</f>
        <v/>
      </c>
      <c r="V631" s="41" t="str">
        <f aca="false">IF($E631="","",IFERROR(U631/E631,""))</f>
        <v/>
      </c>
      <c r="W631" s="10" t="str">
        <f aca="false">IF($E631="","",IF($I631&lt;&gt;"","факт","прогноз"))</f>
        <v/>
      </c>
      <c r="X631" s="1"/>
      <c r="Y631" s="1"/>
      <c r="Z631" s="1"/>
      <c r="AA631" s="1"/>
      <c r="AB631" s="1"/>
      <c r="AC631" s="1"/>
      <c r="AD631" s="1"/>
    </row>
    <row r="632" customFormat="false" ht="18" hidden="false" customHeight="true" outlineLevel="0" collapsed="false">
      <c r="A632" s="1"/>
      <c r="B632" s="35"/>
      <c r="C632" s="8"/>
      <c r="D632" s="26"/>
      <c r="E632" s="27"/>
      <c r="F632" s="36"/>
      <c r="G632" s="36"/>
      <c r="H632" s="36"/>
      <c r="I632" s="36"/>
      <c r="J632" s="37" t="str">
        <f aca="false">IF($E632="","",IFERROR(G632/F632,""))</f>
        <v/>
      </c>
      <c r="K632" s="30" t="str">
        <f aca="false">IF($E632="","",IFERROR(E632/G632,""))</f>
        <v/>
      </c>
      <c r="L632" s="30" t="str">
        <f aca="false">IF($E632="","",IFERROR(E632/F632*1000,""))</f>
        <v/>
      </c>
      <c r="M632" s="37" t="str">
        <f aca="false">IF($E632="","",IFERROR(H632/G632,""))</f>
        <v/>
      </c>
      <c r="N632" s="30" t="str">
        <f aca="false">IF($E632="","",IFERROR(E632/H632,"—"))</f>
        <v/>
      </c>
      <c r="O632" s="30" t="str">
        <f aca="false">IF($E632="","",IFERROR(INDEX('Гео-калькулятор'!$K$7:$K$13,MATCH($C632,'Гео-калькулятор'!$B$7:$B$13,0)),""))</f>
        <v/>
      </c>
      <c r="P632" s="38" t="str">
        <f aca="false">IF($E632="","",IFERROR(N632/O632,""))</f>
        <v/>
      </c>
      <c r="Q632" s="39" t="str">
        <f aca="false">IF($E632="","",IF($I632&lt;&gt;"",$I632,N($H632)*IFERROR(INDEX('Гео-калькулятор'!$E$7:$E$13,MATCH($C632,'Гео-калькулятор'!$B$7:$B$13,0)),0)))</f>
        <v/>
      </c>
      <c r="R632" s="38" t="str">
        <f aca="false">IF($E632="","",IFERROR(Q632/H632,""))</f>
        <v/>
      </c>
      <c r="S632" s="30" t="str">
        <f aca="false">IF($E632="","",IFERROR(E632/Q632,"—"))</f>
        <v/>
      </c>
      <c r="T632" s="30" t="str">
        <f aca="false">IF($E632="","",Q632*IFERROR(INDEX('Гео-калькулятор'!$D$7:$D$13,MATCH($C632,'Гео-калькулятор'!$B$7:$B$13,0)),0))</f>
        <v/>
      </c>
      <c r="U632" s="40" t="str">
        <f aca="false">IF($E632="","",T632-E632)</f>
        <v/>
      </c>
      <c r="V632" s="41" t="str">
        <f aca="false">IF($E632="","",IFERROR(U632/E632,""))</f>
        <v/>
      </c>
      <c r="W632" s="10" t="str">
        <f aca="false">IF($E632="","",IF($I632&lt;&gt;"","факт","прогноз"))</f>
        <v/>
      </c>
      <c r="X632" s="1"/>
      <c r="Y632" s="1"/>
      <c r="Z632" s="1"/>
      <c r="AA632" s="1"/>
      <c r="AB632" s="1"/>
      <c r="AC632" s="1"/>
      <c r="AD632" s="1"/>
    </row>
    <row r="633" customFormat="false" ht="18" hidden="false" customHeight="true" outlineLevel="0" collapsed="false">
      <c r="A633" s="1"/>
      <c r="B633" s="35"/>
      <c r="C633" s="8"/>
      <c r="D633" s="26"/>
      <c r="E633" s="27"/>
      <c r="F633" s="36"/>
      <c r="G633" s="36"/>
      <c r="H633" s="36"/>
      <c r="I633" s="36"/>
      <c r="J633" s="37" t="str">
        <f aca="false">IF($E633="","",IFERROR(G633/F633,""))</f>
        <v/>
      </c>
      <c r="K633" s="30" t="str">
        <f aca="false">IF($E633="","",IFERROR(E633/G633,""))</f>
        <v/>
      </c>
      <c r="L633" s="30" t="str">
        <f aca="false">IF($E633="","",IFERROR(E633/F633*1000,""))</f>
        <v/>
      </c>
      <c r="M633" s="37" t="str">
        <f aca="false">IF($E633="","",IFERROR(H633/G633,""))</f>
        <v/>
      </c>
      <c r="N633" s="30" t="str">
        <f aca="false">IF($E633="","",IFERROR(E633/H633,"—"))</f>
        <v/>
      </c>
      <c r="O633" s="30" t="str">
        <f aca="false">IF($E633="","",IFERROR(INDEX('Гео-калькулятор'!$K$7:$K$13,MATCH($C633,'Гео-калькулятор'!$B$7:$B$13,0)),""))</f>
        <v/>
      </c>
      <c r="P633" s="38" t="str">
        <f aca="false">IF($E633="","",IFERROR(N633/O633,""))</f>
        <v/>
      </c>
      <c r="Q633" s="39" t="str">
        <f aca="false">IF($E633="","",IF($I633&lt;&gt;"",$I633,N($H633)*IFERROR(INDEX('Гео-калькулятор'!$E$7:$E$13,MATCH($C633,'Гео-калькулятор'!$B$7:$B$13,0)),0)))</f>
        <v/>
      </c>
      <c r="R633" s="38" t="str">
        <f aca="false">IF($E633="","",IFERROR(Q633/H633,""))</f>
        <v/>
      </c>
      <c r="S633" s="30" t="str">
        <f aca="false">IF($E633="","",IFERROR(E633/Q633,"—"))</f>
        <v/>
      </c>
      <c r="T633" s="30" t="str">
        <f aca="false">IF($E633="","",Q633*IFERROR(INDEX('Гео-калькулятор'!$D$7:$D$13,MATCH($C633,'Гео-калькулятор'!$B$7:$B$13,0)),0))</f>
        <v/>
      </c>
      <c r="U633" s="40" t="str">
        <f aca="false">IF($E633="","",T633-E633)</f>
        <v/>
      </c>
      <c r="V633" s="41" t="str">
        <f aca="false">IF($E633="","",IFERROR(U633/E633,""))</f>
        <v/>
      </c>
      <c r="W633" s="10" t="str">
        <f aca="false">IF($E633="","",IF($I633&lt;&gt;"","факт","прогноз"))</f>
        <v/>
      </c>
      <c r="X633" s="1"/>
      <c r="Y633" s="1"/>
      <c r="Z633" s="1"/>
      <c r="AA633" s="1"/>
      <c r="AB633" s="1"/>
      <c r="AC633" s="1"/>
      <c r="AD633" s="1"/>
    </row>
    <row r="634" customFormat="false" ht="18" hidden="false" customHeight="true" outlineLevel="0" collapsed="false">
      <c r="A634" s="1"/>
      <c r="B634" s="35"/>
      <c r="C634" s="8"/>
      <c r="D634" s="26"/>
      <c r="E634" s="27"/>
      <c r="F634" s="36"/>
      <c r="G634" s="36"/>
      <c r="H634" s="36"/>
      <c r="I634" s="36"/>
      <c r="J634" s="37" t="str">
        <f aca="false">IF($E634="","",IFERROR(G634/F634,""))</f>
        <v/>
      </c>
      <c r="K634" s="30" t="str">
        <f aca="false">IF($E634="","",IFERROR(E634/G634,""))</f>
        <v/>
      </c>
      <c r="L634" s="30" t="str">
        <f aca="false">IF($E634="","",IFERROR(E634/F634*1000,""))</f>
        <v/>
      </c>
      <c r="M634" s="37" t="str">
        <f aca="false">IF($E634="","",IFERROR(H634/G634,""))</f>
        <v/>
      </c>
      <c r="N634" s="30" t="str">
        <f aca="false">IF($E634="","",IFERROR(E634/H634,"—"))</f>
        <v/>
      </c>
      <c r="O634" s="30" t="str">
        <f aca="false">IF($E634="","",IFERROR(INDEX('Гео-калькулятор'!$K$7:$K$13,MATCH($C634,'Гео-калькулятор'!$B$7:$B$13,0)),""))</f>
        <v/>
      </c>
      <c r="P634" s="38" t="str">
        <f aca="false">IF($E634="","",IFERROR(N634/O634,""))</f>
        <v/>
      </c>
      <c r="Q634" s="39" t="str">
        <f aca="false">IF($E634="","",IF($I634&lt;&gt;"",$I634,N($H634)*IFERROR(INDEX('Гео-калькулятор'!$E$7:$E$13,MATCH($C634,'Гео-калькулятор'!$B$7:$B$13,0)),0)))</f>
        <v/>
      </c>
      <c r="R634" s="38" t="str">
        <f aca="false">IF($E634="","",IFERROR(Q634/H634,""))</f>
        <v/>
      </c>
      <c r="S634" s="30" t="str">
        <f aca="false">IF($E634="","",IFERROR(E634/Q634,"—"))</f>
        <v/>
      </c>
      <c r="T634" s="30" t="str">
        <f aca="false">IF($E634="","",Q634*IFERROR(INDEX('Гео-калькулятор'!$D$7:$D$13,MATCH($C634,'Гео-калькулятор'!$B$7:$B$13,0)),0))</f>
        <v/>
      </c>
      <c r="U634" s="40" t="str">
        <f aca="false">IF($E634="","",T634-E634)</f>
        <v/>
      </c>
      <c r="V634" s="41" t="str">
        <f aca="false">IF($E634="","",IFERROR(U634/E634,""))</f>
        <v/>
      </c>
      <c r="W634" s="10" t="str">
        <f aca="false">IF($E634="","",IF($I634&lt;&gt;"","факт","прогноз"))</f>
        <v/>
      </c>
      <c r="X634" s="1"/>
      <c r="Y634" s="1"/>
      <c r="Z634" s="1"/>
      <c r="AA634" s="1"/>
      <c r="AB634" s="1"/>
      <c r="AC634" s="1"/>
      <c r="AD634" s="1"/>
    </row>
    <row r="635" customFormat="false" ht="18" hidden="false" customHeight="true" outlineLevel="0" collapsed="false">
      <c r="A635" s="1"/>
      <c r="B635" s="35"/>
      <c r="C635" s="8"/>
      <c r="D635" s="26"/>
      <c r="E635" s="27"/>
      <c r="F635" s="36"/>
      <c r="G635" s="36"/>
      <c r="H635" s="36"/>
      <c r="I635" s="36"/>
      <c r="J635" s="37" t="str">
        <f aca="false">IF($E635="","",IFERROR(G635/F635,""))</f>
        <v/>
      </c>
      <c r="K635" s="30" t="str">
        <f aca="false">IF($E635="","",IFERROR(E635/G635,""))</f>
        <v/>
      </c>
      <c r="L635" s="30" t="str">
        <f aca="false">IF($E635="","",IFERROR(E635/F635*1000,""))</f>
        <v/>
      </c>
      <c r="M635" s="37" t="str">
        <f aca="false">IF($E635="","",IFERROR(H635/G635,""))</f>
        <v/>
      </c>
      <c r="N635" s="30" t="str">
        <f aca="false">IF($E635="","",IFERROR(E635/H635,"—"))</f>
        <v/>
      </c>
      <c r="O635" s="30" t="str">
        <f aca="false">IF($E635="","",IFERROR(INDEX('Гео-калькулятор'!$K$7:$K$13,MATCH($C635,'Гео-калькулятор'!$B$7:$B$13,0)),""))</f>
        <v/>
      </c>
      <c r="P635" s="38" t="str">
        <f aca="false">IF($E635="","",IFERROR(N635/O635,""))</f>
        <v/>
      </c>
      <c r="Q635" s="39" t="str">
        <f aca="false">IF($E635="","",IF($I635&lt;&gt;"",$I635,N($H635)*IFERROR(INDEX('Гео-калькулятор'!$E$7:$E$13,MATCH($C635,'Гео-калькулятор'!$B$7:$B$13,0)),0)))</f>
        <v/>
      </c>
      <c r="R635" s="38" t="str">
        <f aca="false">IF($E635="","",IFERROR(Q635/H635,""))</f>
        <v/>
      </c>
      <c r="S635" s="30" t="str">
        <f aca="false">IF($E635="","",IFERROR(E635/Q635,"—"))</f>
        <v/>
      </c>
      <c r="T635" s="30" t="str">
        <f aca="false">IF($E635="","",Q635*IFERROR(INDEX('Гео-калькулятор'!$D$7:$D$13,MATCH($C635,'Гео-калькулятор'!$B$7:$B$13,0)),0))</f>
        <v/>
      </c>
      <c r="U635" s="40" t="str">
        <f aca="false">IF($E635="","",T635-E635)</f>
        <v/>
      </c>
      <c r="V635" s="41" t="str">
        <f aca="false">IF($E635="","",IFERROR(U635/E635,""))</f>
        <v/>
      </c>
      <c r="W635" s="10" t="str">
        <f aca="false">IF($E635="","",IF($I635&lt;&gt;"","факт","прогноз"))</f>
        <v/>
      </c>
      <c r="X635" s="1"/>
      <c r="Y635" s="1"/>
      <c r="Z635" s="1"/>
      <c r="AA635" s="1"/>
      <c r="AB635" s="1"/>
      <c r="AC635" s="1"/>
      <c r="AD635" s="1"/>
    </row>
    <row r="636" customFormat="false" ht="18" hidden="false" customHeight="true" outlineLevel="0" collapsed="false">
      <c r="A636" s="1"/>
      <c r="B636" s="35"/>
      <c r="C636" s="8"/>
      <c r="D636" s="26"/>
      <c r="E636" s="27"/>
      <c r="F636" s="36"/>
      <c r="G636" s="36"/>
      <c r="H636" s="36"/>
      <c r="I636" s="36"/>
      <c r="J636" s="37" t="str">
        <f aca="false">IF($E636="","",IFERROR(G636/F636,""))</f>
        <v/>
      </c>
      <c r="K636" s="30" t="str">
        <f aca="false">IF($E636="","",IFERROR(E636/G636,""))</f>
        <v/>
      </c>
      <c r="L636" s="30" t="str">
        <f aca="false">IF($E636="","",IFERROR(E636/F636*1000,""))</f>
        <v/>
      </c>
      <c r="M636" s="37" t="str">
        <f aca="false">IF($E636="","",IFERROR(H636/G636,""))</f>
        <v/>
      </c>
      <c r="N636" s="30" t="str">
        <f aca="false">IF($E636="","",IFERROR(E636/H636,"—"))</f>
        <v/>
      </c>
      <c r="O636" s="30" t="str">
        <f aca="false">IF($E636="","",IFERROR(INDEX('Гео-калькулятор'!$K$7:$K$13,MATCH($C636,'Гео-калькулятор'!$B$7:$B$13,0)),""))</f>
        <v/>
      </c>
      <c r="P636" s="38" t="str">
        <f aca="false">IF($E636="","",IFERROR(N636/O636,""))</f>
        <v/>
      </c>
      <c r="Q636" s="39" t="str">
        <f aca="false">IF($E636="","",IF($I636&lt;&gt;"",$I636,N($H636)*IFERROR(INDEX('Гео-калькулятор'!$E$7:$E$13,MATCH($C636,'Гео-калькулятор'!$B$7:$B$13,0)),0)))</f>
        <v/>
      </c>
      <c r="R636" s="38" t="str">
        <f aca="false">IF($E636="","",IFERROR(Q636/H636,""))</f>
        <v/>
      </c>
      <c r="S636" s="30" t="str">
        <f aca="false">IF($E636="","",IFERROR(E636/Q636,"—"))</f>
        <v/>
      </c>
      <c r="T636" s="30" t="str">
        <f aca="false">IF($E636="","",Q636*IFERROR(INDEX('Гео-калькулятор'!$D$7:$D$13,MATCH($C636,'Гео-калькулятор'!$B$7:$B$13,0)),0))</f>
        <v/>
      </c>
      <c r="U636" s="40" t="str">
        <f aca="false">IF($E636="","",T636-E636)</f>
        <v/>
      </c>
      <c r="V636" s="41" t="str">
        <f aca="false">IF($E636="","",IFERROR(U636/E636,""))</f>
        <v/>
      </c>
      <c r="W636" s="10" t="str">
        <f aca="false">IF($E636="","",IF($I636&lt;&gt;"","факт","прогноз"))</f>
        <v/>
      </c>
      <c r="X636" s="1"/>
      <c r="Y636" s="1"/>
      <c r="Z636" s="1"/>
      <c r="AA636" s="1"/>
      <c r="AB636" s="1"/>
      <c r="AC636" s="1"/>
      <c r="AD636" s="1"/>
    </row>
    <row r="637" customFormat="false" ht="18" hidden="false" customHeight="true" outlineLevel="0" collapsed="false">
      <c r="A637" s="1"/>
      <c r="B637" s="35"/>
      <c r="C637" s="8"/>
      <c r="D637" s="26"/>
      <c r="E637" s="27"/>
      <c r="F637" s="36"/>
      <c r="G637" s="36"/>
      <c r="H637" s="36"/>
      <c r="I637" s="36"/>
      <c r="J637" s="37" t="str">
        <f aca="false">IF($E637="","",IFERROR(G637/F637,""))</f>
        <v/>
      </c>
      <c r="K637" s="30" t="str">
        <f aca="false">IF($E637="","",IFERROR(E637/G637,""))</f>
        <v/>
      </c>
      <c r="L637" s="30" t="str">
        <f aca="false">IF($E637="","",IFERROR(E637/F637*1000,""))</f>
        <v/>
      </c>
      <c r="M637" s="37" t="str">
        <f aca="false">IF($E637="","",IFERROR(H637/G637,""))</f>
        <v/>
      </c>
      <c r="N637" s="30" t="str">
        <f aca="false">IF($E637="","",IFERROR(E637/H637,"—"))</f>
        <v/>
      </c>
      <c r="O637" s="30" t="str">
        <f aca="false">IF($E637="","",IFERROR(INDEX('Гео-калькулятор'!$K$7:$K$13,MATCH($C637,'Гео-калькулятор'!$B$7:$B$13,0)),""))</f>
        <v/>
      </c>
      <c r="P637" s="38" t="str">
        <f aca="false">IF($E637="","",IFERROR(N637/O637,""))</f>
        <v/>
      </c>
      <c r="Q637" s="39" t="str">
        <f aca="false">IF($E637="","",IF($I637&lt;&gt;"",$I637,N($H637)*IFERROR(INDEX('Гео-калькулятор'!$E$7:$E$13,MATCH($C637,'Гео-калькулятор'!$B$7:$B$13,0)),0)))</f>
        <v/>
      </c>
      <c r="R637" s="38" t="str">
        <f aca="false">IF($E637="","",IFERROR(Q637/H637,""))</f>
        <v/>
      </c>
      <c r="S637" s="30" t="str">
        <f aca="false">IF($E637="","",IFERROR(E637/Q637,"—"))</f>
        <v/>
      </c>
      <c r="T637" s="30" t="str">
        <f aca="false">IF($E637="","",Q637*IFERROR(INDEX('Гео-калькулятор'!$D$7:$D$13,MATCH($C637,'Гео-калькулятор'!$B$7:$B$13,0)),0))</f>
        <v/>
      </c>
      <c r="U637" s="40" t="str">
        <f aca="false">IF($E637="","",T637-E637)</f>
        <v/>
      </c>
      <c r="V637" s="41" t="str">
        <f aca="false">IF($E637="","",IFERROR(U637/E637,""))</f>
        <v/>
      </c>
      <c r="W637" s="10" t="str">
        <f aca="false">IF($E637="","",IF($I637&lt;&gt;"","факт","прогноз"))</f>
        <v/>
      </c>
      <c r="X637" s="1"/>
      <c r="Y637" s="1"/>
      <c r="Z637" s="1"/>
      <c r="AA637" s="1"/>
      <c r="AB637" s="1"/>
      <c r="AC637" s="1"/>
      <c r="AD637" s="1"/>
    </row>
    <row r="638" customFormat="false" ht="18" hidden="false" customHeight="true" outlineLevel="0" collapsed="false">
      <c r="A638" s="1"/>
      <c r="B638" s="35"/>
      <c r="C638" s="8"/>
      <c r="D638" s="26"/>
      <c r="E638" s="27"/>
      <c r="F638" s="36"/>
      <c r="G638" s="36"/>
      <c r="H638" s="36"/>
      <c r="I638" s="36"/>
      <c r="J638" s="37" t="str">
        <f aca="false">IF($E638="","",IFERROR(G638/F638,""))</f>
        <v/>
      </c>
      <c r="K638" s="30" t="str">
        <f aca="false">IF($E638="","",IFERROR(E638/G638,""))</f>
        <v/>
      </c>
      <c r="L638" s="30" t="str">
        <f aca="false">IF($E638="","",IFERROR(E638/F638*1000,""))</f>
        <v/>
      </c>
      <c r="M638" s="37" t="str">
        <f aca="false">IF($E638="","",IFERROR(H638/G638,""))</f>
        <v/>
      </c>
      <c r="N638" s="30" t="str">
        <f aca="false">IF($E638="","",IFERROR(E638/H638,"—"))</f>
        <v/>
      </c>
      <c r="O638" s="30" t="str">
        <f aca="false">IF($E638="","",IFERROR(INDEX('Гео-калькулятор'!$K$7:$K$13,MATCH($C638,'Гео-калькулятор'!$B$7:$B$13,0)),""))</f>
        <v/>
      </c>
      <c r="P638" s="38" t="str">
        <f aca="false">IF($E638="","",IFERROR(N638/O638,""))</f>
        <v/>
      </c>
      <c r="Q638" s="39" t="str">
        <f aca="false">IF($E638="","",IF($I638&lt;&gt;"",$I638,N($H638)*IFERROR(INDEX('Гео-калькулятор'!$E$7:$E$13,MATCH($C638,'Гео-калькулятор'!$B$7:$B$13,0)),0)))</f>
        <v/>
      </c>
      <c r="R638" s="38" t="str">
        <f aca="false">IF($E638="","",IFERROR(Q638/H638,""))</f>
        <v/>
      </c>
      <c r="S638" s="30" t="str">
        <f aca="false">IF($E638="","",IFERROR(E638/Q638,"—"))</f>
        <v/>
      </c>
      <c r="T638" s="30" t="str">
        <f aca="false">IF($E638="","",Q638*IFERROR(INDEX('Гео-калькулятор'!$D$7:$D$13,MATCH($C638,'Гео-калькулятор'!$B$7:$B$13,0)),0))</f>
        <v/>
      </c>
      <c r="U638" s="40" t="str">
        <f aca="false">IF($E638="","",T638-E638)</f>
        <v/>
      </c>
      <c r="V638" s="41" t="str">
        <f aca="false">IF($E638="","",IFERROR(U638/E638,""))</f>
        <v/>
      </c>
      <c r="W638" s="10" t="str">
        <f aca="false">IF($E638="","",IF($I638&lt;&gt;"","факт","прогноз"))</f>
        <v/>
      </c>
      <c r="X638" s="1"/>
      <c r="Y638" s="1"/>
      <c r="Z638" s="1"/>
      <c r="AA638" s="1"/>
      <c r="AB638" s="1"/>
      <c r="AC638" s="1"/>
      <c r="AD638" s="1"/>
    </row>
    <row r="639" customFormat="false" ht="18" hidden="false" customHeight="true" outlineLevel="0" collapsed="false">
      <c r="A639" s="1"/>
      <c r="B639" s="35"/>
      <c r="C639" s="8"/>
      <c r="D639" s="26"/>
      <c r="E639" s="27"/>
      <c r="F639" s="36"/>
      <c r="G639" s="36"/>
      <c r="H639" s="36"/>
      <c r="I639" s="36"/>
      <c r="J639" s="37" t="str">
        <f aca="false">IF($E639="","",IFERROR(G639/F639,""))</f>
        <v/>
      </c>
      <c r="K639" s="30" t="str">
        <f aca="false">IF($E639="","",IFERROR(E639/G639,""))</f>
        <v/>
      </c>
      <c r="L639" s="30" t="str">
        <f aca="false">IF($E639="","",IFERROR(E639/F639*1000,""))</f>
        <v/>
      </c>
      <c r="M639" s="37" t="str">
        <f aca="false">IF($E639="","",IFERROR(H639/G639,""))</f>
        <v/>
      </c>
      <c r="N639" s="30" t="str">
        <f aca="false">IF($E639="","",IFERROR(E639/H639,"—"))</f>
        <v/>
      </c>
      <c r="O639" s="30" t="str">
        <f aca="false">IF($E639="","",IFERROR(INDEX('Гео-калькулятор'!$K$7:$K$13,MATCH($C639,'Гео-калькулятор'!$B$7:$B$13,0)),""))</f>
        <v/>
      </c>
      <c r="P639" s="38" t="str">
        <f aca="false">IF($E639="","",IFERROR(N639/O639,""))</f>
        <v/>
      </c>
      <c r="Q639" s="39" t="str">
        <f aca="false">IF($E639="","",IF($I639&lt;&gt;"",$I639,N($H639)*IFERROR(INDEX('Гео-калькулятор'!$E$7:$E$13,MATCH($C639,'Гео-калькулятор'!$B$7:$B$13,0)),0)))</f>
        <v/>
      </c>
      <c r="R639" s="38" t="str">
        <f aca="false">IF($E639="","",IFERROR(Q639/H639,""))</f>
        <v/>
      </c>
      <c r="S639" s="30" t="str">
        <f aca="false">IF($E639="","",IFERROR(E639/Q639,"—"))</f>
        <v/>
      </c>
      <c r="T639" s="30" t="str">
        <f aca="false">IF($E639="","",Q639*IFERROR(INDEX('Гео-калькулятор'!$D$7:$D$13,MATCH($C639,'Гео-калькулятор'!$B$7:$B$13,0)),0))</f>
        <v/>
      </c>
      <c r="U639" s="40" t="str">
        <f aca="false">IF($E639="","",T639-E639)</f>
        <v/>
      </c>
      <c r="V639" s="41" t="str">
        <f aca="false">IF($E639="","",IFERROR(U639/E639,""))</f>
        <v/>
      </c>
      <c r="W639" s="10" t="str">
        <f aca="false">IF($E639="","",IF($I639&lt;&gt;"","факт","прогноз"))</f>
        <v/>
      </c>
      <c r="X639" s="1"/>
      <c r="Y639" s="1"/>
      <c r="Z639" s="1"/>
      <c r="AA639" s="1"/>
      <c r="AB639" s="1"/>
      <c r="AC639" s="1"/>
      <c r="AD639" s="1"/>
    </row>
    <row r="640" customFormat="false" ht="18" hidden="false" customHeight="true" outlineLevel="0" collapsed="false">
      <c r="A640" s="1"/>
      <c r="B640" s="35"/>
      <c r="C640" s="8"/>
      <c r="D640" s="26"/>
      <c r="E640" s="27"/>
      <c r="F640" s="36"/>
      <c r="G640" s="36"/>
      <c r="H640" s="36"/>
      <c r="I640" s="36"/>
      <c r="J640" s="37" t="str">
        <f aca="false">IF($E640="","",IFERROR(G640/F640,""))</f>
        <v/>
      </c>
      <c r="K640" s="30" t="str">
        <f aca="false">IF($E640="","",IFERROR(E640/G640,""))</f>
        <v/>
      </c>
      <c r="L640" s="30" t="str">
        <f aca="false">IF($E640="","",IFERROR(E640/F640*1000,""))</f>
        <v/>
      </c>
      <c r="M640" s="37" t="str">
        <f aca="false">IF($E640="","",IFERROR(H640/G640,""))</f>
        <v/>
      </c>
      <c r="N640" s="30" t="str">
        <f aca="false">IF($E640="","",IFERROR(E640/H640,"—"))</f>
        <v/>
      </c>
      <c r="O640" s="30" t="str">
        <f aca="false">IF($E640="","",IFERROR(INDEX('Гео-калькулятор'!$K$7:$K$13,MATCH($C640,'Гео-калькулятор'!$B$7:$B$13,0)),""))</f>
        <v/>
      </c>
      <c r="P640" s="38" t="str">
        <f aca="false">IF($E640="","",IFERROR(N640/O640,""))</f>
        <v/>
      </c>
      <c r="Q640" s="39" t="str">
        <f aca="false">IF($E640="","",IF($I640&lt;&gt;"",$I640,N($H640)*IFERROR(INDEX('Гео-калькулятор'!$E$7:$E$13,MATCH($C640,'Гео-калькулятор'!$B$7:$B$13,0)),0)))</f>
        <v/>
      </c>
      <c r="R640" s="38" t="str">
        <f aca="false">IF($E640="","",IFERROR(Q640/H640,""))</f>
        <v/>
      </c>
      <c r="S640" s="30" t="str">
        <f aca="false">IF($E640="","",IFERROR(E640/Q640,"—"))</f>
        <v/>
      </c>
      <c r="T640" s="30" t="str">
        <f aca="false">IF($E640="","",Q640*IFERROR(INDEX('Гео-калькулятор'!$D$7:$D$13,MATCH($C640,'Гео-калькулятор'!$B$7:$B$13,0)),0))</f>
        <v/>
      </c>
      <c r="U640" s="40" t="str">
        <f aca="false">IF($E640="","",T640-E640)</f>
        <v/>
      </c>
      <c r="V640" s="41" t="str">
        <f aca="false">IF($E640="","",IFERROR(U640/E640,""))</f>
        <v/>
      </c>
      <c r="W640" s="10" t="str">
        <f aca="false">IF($E640="","",IF($I640&lt;&gt;"","факт","прогноз"))</f>
        <v/>
      </c>
      <c r="X640" s="1"/>
      <c r="Y640" s="1"/>
      <c r="Z640" s="1"/>
      <c r="AA640" s="1"/>
      <c r="AB640" s="1"/>
      <c r="AC640" s="1"/>
      <c r="AD640" s="1"/>
    </row>
    <row r="641" customFormat="false" ht="18" hidden="false" customHeight="true" outlineLevel="0" collapsed="false">
      <c r="A641" s="1"/>
      <c r="B641" s="35"/>
      <c r="C641" s="8"/>
      <c r="D641" s="26"/>
      <c r="E641" s="27"/>
      <c r="F641" s="36"/>
      <c r="G641" s="36"/>
      <c r="H641" s="36"/>
      <c r="I641" s="36"/>
      <c r="J641" s="37" t="str">
        <f aca="false">IF($E641="","",IFERROR(G641/F641,""))</f>
        <v/>
      </c>
      <c r="K641" s="30" t="str">
        <f aca="false">IF($E641="","",IFERROR(E641/G641,""))</f>
        <v/>
      </c>
      <c r="L641" s="30" t="str">
        <f aca="false">IF($E641="","",IFERROR(E641/F641*1000,""))</f>
        <v/>
      </c>
      <c r="M641" s="37" t="str">
        <f aca="false">IF($E641="","",IFERROR(H641/G641,""))</f>
        <v/>
      </c>
      <c r="N641" s="30" t="str">
        <f aca="false">IF($E641="","",IFERROR(E641/H641,"—"))</f>
        <v/>
      </c>
      <c r="O641" s="30" t="str">
        <f aca="false">IF($E641="","",IFERROR(INDEX('Гео-калькулятор'!$K$7:$K$13,MATCH($C641,'Гео-калькулятор'!$B$7:$B$13,0)),""))</f>
        <v/>
      </c>
      <c r="P641" s="38" t="str">
        <f aca="false">IF($E641="","",IFERROR(N641/O641,""))</f>
        <v/>
      </c>
      <c r="Q641" s="39" t="str">
        <f aca="false">IF($E641="","",IF($I641&lt;&gt;"",$I641,N($H641)*IFERROR(INDEX('Гео-калькулятор'!$E$7:$E$13,MATCH($C641,'Гео-калькулятор'!$B$7:$B$13,0)),0)))</f>
        <v/>
      </c>
      <c r="R641" s="38" t="str">
        <f aca="false">IF($E641="","",IFERROR(Q641/H641,""))</f>
        <v/>
      </c>
      <c r="S641" s="30" t="str">
        <f aca="false">IF($E641="","",IFERROR(E641/Q641,"—"))</f>
        <v/>
      </c>
      <c r="T641" s="30" t="str">
        <f aca="false">IF($E641="","",Q641*IFERROR(INDEX('Гео-калькулятор'!$D$7:$D$13,MATCH($C641,'Гео-калькулятор'!$B$7:$B$13,0)),0))</f>
        <v/>
      </c>
      <c r="U641" s="40" t="str">
        <f aca="false">IF($E641="","",T641-E641)</f>
        <v/>
      </c>
      <c r="V641" s="41" t="str">
        <f aca="false">IF($E641="","",IFERROR(U641/E641,""))</f>
        <v/>
      </c>
      <c r="W641" s="10" t="str">
        <f aca="false">IF($E641="","",IF($I641&lt;&gt;"","факт","прогноз"))</f>
        <v/>
      </c>
      <c r="X641" s="1"/>
      <c r="Y641" s="1"/>
      <c r="Z641" s="1"/>
      <c r="AA641" s="1"/>
      <c r="AB641" s="1"/>
      <c r="AC641" s="1"/>
      <c r="AD641" s="1"/>
    </row>
    <row r="642" customFormat="false" ht="18" hidden="false" customHeight="true" outlineLevel="0" collapsed="false">
      <c r="A642" s="1"/>
      <c r="B642" s="35"/>
      <c r="C642" s="8"/>
      <c r="D642" s="26"/>
      <c r="E642" s="27"/>
      <c r="F642" s="36"/>
      <c r="G642" s="36"/>
      <c r="H642" s="36"/>
      <c r="I642" s="36"/>
      <c r="J642" s="37" t="str">
        <f aca="false">IF($E642="","",IFERROR(G642/F642,""))</f>
        <v/>
      </c>
      <c r="K642" s="30" t="str">
        <f aca="false">IF($E642="","",IFERROR(E642/G642,""))</f>
        <v/>
      </c>
      <c r="L642" s="30" t="str">
        <f aca="false">IF($E642="","",IFERROR(E642/F642*1000,""))</f>
        <v/>
      </c>
      <c r="M642" s="37" t="str">
        <f aca="false">IF($E642="","",IFERROR(H642/G642,""))</f>
        <v/>
      </c>
      <c r="N642" s="30" t="str">
        <f aca="false">IF($E642="","",IFERROR(E642/H642,"—"))</f>
        <v/>
      </c>
      <c r="O642" s="30" t="str">
        <f aca="false">IF($E642="","",IFERROR(INDEX('Гео-калькулятор'!$K$7:$K$13,MATCH($C642,'Гео-калькулятор'!$B$7:$B$13,0)),""))</f>
        <v/>
      </c>
      <c r="P642" s="38" t="str">
        <f aca="false">IF($E642="","",IFERROR(N642/O642,""))</f>
        <v/>
      </c>
      <c r="Q642" s="39" t="str">
        <f aca="false">IF($E642="","",IF($I642&lt;&gt;"",$I642,N($H642)*IFERROR(INDEX('Гео-калькулятор'!$E$7:$E$13,MATCH($C642,'Гео-калькулятор'!$B$7:$B$13,0)),0)))</f>
        <v/>
      </c>
      <c r="R642" s="38" t="str">
        <f aca="false">IF($E642="","",IFERROR(Q642/H642,""))</f>
        <v/>
      </c>
      <c r="S642" s="30" t="str">
        <f aca="false">IF($E642="","",IFERROR(E642/Q642,"—"))</f>
        <v/>
      </c>
      <c r="T642" s="30" t="str">
        <f aca="false">IF($E642="","",Q642*IFERROR(INDEX('Гео-калькулятор'!$D$7:$D$13,MATCH($C642,'Гео-калькулятор'!$B$7:$B$13,0)),0))</f>
        <v/>
      </c>
      <c r="U642" s="40" t="str">
        <f aca="false">IF($E642="","",T642-E642)</f>
        <v/>
      </c>
      <c r="V642" s="41" t="str">
        <f aca="false">IF($E642="","",IFERROR(U642/E642,""))</f>
        <v/>
      </c>
      <c r="W642" s="10" t="str">
        <f aca="false">IF($E642="","",IF($I642&lt;&gt;"","факт","прогноз"))</f>
        <v/>
      </c>
      <c r="X642" s="1"/>
      <c r="Y642" s="1"/>
      <c r="Z642" s="1"/>
      <c r="AA642" s="1"/>
      <c r="AB642" s="1"/>
      <c r="AC642" s="1"/>
      <c r="AD642" s="1"/>
    </row>
    <row r="643" customFormat="false" ht="18" hidden="false" customHeight="true" outlineLevel="0" collapsed="false">
      <c r="A643" s="1"/>
      <c r="B643" s="35"/>
      <c r="C643" s="8"/>
      <c r="D643" s="26"/>
      <c r="E643" s="27"/>
      <c r="F643" s="36"/>
      <c r="G643" s="36"/>
      <c r="H643" s="36"/>
      <c r="I643" s="36"/>
      <c r="J643" s="37" t="str">
        <f aca="false">IF($E643="","",IFERROR(G643/F643,""))</f>
        <v/>
      </c>
      <c r="K643" s="30" t="str">
        <f aca="false">IF($E643="","",IFERROR(E643/G643,""))</f>
        <v/>
      </c>
      <c r="L643" s="30" t="str">
        <f aca="false">IF($E643="","",IFERROR(E643/F643*1000,""))</f>
        <v/>
      </c>
      <c r="M643" s="37" t="str">
        <f aca="false">IF($E643="","",IFERROR(H643/G643,""))</f>
        <v/>
      </c>
      <c r="N643" s="30" t="str">
        <f aca="false">IF($E643="","",IFERROR(E643/H643,"—"))</f>
        <v/>
      </c>
      <c r="O643" s="30" t="str">
        <f aca="false">IF($E643="","",IFERROR(INDEX('Гео-калькулятор'!$K$7:$K$13,MATCH($C643,'Гео-калькулятор'!$B$7:$B$13,0)),""))</f>
        <v/>
      </c>
      <c r="P643" s="38" t="str">
        <f aca="false">IF($E643="","",IFERROR(N643/O643,""))</f>
        <v/>
      </c>
      <c r="Q643" s="39" t="str">
        <f aca="false">IF($E643="","",IF($I643&lt;&gt;"",$I643,N($H643)*IFERROR(INDEX('Гео-калькулятор'!$E$7:$E$13,MATCH($C643,'Гео-калькулятор'!$B$7:$B$13,0)),0)))</f>
        <v/>
      </c>
      <c r="R643" s="38" t="str">
        <f aca="false">IF($E643="","",IFERROR(Q643/H643,""))</f>
        <v/>
      </c>
      <c r="S643" s="30" t="str">
        <f aca="false">IF($E643="","",IFERROR(E643/Q643,"—"))</f>
        <v/>
      </c>
      <c r="T643" s="30" t="str">
        <f aca="false">IF($E643="","",Q643*IFERROR(INDEX('Гео-калькулятор'!$D$7:$D$13,MATCH($C643,'Гео-калькулятор'!$B$7:$B$13,0)),0))</f>
        <v/>
      </c>
      <c r="U643" s="40" t="str">
        <f aca="false">IF($E643="","",T643-E643)</f>
        <v/>
      </c>
      <c r="V643" s="41" t="str">
        <f aca="false">IF($E643="","",IFERROR(U643/E643,""))</f>
        <v/>
      </c>
      <c r="W643" s="10" t="str">
        <f aca="false">IF($E643="","",IF($I643&lt;&gt;"","факт","прогноз"))</f>
        <v/>
      </c>
      <c r="X643" s="1"/>
      <c r="Y643" s="1"/>
      <c r="Z643" s="1"/>
      <c r="AA643" s="1"/>
      <c r="AB643" s="1"/>
      <c r="AC643" s="1"/>
      <c r="AD643" s="1"/>
    </row>
    <row r="644" customFormat="false" ht="18" hidden="false" customHeight="true" outlineLevel="0" collapsed="false">
      <c r="A644" s="1"/>
      <c r="B644" s="35"/>
      <c r="C644" s="8"/>
      <c r="D644" s="26"/>
      <c r="E644" s="27"/>
      <c r="F644" s="36"/>
      <c r="G644" s="36"/>
      <c r="H644" s="36"/>
      <c r="I644" s="36"/>
      <c r="J644" s="37" t="str">
        <f aca="false">IF($E644="","",IFERROR(G644/F644,""))</f>
        <v/>
      </c>
      <c r="K644" s="30" t="str">
        <f aca="false">IF($E644="","",IFERROR(E644/G644,""))</f>
        <v/>
      </c>
      <c r="L644" s="30" t="str">
        <f aca="false">IF($E644="","",IFERROR(E644/F644*1000,""))</f>
        <v/>
      </c>
      <c r="M644" s="37" t="str">
        <f aca="false">IF($E644="","",IFERROR(H644/G644,""))</f>
        <v/>
      </c>
      <c r="N644" s="30" t="str">
        <f aca="false">IF($E644="","",IFERROR(E644/H644,"—"))</f>
        <v/>
      </c>
      <c r="O644" s="30" t="str">
        <f aca="false">IF($E644="","",IFERROR(INDEX('Гео-калькулятор'!$K$7:$K$13,MATCH($C644,'Гео-калькулятор'!$B$7:$B$13,0)),""))</f>
        <v/>
      </c>
      <c r="P644" s="38" t="str">
        <f aca="false">IF($E644="","",IFERROR(N644/O644,""))</f>
        <v/>
      </c>
      <c r="Q644" s="39" t="str">
        <f aca="false">IF($E644="","",IF($I644&lt;&gt;"",$I644,N($H644)*IFERROR(INDEX('Гео-калькулятор'!$E$7:$E$13,MATCH($C644,'Гео-калькулятор'!$B$7:$B$13,0)),0)))</f>
        <v/>
      </c>
      <c r="R644" s="38" t="str">
        <f aca="false">IF($E644="","",IFERROR(Q644/H644,""))</f>
        <v/>
      </c>
      <c r="S644" s="30" t="str">
        <f aca="false">IF($E644="","",IFERROR(E644/Q644,"—"))</f>
        <v/>
      </c>
      <c r="T644" s="30" t="str">
        <f aca="false">IF($E644="","",Q644*IFERROR(INDEX('Гео-калькулятор'!$D$7:$D$13,MATCH($C644,'Гео-калькулятор'!$B$7:$B$13,0)),0))</f>
        <v/>
      </c>
      <c r="U644" s="40" t="str">
        <f aca="false">IF($E644="","",T644-E644)</f>
        <v/>
      </c>
      <c r="V644" s="41" t="str">
        <f aca="false">IF($E644="","",IFERROR(U644/E644,""))</f>
        <v/>
      </c>
      <c r="W644" s="10" t="str">
        <f aca="false">IF($E644="","",IF($I644&lt;&gt;"","факт","прогноз"))</f>
        <v/>
      </c>
      <c r="X644" s="1"/>
      <c r="Y644" s="1"/>
      <c r="Z644" s="1"/>
      <c r="AA644" s="1"/>
      <c r="AB644" s="1"/>
      <c r="AC644" s="1"/>
      <c r="AD644" s="1"/>
    </row>
    <row r="645" customFormat="false" ht="18" hidden="false" customHeight="true" outlineLevel="0" collapsed="false">
      <c r="A645" s="1"/>
      <c r="B645" s="35"/>
      <c r="C645" s="8"/>
      <c r="D645" s="26"/>
      <c r="E645" s="27"/>
      <c r="F645" s="36"/>
      <c r="G645" s="36"/>
      <c r="H645" s="36"/>
      <c r="I645" s="36"/>
      <c r="J645" s="37" t="str">
        <f aca="false">IF($E645="","",IFERROR(G645/F645,""))</f>
        <v/>
      </c>
      <c r="K645" s="30" t="str">
        <f aca="false">IF($E645="","",IFERROR(E645/G645,""))</f>
        <v/>
      </c>
      <c r="L645" s="30" t="str">
        <f aca="false">IF($E645="","",IFERROR(E645/F645*1000,""))</f>
        <v/>
      </c>
      <c r="M645" s="37" t="str">
        <f aca="false">IF($E645="","",IFERROR(H645/G645,""))</f>
        <v/>
      </c>
      <c r="N645" s="30" t="str">
        <f aca="false">IF($E645="","",IFERROR(E645/H645,"—"))</f>
        <v/>
      </c>
      <c r="O645" s="30" t="str">
        <f aca="false">IF($E645="","",IFERROR(INDEX('Гео-калькулятор'!$K$7:$K$13,MATCH($C645,'Гео-калькулятор'!$B$7:$B$13,0)),""))</f>
        <v/>
      </c>
      <c r="P645" s="38" t="str">
        <f aca="false">IF($E645="","",IFERROR(N645/O645,""))</f>
        <v/>
      </c>
      <c r="Q645" s="39" t="str">
        <f aca="false">IF($E645="","",IF($I645&lt;&gt;"",$I645,N($H645)*IFERROR(INDEX('Гео-калькулятор'!$E$7:$E$13,MATCH($C645,'Гео-калькулятор'!$B$7:$B$13,0)),0)))</f>
        <v/>
      </c>
      <c r="R645" s="38" t="str">
        <f aca="false">IF($E645="","",IFERROR(Q645/H645,""))</f>
        <v/>
      </c>
      <c r="S645" s="30" t="str">
        <f aca="false">IF($E645="","",IFERROR(E645/Q645,"—"))</f>
        <v/>
      </c>
      <c r="T645" s="30" t="str">
        <f aca="false">IF($E645="","",Q645*IFERROR(INDEX('Гео-калькулятор'!$D$7:$D$13,MATCH($C645,'Гео-калькулятор'!$B$7:$B$13,0)),0))</f>
        <v/>
      </c>
      <c r="U645" s="40" t="str">
        <f aca="false">IF($E645="","",T645-E645)</f>
        <v/>
      </c>
      <c r="V645" s="41" t="str">
        <f aca="false">IF($E645="","",IFERROR(U645/E645,""))</f>
        <v/>
      </c>
      <c r="W645" s="10" t="str">
        <f aca="false">IF($E645="","",IF($I645&lt;&gt;"","факт","прогноз"))</f>
        <v/>
      </c>
      <c r="X645" s="1"/>
      <c r="Y645" s="1"/>
      <c r="Z645" s="1"/>
      <c r="AA645" s="1"/>
      <c r="AB645" s="1"/>
      <c r="AC645" s="1"/>
      <c r="AD645" s="1"/>
    </row>
    <row r="646" customFormat="false" ht="18" hidden="false" customHeight="true" outlineLevel="0" collapsed="false">
      <c r="A646" s="1"/>
      <c r="B646" s="35"/>
      <c r="C646" s="8"/>
      <c r="D646" s="26"/>
      <c r="E646" s="27"/>
      <c r="F646" s="36"/>
      <c r="G646" s="36"/>
      <c r="H646" s="36"/>
      <c r="I646" s="36"/>
      <c r="J646" s="37" t="str">
        <f aca="false">IF($E646="","",IFERROR(G646/F646,""))</f>
        <v/>
      </c>
      <c r="K646" s="30" t="str">
        <f aca="false">IF($E646="","",IFERROR(E646/G646,""))</f>
        <v/>
      </c>
      <c r="L646" s="30" t="str">
        <f aca="false">IF($E646="","",IFERROR(E646/F646*1000,""))</f>
        <v/>
      </c>
      <c r="M646" s="37" t="str">
        <f aca="false">IF($E646="","",IFERROR(H646/G646,""))</f>
        <v/>
      </c>
      <c r="N646" s="30" t="str">
        <f aca="false">IF($E646="","",IFERROR(E646/H646,"—"))</f>
        <v/>
      </c>
      <c r="O646" s="30" t="str">
        <f aca="false">IF($E646="","",IFERROR(INDEX('Гео-калькулятор'!$K$7:$K$13,MATCH($C646,'Гео-калькулятор'!$B$7:$B$13,0)),""))</f>
        <v/>
      </c>
      <c r="P646" s="38" t="str">
        <f aca="false">IF($E646="","",IFERROR(N646/O646,""))</f>
        <v/>
      </c>
      <c r="Q646" s="39" t="str">
        <f aca="false">IF($E646="","",IF($I646&lt;&gt;"",$I646,N($H646)*IFERROR(INDEX('Гео-калькулятор'!$E$7:$E$13,MATCH($C646,'Гео-калькулятор'!$B$7:$B$13,0)),0)))</f>
        <v/>
      </c>
      <c r="R646" s="38" t="str">
        <f aca="false">IF($E646="","",IFERROR(Q646/H646,""))</f>
        <v/>
      </c>
      <c r="S646" s="30" t="str">
        <f aca="false">IF($E646="","",IFERROR(E646/Q646,"—"))</f>
        <v/>
      </c>
      <c r="T646" s="30" t="str">
        <f aca="false">IF($E646="","",Q646*IFERROR(INDEX('Гео-калькулятор'!$D$7:$D$13,MATCH($C646,'Гео-калькулятор'!$B$7:$B$13,0)),0))</f>
        <v/>
      </c>
      <c r="U646" s="40" t="str">
        <f aca="false">IF($E646="","",T646-E646)</f>
        <v/>
      </c>
      <c r="V646" s="41" t="str">
        <f aca="false">IF($E646="","",IFERROR(U646/E646,""))</f>
        <v/>
      </c>
      <c r="W646" s="10" t="str">
        <f aca="false">IF($E646="","",IF($I646&lt;&gt;"","факт","прогноз"))</f>
        <v/>
      </c>
      <c r="X646" s="1"/>
      <c r="Y646" s="1"/>
      <c r="Z646" s="1"/>
      <c r="AA646" s="1"/>
      <c r="AB646" s="1"/>
      <c r="AC646" s="1"/>
      <c r="AD646" s="1"/>
    </row>
    <row r="647" customFormat="false" ht="18" hidden="false" customHeight="true" outlineLevel="0" collapsed="false">
      <c r="A647" s="1"/>
      <c r="B647" s="35"/>
      <c r="C647" s="8"/>
      <c r="D647" s="26"/>
      <c r="E647" s="27"/>
      <c r="F647" s="36"/>
      <c r="G647" s="36"/>
      <c r="H647" s="36"/>
      <c r="I647" s="36"/>
      <c r="J647" s="37" t="str">
        <f aca="false">IF($E647="","",IFERROR(G647/F647,""))</f>
        <v/>
      </c>
      <c r="K647" s="30" t="str">
        <f aca="false">IF($E647="","",IFERROR(E647/G647,""))</f>
        <v/>
      </c>
      <c r="L647" s="30" t="str">
        <f aca="false">IF($E647="","",IFERROR(E647/F647*1000,""))</f>
        <v/>
      </c>
      <c r="M647" s="37" t="str">
        <f aca="false">IF($E647="","",IFERROR(H647/G647,""))</f>
        <v/>
      </c>
      <c r="N647" s="30" t="str">
        <f aca="false">IF($E647="","",IFERROR(E647/H647,"—"))</f>
        <v/>
      </c>
      <c r="O647" s="30" t="str">
        <f aca="false">IF($E647="","",IFERROR(INDEX('Гео-калькулятор'!$K$7:$K$13,MATCH($C647,'Гео-калькулятор'!$B$7:$B$13,0)),""))</f>
        <v/>
      </c>
      <c r="P647" s="38" t="str">
        <f aca="false">IF($E647="","",IFERROR(N647/O647,""))</f>
        <v/>
      </c>
      <c r="Q647" s="39" t="str">
        <f aca="false">IF($E647="","",IF($I647&lt;&gt;"",$I647,N($H647)*IFERROR(INDEX('Гео-калькулятор'!$E$7:$E$13,MATCH($C647,'Гео-калькулятор'!$B$7:$B$13,0)),0)))</f>
        <v/>
      </c>
      <c r="R647" s="38" t="str">
        <f aca="false">IF($E647="","",IFERROR(Q647/H647,""))</f>
        <v/>
      </c>
      <c r="S647" s="30" t="str">
        <f aca="false">IF($E647="","",IFERROR(E647/Q647,"—"))</f>
        <v/>
      </c>
      <c r="T647" s="30" t="str">
        <f aca="false">IF($E647="","",Q647*IFERROR(INDEX('Гео-калькулятор'!$D$7:$D$13,MATCH($C647,'Гео-калькулятор'!$B$7:$B$13,0)),0))</f>
        <v/>
      </c>
      <c r="U647" s="40" t="str">
        <f aca="false">IF($E647="","",T647-E647)</f>
        <v/>
      </c>
      <c r="V647" s="41" t="str">
        <f aca="false">IF($E647="","",IFERROR(U647/E647,""))</f>
        <v/>
      </c>
      <c r="W647" s="10" t="str">
        <f aca="false">IF($E647="","",IF($I647&lt;&gt;"","факт","прогноз"))</f>
        <v/>
      </c>
      <c r="X647" s="1"/>
      <c r="Y647" s="1"/>
      <c r="Z647" s="1"/>
      <c r="AA647" s="1"/>
      <c r="AB647" s="1"/>
      <c r="AC647" s="1"/>
      <c r="AD647" s="1"/>
    </row>
    <row r="648" customFormat="false" ht="18" hidden="false" customHeight="true" outlineLevel="0" collapsed="false">
      <c r="A648" s="1"/>
      <c r="B648" s="35"/>
      <c r="C648" s="8"/>
      <c r="D648" s="26"/>
      <c r="E648" s="27"/>
      <c r="F648" s="36"/>
      <c r="G648" s="36"/>
      <c r="H648" s="36"/>
      <c r="I648" s="36"/>
      <c r="J648" s="37" t="str">
        <f aca="false">IF($E648="","",IFERROR(G648/F648,""))</f>
        <v/>
      </c>
      <c r="K648" s="30" t="str">
        <f aca="false">IF($E648="","",IFERROR(E648/G648,""))</f>
        <v/>
      </c>
      <c r="L648" s="30" t="str">
        <f aca="false">IF($E648="","",IFERROR(E648/F648*1000,""))</f>
        <v/>
      </c>
      <c r="M648" s="37" t="str">
        <f aca="false">IF($E648="","",IFERROR(H648/G648,""))</f>
        <v/>
      </c>
      <c r="N648" s="30" t="str">
        <f aca="false">IF($E648="","",IFERROR(E648/H648,"—"))</f>
        <v/>
      </c>
      <c r="O648" s="30" t="str">
        <f aca="false">IF($E648="","",IFERROR(INDEX('Гео-калькулятор'!$K$7:$K$13,MATCH($C648,'Гео-калькулятор'!$B$7:$B$13,0)),""))</f>
        <v/>
      </c>
      <c r="P648" s="38" t="str">
        <f aca="false">IF($E648="","",IFERROR(N648/O648,""))</f>
        <v/>
      </c>
      <c r="Q648" s="39" t="str">
        <f aca="false">IF($E648="","",IF($I648&lt;&gt;"",$I648,N($H648)*IFERROR(INDEX('Гео-калькулятор'!$E$7:$E$13,MATCH($C648,'Гео-калькулятор'!$B$7:$B$13,0)),0)))</f>
        <v/>
      </c>
      <c r="R648" s="38" t="str">
        <f aca="false">IF($E648="","",IFERROR(Q648/H648,""))</f>
        <v/>
      </c>
      <c r="S648" s="30" t="str">
        <f aca="false">IF($E648="","",IFERROR(E648/Q648,"—"))</f>
        <v/>
      </c>
      <c r="T648" s="30" t="str">
        <f aca="false">IF($E648="","",Q648*IFERROR(INDEX('Гео-калькулятор'!$D$7:$D$13,MATCH($C648,'Гео-калькулятор'!$B$7:$B$13,0)),0))</f>
        <v/>
      </c>
      <c r="U648" s="40" t="str">
        <f aca="false">IF($E648="","",T648-E648)</f>
        <v/>
      </c>
      <c r="V648" s="41" t="str">
        <f aca="false">IF($E648="","",IFERROR(U648/E648,""))</f>
        <v/>
      </c>
      <c r="W648" s="10" t="str">
        <f aca="false">IF($E648="","",IF($I648&lt;&gt;"","факт","прогноз"))</f>
        <v/>
      </c>
      <c r="X648" s="1"/>
      <c r="Y648" s="1"/>
      <c r="Z648" s="1"/>
      <c r="AA648" s="1"/>
      <c r="AB648" s="1"/>
      <c r="AC648" s="1"/>
      <c r="AD648" s="1"/>
    </row>
    <row r="649" customFormat="false" ht="18" hidden="false" customHeight="true" outlineLevel="0" collapsed="false">
      <c r="A649" s="1"/>
      <c r="B649" s="35"/>
      <c r="C649" s="8"/>
      <c r="D649" s="26"/>
      <c r="E649" s="27"/>
      <c r="F649" s="36"/>
      <c r="G649" s="36"/>
      <c r="H649" s="36"/>
      <c r="I649" s="36"/>
      <c r="J649" s="37" t="str">
        <f aca="false">IF($E649="","",IFERROR(G649/F649,""))</f>
        <v/>
      </c>
      <c r="K649" s="30" t="str">
        <f aca="false">IF($E649="","",IFERROR(E649/G649,""))</f>
        <v/>
      </c>
      <c r="L649" s="30" t="str">
        <f aca="false">IF($E649="","",IFERROR(E649/F649*1000,""))</f>
        <v/>
      </c>
      <c r="M649" s="37" t="str">
        <f aca="false">IF($E649="","",IFERROR(H649/G649,""))</f>
        <v/>
      </c>
      <c r="N649" s="30" t="str">
        <f aca="false">IF($E649="","",IFERROR(E649/H649,"—"))</f>
        <v/>
      </c>
      <c r="O649" s="30" t="str">
        <f aca="false">IF($E649="","",IFERROR(INDEX('Гео-калькулятор'!$K$7:$K$13,MATCH($C649,'Гео-калькулятор'!$B$7:$B$13,0)),""))</f>
        <v/>
      </c>
      <c r="P649" s="38" t="str">
        <f aca="false">IF($E649="","",IFERROR(N649/O649,""))</f>
        <v/>
      </c>
      <c r="Q649" s="39" t="str">
        <f aca="false">IF($E649="","",IF($I649&lt;&gt;"",$I649,N($H649)*IFERROR(INDEX('Гео-калькулятор'!$E$7:$E$13,MATCH($C649,'Гео-калькулятор'!$B$7:$B$13,0)),0)))</f>
        <v/>
      </c>
      <c r="R649" s="38" t="str">
        <f aca="false">IF($E649="","",IFERROR(Q649/H649,""))</f>
        <v/>
      </c>
      <c r="S649" s="30" t="str">
        <f aca="false">IF($E649="","",IFERROR(E649/Q649,"—"))</f>
        <v/>
      </c>
      <c r="T649" s="30" t="str">
        <f aca="false">IF($E649="","",Q649*IFERROR(INDEX('Гео-калькулятор'!$D$7:$D$13,MATCH($C649,'Гео-калькулятор'!$B$7:$B$13,0)),0))</f>
        <v/>
      </c>
      <c r="U649" s="40" t="str">
        <f aca="false">IF($E649="","",T649-E649)</f>
        <v/>
      </c>
      <c r="V649" s="41" t="str">
        <f aca="false">IF($E649="","",IFERROR(U649/E649,""))</f>
        <v/>
      </c>
      <c r="W649" s="10" t="str">
        <f aca="false">IF($E649="","",IF($I649&lt;&gt;"","факт","прогноз"))</f>
        <v/>
      </c>
      <c r="X649" s="1"/>
      <c r="Y649" s="1"/>
      <c r="Z649" s="1"/>
      <c r="AA649" s="1"/>
      <c r="AB649" s="1"/>
      <c r="AC649" s="1"/>
      <c r="AD649" s="1"/>
    </row>
    <row r="650" customFormat="false" ht="18" hidden="false" customHeight="true" outlineLevel="0" collapsed="false">
      <c r="A650" s="1"/>
      <c r="B650" s="35"/>
      <c r="C650" s="8"/>
      <c r="D650" s="26"/>
      <c r="E650" s="27"/>
      <c r="F650" s="36"/>
      <c r="G650" s="36"/>
      <c r="H650" s="36"/>
      <c r="I650" s="36"/>
      <c r="J650" s="37" t="str">
        <f aca="false">IF($E650="","",IFERROR(G650/F650,""))</f>
        <v/>
      </c>
      <c r="K650" s="30" t="str">
        <f aca="false">IF($E650="","",IFERROR(E650/G650,""))</f>
        <v/>
      </c>
      <c r="L650" s="30" t="str">
        <f aca="false">IF($E650="","",IFERROR(E650/F650*1000,""))</f>
        <v/>
      </c>
      <c r="M650" s="37" t="str">
        <f aca="false">IF($E650="","",IFERROR(H650/G650,""))</f>
        <v/>
      </c>
      <c r="N650" s="30" t="str">
        <f aca="false">IF($E650="","",IFERROR(E650/H650,"—"))</f>
        <v/>
      </c>
      <c r="O650" s="30" t="str">
        <f aca="false">IF($E650="","",IFERROR(INDEX('Гео-калькулятор'!$K$7:$K$13,MATCH($C650,'Гео-калькулятор'!$B$7:$B$13,0)),""))</f>
        <v/>
      </c>
      <c r="P650" s="38" t="str">
        <f aca="false">IF($E650="","",IFERROR(N650/O650,""))</f>
        <v/>
      </c>
      <c r="Q650" s="39" t="str">
        <f aca="false">IF($E650="","",IF($I650&lt;&gt;"",$I650,N($H650)*IFERROR(INDEX('Гео-калькулятор'!$E$7:$E$13,MATCH($C650,'Гео-калькулятор'!$B$7:$B$13,0)),0)))</f>
        <v/>
      </c>
      <c r="R650" s="38" t="str">
        <f aca="false">IF($E650="","",IFERROR(Q650/H650,""))</f>
        <v/>
      </c>
      <c r="S650" s="30" t="str">
        <f aca="false">IF($E650="","",IFERROR(E650/Q650,"—"))</f>
        <v/>
      </c>
      <c r="T650" s="30" t="str">
        <f aca="false">IF($E650="","",Q650*IFERROR(INDEX('Гео-калькулятор'!$D$7:$D$13,MATCH($C650,'Гео-калькулятор'!$B$7:$B$13,0)),0))</f>
        <v/>
      </c>
      <c r="U650" s="40" t="str">
        <f aca="false">IF($E650="","",T650-E650)</f>
        <v/>
      </c>
      <c r="V650" s="41" t="str">
        <f aca="false">IF($E650="","",IFERROR(U650/E650,""))</f>
        <v/>
      </c>
      <c r="W650" s="10" t="str">
        <f aca="false">IF($E650="","",IF($I650&lt;&gt;"","факт","прогноз"))</f>
        <v/>
      </c>
      <c r="X650" s="1"/>
      <c r="Y650" s="1"/>
      <c r="Z650" s="1"/>
      <c r="AA650" s="1"/>
      <c r="AB650" s="1"/>
      <c r="AC650" s="1"/>
      <c r="AD650" s="1"/>
    </row>
    <row r="651" customFormat="false" ht="18" hidden="false" customHeight="true" outlineLevel="0" collapsed="false">
      <c r="A651" s="1"/>
      <c r="B651" s="35"/>
      <c r="C651" s="8"/>
      <c r="D651" s="26"/>
      <c r="E651" s="27"/>
      <c r="F651" s="36"/>
      <c r="G651" s="36"/>
      <c r="H651" s="36"/>
      <c r="I651" s="36"/>
      <c r="J651" s="37" t="str">
        <f aca="false">IF($E651="","",IFERROR(G651/F651,""))</f>
        <v/>
      </c>
      <c r="K651" s="30" t="str">
        <f aca="false">IF($E651="","",IFERROR(E651/G651,""))</f>
        <v/>
      </c>
      <c r="L651" s="30" t="str">
        <f aca="false">IF($E651="","",IFERROR(E651/F651*1000,""))</f>
        <v/>
      </c>
      <c r="M651" s="37" t="str">
        <f aca="false">IF($E651="","",IFERROR(H651/G651,""))</f>
        <v/>
      </c>
      <c r="N651" s="30" t="str">
        <f aca="false">IF($E651="","",IFERROR(E651/H651,"—"))</f>
        <v/>
      </c>
      <c r="O651" s="30" t="str">
        <f aca="false">IF($E651="","",IFERROR(INDEX('Гео-калькулятор'!$K$7:$K$13,MATCH($C651,'Гео-калькулятор'!$B$7:$B$13,0)),""))</f>
        <v/>
      </c>
      <c r="P651" s="38" t="str">
        <f aca="false">IF($E651="","",IFERROR(N651/O651,""))</f>
        <v/>
      </c>
      <c r="Q651" s="39" t="str">
        <f aca="false">IF($E651="","",IF($I651&lt;&gt;"",$I651,N($H651)*IFERROR(INDEX('Гео-калькулятор'!$E$7:$E$13,MATCH($C651,'Гео-калькулятор'!$B$7:$B$13,0)),0)))</f>
        <v/>
      </c>
      <c r="R651" s="38" t="str">
        <f aca="false">IF($E651="","",IFERROR(Q651/H651,""))</f>
        <v/>
      </c>
      <c r="S651" s="30" t="str">
        <f aca="false">IF($E651="","",IFERROR(E651/Q651,"—"))</f>
        <v/>
      </c>
      <c r="T651" s="30" t="str">
        <f aca="false">IF($E651="","",Q651*IFERROR(INDEX('Гео-калькулятор'!$D$7:$D$13,MATCH($C651,'Гео-калькулятор'!$B$7:$B$13,0)),0))</f>
        <v/>
      </c>
      <c r="U651" s="40" t="str">
        <f aca="false">IF($E651="","",T651-E651)</f>
        <v/>
      </c>
      <c r="V651" s="41" t="str">
        <f aca="false">IF($E651="","",IFERROR(U651/E651,""))</f>
        <v/>
      </c>
      <c r="W651" s="10" t="str">
        <f aca="false">IF($E651="","",IF($I651&lt;&gt;"","факт","прогноз"))</f>
        <v/>
      </c>
      <c r="X651" s="1"/>
      <c r="Y651" s="1"/>
      <c r="Z651" s="1"/>
      <c r="AA651" s="1"/>
      <c r="AB651" s="1"/>
      <c r="AC651" s="1"/>
      <c r="AD651" s="1"/>
    </row>
    <row r="652" customFormat="false" ht="18" hidden="false" customHeight="true" outlineLevel="0" collapsed="false">
      <c r="A652" s="1"/>
      <c r="B652" s="35"/>
      <c r="C652" s="8"/>
      <c r="D652" s="26"/>
      <c r="E652" s="27"/>
      <c r="F652" s="36"/>
      <c r="G652" s="36"/>
      <c r="H652" s="36"/>
      <c r="I652" s="36"/>
      <c r="J652" s="37" t="str">
        <f aca="false">IF($E652="","",IFERROR(G652/F652,""))</f>
        <v/>
      </c>
      <c r="K652" s="30" t="str">
        <f aca="false">IF($E652="","",IFERROR(E652/G652,""))</f>
        <v/>
      </c>
      <c r="L652" s="30" t="str">
        <f aca="false">IF($E652="","",IFERROR(E652/F652*1000,""))</f>
        <v/>
      </c>
      <c r="M652" s="37" t="str">
        <f aca="false">IF($E652="","",IFERROR(H652/G652,""))</f>
        <v/>
      </c>
      <c r="N652" s="30" t="str">
        <f aca="false">IF($E652="","",IFERROR(E652/H652,"—"))</f>
        <v/>
      </c>
      <c r="O652" s="30" t="str">
        <f aca="false">IF($E652="","",IFERROR(INDEX('Гео-калькулятор'!$K$7:$K$13,MATCH($C652,'Гео-калькулятор'!$B$7:$B$13,0)),""))</f>
        <v/>
      </c>
      <c r="P652" s="38" t="str">
        <f aca="false">IF($E652="","",IFERROR(N652/O652,""))</f>
        <v/>
      </c>
      <c r="Q652" s="39" t="str">
        <f aca="false">IF($E652="","",IF($I652&lt;&gt;"",$I652,N($H652)*IFERROR(INDEX('Гео-калькулятор'!$E$7:$E$13,MATCH($C652,'Гео-калькулятор'!$B$7:$B$13,0)),0)))</f>
        <v/>
      </c>
      <c r="R652" s="38" t="str">
        <f aca="false">IF($E652="","",IFERROR(Q652/H652,""))</f>
        <v/>
      </c>
      <c r="S652" s="30" t="str">
        <f aca="false">IF($E652="","",IFERROR(E652/Q652,"—"))</f>
        <v/>
      </c>
      <c r="T652" s="30" t="str">
        <f aca="false">IF($E652="","",Q652*IFERROR(INDEX('Гео-калькулятор'!$D$7:$D$13,MATCH($C652,'Гео-калькулятор'!$B$7:$B$13,0)),0))</f>
        <v/>
      </c>
      <c r="U652" s="40" t="str">
        <f aca="false">IF($E652="","",T652-E652)</f>
        <v/>
      </c>
      <c r="V652" s="41" t="str">
        <f aca="false">IF($E652="","",IFERROR(U652/E652,""))</f>
        <v/>
      </c>
      <c r="W652" s="10" t="str">
        <f aca="false">IF($E652="","",IF($I652&lt;&gt;"","факт","прогноз"))</f>
        <v/>
      </c>
      <c r="X652" s="1"/>
      <c r="Y652" s="1"/>
      <c r="Z652" s="1"/>
      <c r="AA652" s="1"/>
      <c r="AB652" s="1"/>
      <c r="AC652" s="1"/>
      <c r="AD652" s="1"/>
    </row>
    <row r="653" customFormat="false" ht="18" hidden="false" customHeight="true" outlineLevel="0" collapsed="false">
      <c r="A653" s="1"/>
      <c r="B653" s="35"/>
      <c r="C653" s="8"/>
      <c r="D653" s="26"/>
      <c r="E653" s="27"/>
      <c r="F653" s="36"/>
      <c r="G653" s="36"/>
      <c r="H653" s="36"/>
      <c r="I653" s="36"/>
      <c r="J653" s="37" t="str">
        <f aca="false">IF($E653="","",IFERROR(G653/F653,""))</f>
        <v/>
      </c>
      <c r="K653" s="30" t="str">
        <f aca="false">IF($E653="","",IFERROR(E653/G653,""))</f>
        <v/>
      </c>
      <c r="L653" s="30" t="str">
        <f aca="false">IF($E653="","",IFERROR(E653/F653*1000,""))</f>
        <v/>
      </c>
      <c r="M653" s="37" t="str">
        <f aca="false">IF($E653="","",IFERROR(H653/G653,""))</f>
        <v/>
      </c>
      <c r="N653" s="30" t="str">
        <f aca="false">IF($E653="","",IFERROR(E653/H653,"—"))</f>
        <v/>
      </c>
      <c r="O653" s="30" t="str">
        <f aca="false">IF($E653="","",IFERROR(INDEX('Гео-калькулятор'!$K$7:$K$13,MATCH($C653,'Гео-калькулятор'!$B$7:$B$13,0)),""))</f>
        <v/>
      </c>
      <c r="P653" s="38" t="str">
        <f aca="false">IF($E653="","",IFERROR(N653/O653,""))</f>
        <v/>
      </c>
      <c r="Q653" s="39" t="str">
        <f aca="false">IF($E653="","",IF($I653&lt;&gt;"",$I653,N($H653)*IFERROR(INDEX('Гео-калькулятор'!$E$7:$E$13,MATCH($C653,'Гео-калькулятор'!$B$7:$B$13,0)),0)))</f>
        <v/>
      </c>
      <c r="R653" s="38" t="str">
        <f aca="false">IF($E653="","",IFERROR(Q653/H653,""))</f>
        <v/>
      </c>
      <c r="S653" s="30" t="str">
        <f aca="false">IF($E653="","",IFERROR(E653/Q653,"—"))</f>
        <v/>
      </c>
      <c r="T653" s="30" t="str">
        <f aca="false">IF($E653="","",Q653*IFERROR(INDEX('Гео-калькулятор'!$D$7:$D$13,MATCH($C653,'Гео-калькулятор'!$B$7:$B$13,0)),0))</f>
        <v/>
      </c>
      <c r="U653" s="40" t="str">
        <f aca="false">IF($E653="","",T653-E653)</f>
        <v/>
      </c>
      <c r="V653" s="41" t="str">
        <f aca="false">IF($E653="","",IFERROR(U653/E653,""))</f>
        <v/>
      </c>
      <c r="W653" s="10" t="str">
        <f aca="false">IF($E653="","",IF($I653&lt;&gt;"","факт","прогноз"))</f>
        <v/>
      </c>
      <c r="X653" s="1"/>
      <c r="Y653" s="1"/>
      <c r="Z653" s="1"/>
      <c r="AA653" s="1"/>
      <c r="AB653" s="1"/>
      <c r="AC653" s="1"/>
      <c r="AD653" s="1"/>
    </row>
    <row r="654" customFormat="false" ht="18" hidden="false" customHeight="true" outlineLevel="0" collapsed="false">
      <c r="A654" s="1"/>
      <c r="B654" s="35"/>
      <c r="C654" s="8"/>
      <c r="D654" s="26"/>
      <c r="E654" s="27"/>
      <c r="F654" s="36"/>
      <c r="G654" s="36"/>
      <c r="H654" s="36"/>
      <c r="I654" s="36"/>
      <c r="J654" s="37" t="str">
        <f aca="false">IF($E654="","",IFERROR(G654/F654,""))</f>
        <v/>
      </c>
      <c r="K654" s="30" t="str">
        <f aca="false">IF($E654="","",IFERROR(E654/G654,""))</f>
        <v/>
      </c>
      <c r="L654" s="30" t="str">
        <f aca="false">IF($E654="","",IFERROR(E654/F654*1000,""))</f>
        <v/>
      </c>
      <c r="M654" s="37" t="str">
        <f aca="false">IF($E654="","",IFERROR(H654/G654,""))</f>
        <v/>
      </c>
      <c r="N654" s="30" t="str">
        <f aca="false">IF($E654="","",IFERROR(E654/H654,"—"))</f>
        <v/>
      </c>
      <c r="O654" s="30" t="str">
        <f aca="false">IF($E654="","",IFERROR(INDEX('Гео-калькулятор'!$K$7:$K$13,MATCH($C654,'Гео-калькулятор'!$B$7:$B$13,0)),""))</f>
        <v/>
      </c>
      <c r="P654" s="38" t="str">
        <f aca="false">IF($E654="","",IFERROR(N654/O654,""))</f>
        <v/>
      </c>
      <c r="Q654" s="39" t="str">
        <f aca="false">IF($E654="","",IF($I654&lt;&gt;"",$I654,N($H654)*IFERROR(INDEX('Гео-калькулятор'!$E$7:$E$13,MATCH($C654,'Гео-калькулятор'!$B$7:$B$13,0)),0)))</f>
        <v/>
      </c>
      <c r="R654" s="38" t="str">
        <f aca="false">IF($E654="","",IFERROR(Q654/H654,""))</f>
        <v/>
      </c>
      <c r="S654" s="30" t="str">
        <f aca="false">IF($E654="","",IFERROR(E654/Q654,"—"))</f>
        <v/>
      </c>
      <c r="T654" s="30" t="str">
        <f aca="false">IF($E654="","",Q654*IFERROR(INDEX('Гео-калькулятор'!$D$7:$D$13,MATCH($C654,'Гео-калькулятор'!$B$7:$B$13,0)),0))</f>
        <v/>
      </c>
      <c r="U654" s="40" t="str">
        <f aca="false">IF($E654="","",T654-E654)</f>
        <v/>
      </c>
      <c r="V654" s="41" t="str">
        <f aca="false">IF($E654="","",IFERROR(U654/E654,""))</f>
        <v/>
      </c>
      <c r="W654" s="10" t="str">
        <f aca="false">IF($E654="","",IF($I654&lt;&gt;"","факт","прогноз"))</f>
        <v/>
      </c>
      <c r="X654" s="1"/>
      <c r="Y654" s="1"/>
      <c r="Z654" s="1"/>
      <c r="AA654" s="1"/>
      <c r="AB654" s="1"/>
      <c r="AC654" s="1"/>
      <c r="AD654" s="1"/>
    </row>
    <row r="655" customFormat="false" ht="18" hidden="false" customHeight="true" outlineLevel="0" collapsed="false">
      <c r="A655" s="1"/>
      <c r="B655" s="35"/>
      <c r="C655" s="8"/>
      <c r="D655" s="26"/>
      <c r="E655" s="27"/>
      <c r="F655" s="36"/>
      <c r="G655" s="36"/>
      <c r="H655" s="36"/>
      <c r="I655" s="36"/>
      <c r="J655" s="37" t="str">
        <f aca="false">IF($E655="","",IFERROR(G655/F655,""))</f>
        <v/>
      </c>
      <c r="K655" s="30" t="str">
        <f aca="false">IF($E655="","",IFERROR(E655/G655,""))</f>
        <v/>
      </c>
      <c r="L655" s="30" t="str">
        <f aca="false">IF($E655="","",IFERROR(E655/F655*1000,""))</f>
        <v/>
      </c>
      <c r="M655" s="37" t="str">
        <f aca="false">IF($E655="","",IFERROR(H655/G655,""))</f>
        <v/>
      </c>
      <c r="N655" s="30" t="str">
        <f aca="false">IF($E655="","",IFERROR(E655/H655,"—"))</f>
        <v/>
      </c>
      <c r="O655" s="30" t="str">
        <f aca="false">IF($E655="","",IFERROR(INDEX('Гео-калькулятор'!$K$7:$K$13,MATCH($C655,'Гео-калькулятор'!$B$7:$B$13,0)),""))</f>
        <v/>
      </c>
      <c r="P655" s="38" t="str">
        <f aca="false">IF($E655="","",IFERROR(N655/O655,""))</f>
        <v/>
      </c>
      <c r="Q655" s="39" t="str">
        <f aca="false">IF($E655="","",IF($I655&lt;&gt;"",$I655,N($H655)*IFERROR(INDEX('Гео-калькулятор'!$E$7:$E$13,MATCH($C655,'Гео-калькулятор'!$B$7:$B$13,0)),0)))</f>
        <v/>
      </c>
      <c r="R655" s="38" t="str">
        <f aca="false">IF($E655="","",IFERROR(Q655/H655,""))</f>
        <v/>
      </c>
      <c r="S655" s="30" t="str">
        <f aca="false">IF($E655="","",IFERROR(E655/Q655,"—"))</f>
        <v/>
      </c>
      <c r="T655" s="30" t="str">
        <f aca="false">IF($E655="","",Q655*IFERROR(INDEX('Гео-калькулятор'!$D$7:$D$13,MATCH($C655,'Гео-калькулятор'!$B$7:$B$13,0)),0))</f>
        <v/>
      </c>
      <c r="U655" s="40" t="str">
        <f aca="false">IF($E655="","",T655-E655)</f>
        <v/>
      </c>
      <c r="V655" s="41" t="str">
        <f aca="false">IF($E655="","",IFERROR(U655/E655,""))</f>
        <v/>
      </c>
      <c r="W655" s="10" t="str">
        <f aca="false">IF($E655="","",IF($I655&lt;&gt;"","факт","прогноз"))</f>
        <v/>
      </c>
      <c r="X655" s="1"/>
      <c r="Y655" s="1"/>
      <c r="Z655" s="1"/>
      <c r="AA655" s="1"/>
      <c r="AB655" s="1"/>
      <c r="AC655" s="1"/>
      <c r="AD655" s="1"/>
    </row>
    <row r="656" customFormat="false" ht="18" hidden="false" customHeight="true" outlineLevel="0" collapsed="false">
      <c r="A656" s="1"/>
      <c r="B656" s="35"/>
      <c r="C656" s="8"/>
      <c r="D656" s="26"/>
      <c r="E656" s="27"/>
      <c r="F656" s="36"/>
      <c r="G656" s="36"/>
      <c r="H656" s="36"/>
      <c r="I656" s="36"/>
      <c r="J656" s="37" t="str">
        <f aca="false">IF($E656="","",IFERROR(G656/F656,""))</f>
        <v/>
      </c>
      <c r="K656" s="30" t="str">
        <f aca="false">IF($E656="","",IFERROR(E656/G656,""))</f>
        <v/>
      </c>
      <c r="L656" s="30" t="str">
        <f aca="false">IF($E656="","",IFERROR(E656/F656*1000,""))</f>
        <v/>
      </c>
      <c r="M656" s="37" t="str">
        <f aca="false">IF($E656="","",IFERROR(H656/G656,""))</f>
        <v/>
      </c>
      <c r="N656" s="30" t="str">
        <f aca="false">IF($E656="","",IFERROR(E656/H656,"—"))</f>
        <v/>
      </c>
      <c r="O656" s="30" t="str">
        <f aca="false">IF($E656="","",IFERROR(INDEX('Гео-калькулятор'!$K$7:$K$13,MATCH($C656,'Гео-калькулятор'!$B$7:$B$13,0)),""))</f>
        <v/>
      </c>
      <c r="P656" s="38" t="str">
        <f aca="false">IF($E656="","",IFERROR(N656/O656,""))</f>
        <v/>
      </c>
      <c r="Q656" s="39" t="str">
        <f aca="false">IF($E656="","",IF($I656&lt;&gt;"",$I656,N($H656)*IFERROR(INDEX('Гео-калькулятор'!$E$7:$E$13,MATCH($C656,'Гео-калькулятор'!$B$7:$B$13,0)),0)))</f>
        <v/>
      </c>
      <c r="R656" s="38" t="str">
        <f aca="false">IF($E656="","",IFERROR(Q656/H656,""))</f>
        <v/>
      </c>
      <c r="S656" s="30" t="str">
        <f aca="false">IF($E656="","",IFERROR(E656/Q656,"—"))</f>
        <v/>
      </c>
      <c r="T656" s="30" t="str">
        <f aca="false">IF($E656="","",Q656*IFERROR(INDEX('Гео-калькулятор'!$D$7:$D$13,MATCH($C656,'Гео-калькулятор'!$B$7:$B$13,0)),0))</f>
        <v/>
      </c>
      <c r="U656" s="40" t="str">
        <f aca="false">IF($E656="","",T656-E656)</f>
        <v/>
      </c>
      <c r="V656" s="41" t="str">
        <f aca="false">IF($E656="","",IFERROR(U656/E656,""))</f>
        <v/>
      </c>
      <c r="W656" s="10" t="str">
        <f aca="false">IF($E656="","",IF($I656&lt;&gt;"","факт","прогноз"))</f>
        <v/>
      </c>
      <c r="X656" s="1"/>
      <c r="Y656" s="1"/>
      <c r="Z656" s="1"/>
      <c r="AA656" s="1"/>
      <c r="AB656" s="1"/>
      <c r="AC656" s="1"/>
      <c r="AD656" s="1"/>
    </row>
    <row r="657" customFormat="false" ht="18" hidden="false" customHeight="true" outlineLevel="0" collapsed="false">
      <c r="A657" s="1"/>
      <c r="B657" s="35"/>
      <c r="C657" s="8"/>
      <c r="D657" s="26"/>
      <c r="E657" s="27"/>
      <c r="F657" s="36"/>
      <c r="G657" s="36"/>
      <c r="H657" s="36"/>
      <c r="I657" s="36"/>
      <c r="J657" s="37" t="str">
        <f aca="false">IF($E657="","",IFERROR(G657/F657,""))</f>
        <v/>
      </c>
      <c r="K657" s="30" t="str">
        <f aca="false">IF($E657="","",IFERROR(E657/G657,""))</f>
        <v/>
      </c>
      <c r="L657" s="30" t="str">
        <f aca="false">IF($E657="","",IFERROR(E657/F657*1000,""))</f>
        <v/>
      </c>
      <c r="M657" s="37" t="str">
        <f aca="false">IF($E657="","",IFERROR(H657/G657,""))</f>
        <v/>
      </c>
      <c r="N657" s="30" t="str">
        <f aca="false">IF($E657="","",IFERROR(E657/H657,"—"))</f>
        <v/>
      </c>
      <c r="O657" s="30" t="str">
        <f aca="false">IF($E657="","",IFERROR(INDEX('Гео-калькулятор'!$K$7:$K$13,MATCH($C657,'Гео-калькулятор'!$B$7:$B$13,0)),""))</f>
        <v/>
      </c>
      <c r="P657" s="38" t="str">
        <f aca="false">IF($E657="","",IFERROR(N657/O657,""))</f>
        <v/>
      </c>
      <c r="Q657" s="39" t="str">
        <f aca="false">IF($E657="","",IF($I657&lt;&gt;"",$I657,N($H657)*IFERROR(INDEX('Гео-калькулятор'!$E$7:$E$13,MATCH($C657,'Гео-калькулятор'!$B$7:$B$13,0)),0)))</f>
        <v/>
      </c>
      <c r="R657" s="38" t="str">
        <f aca="false">IF($E657="","",IFERROR(Q657/H657,""))</f>
        <v/>
      </c>
      <c r="S657" s="30" t="str">
        <f aca="false">IF($E657="","",IFERROR(E657/Q657,"—"))</f>
        <v/>
      </c>
      <c r="T657" s="30" t="str">
        <f aca="false">IF($E657="","",Q657*IFERROR(INDEX('Гео-калькулятор'!$D$7:$D$13,MATCH($C657,'Гео-калькулятор'!$B$7:$B$13,0)),0))</f>
        <v/>
      </c>
      <c r="U657" s="40" t="str">
        <f aca="false">IF($E657="","",T657-E657)</f>
        <v/>
      </c>
      <c r="V657" s="41" t="str">
        <f aca="false">IF($E657="","",IFERROR(U657/E657,""))</f>
        <v/>
      </c>
      <c r="W657" s="10" t="str">
        <f aca="false">IF($E657="","",IF($I657&lt;&gt;"","факт","прогноз"))</f>
        <v/>
      </c>
      <c r="X657" s="1"/>
      <c r="Y657" s="1"/>
      <c r="Z657" s="1"/>
      <c r="AA657" s="1"/>
      <c r="AB657" s="1"/>
      <c r="AC657" s="1"/>
      <c r="AD657" s="1"/>
    </row>
    <row r="658" customFormat="false" ht="18" hidden="false" customHeight="true" outlineLevel="0" collapsed="false">
      <c r="A658" s="1"/>
      <c r="B658" s="35"/>
      <c r="C658" s="8"/>
      <c r="D658" s="26"/>
      <c r="E658" s="27"/>
      <c r="F658" s="36"/>
      <c r="G658" s="36"/>
      <c r="H658" s="36"/>
      <c r="I658" s="36"/>
      <c r="J658" s="37" t="str">
        <f aca="false">IF($E658="","",IFERROR(G658/F658,""))</f>
        <v/>
      </c>
      <c r="K658" s="30" t="str">
        <f aca="false">IF($E658="","",IFERROR(E658/G658,""))</f>
        <v/>
      </c>
      <c r="L658" s="30" t="str">
        <f aca="false">IF($E658="","",IFERROR(E658/F658*1000,""))</f>
        <v/>
      </c>
      <c r="M658" s="37" t="str">
        <f aca="false">IF($E658="","",IFERROR(H658/G658,""))</f>
        <v/>
      </c>
      <c r="N658" s="30" t="str">
        <f aca="false">IF($E658="","",IFERROR(E658/H658,"—"))</f>
        <v/>
      </c>
      <c r="O658" s="30" t="str">
        <f aca="false">IF($E658="","",IFERROR(INDEX('Гео-калькулятор'!$K$7:$K$13,MATCH($C658,'Гео-калькулятор'!$B$7:$B$13,0)),""))</f>
        <v/>
      </c>
      <c r="P658" s="38" t="str">
        <f aca="false">IF($E658="","",IFERROR(N658/O658,""))</f>
        <v/>
      </c>
      <c r="Q658" s="39" t="str">
        <f aca="false">IF($E658="","",IF($I658&lt;&gt;"",$I658,N($H658)*IFERROR(INDEX('Гео-калькулятор'!$E$7:$E$13,MATCH($C658,'Гео-калькулятор'!$B$7:$B$13,0)),0)))</f>
        <v/>
      </c>
      <c r="R658" s="38" t="str">
        <f aca="false">IF($E658="","",IFERROR(Q658/H658,""))</f>
        <v/>
      </c>
      <c r="S658" s="30" t="str">
        <f aca="false">IF($E658="","",IFERROR(E658/Q658,"—"))</f>
        <v/>
      </c>
      <c r="T658" s="30" t="str">
        <f aca="false">IF($E658="","",Q658*IFERROR(INDEX('Гео-калькулятор'!$D$7:$D$13,MATCH($C658,'Гео-калькулятор'!$B$7:$B$13,0)),0))</f>
        <v/>
      </c>
      <c r="U658" s="40" t="str">
        <f aca="false">IF($E658="","",T658-E658)</f>
        <v/>
      </c>
      <c r="V658" s="41" t="str">
        <f aca="false">IF($E658="","",IFERROR(U658/E658,""))</f>
        <v/>
      </c>
      <c r="W658" s="10" t="str">
        <f aca="false">IF($E658="","",IF($I658&lt;&gt;"","факт","прогноз"))</f>
        <v/>
      </c>
      <c r="X658" s="1"/>
      <c r="Y658" s="1"/>
      <c r="Z658" s="1"/>
      <c r="AA658" s="1"/>
      <c r="AB658" s="1"/>
      <c r="AC658" s="1"/>
      <c r="AD658" s="1"/>
    </row>
    <row r="659" customFormat="false" ht="18" hidden="false" customHeight="true" outlineLevel="0" collapsed="false">
      <c r="A659" s="1"/>
      <c r="B659" s="35"/>
      <c r="C659" s="8"/>
      <c r="D659" s="26"/>
      <c r="E659" s="27"/>
      <c r="F659" s="36"/>
      <c r="G659" s="36"/>
      <c r="H659" s="36"/>
      <c r="I659" s="36"/>
      <c r="J659" s="37" t="str">
        <f aca="false">IF($E659="","",IFERROR(G659/F659,""))</f>
        <v/>
      </c>
      <c r="K659" s="30" t="str">
        <f aca="false">IF($E659="","",IFERROR(E659/G659,""))</f>
        <v/>
      </c>
      <c r="L659" s="30" t="str">
        <f aca="false">IF($E659="","",IFERROR(E659/F659*1000,""))</f>
        <v/>
      </c>
      <c r="M659" s="37" t="str">
        <f aca="false">IF($E659="","",IFERROR(H659/G659,""))</f>
        <v/>
      </c>
      <c r="N659" s="30" t="str">
        <f aca="false">IF($E659="","",IFERROR(E659/H659,"—"))</f>
        <v/>
      </c>
      <c r="O659" s="30" t="str">
        <f aca="false">IF($E659="","",IFERROR(INDEX('Гео-калькулятор'!$K$7:$K$13,MATCH($C659,'Гео-калькулятор'!$B$7:$B$13,0)),""))</f>
        <v/>
      </c>
      <c r="P659" s="38" t="str">
        <f aca="false">IF($E659="","",IFERROR(N659/O659,""))</f>
        <v/>
      </c>
      <c r="Q659" s="39" t="str">
        <f aca="false">IF($E659="","",IF($I659&lt;&gt;"",$I659,N($H659)*IFERROR(INDEX('Гео-калькулятор'!$E$7:$E$13,MATCH($C659,'Гео-калькулятор'!$B$7:$B$13,0)),0)))</f>
        <v/>
      </c>
      <c r="R659" s="38" t="str">
        <f aca="false">IF($E659="","",IFERROR(Q659/H659,""))</f>
        <v/>
      </c>
      <c r="S659" s="30" t="str">
        <f aca="false">IF($E659="","",IFERROR(E659/Q659,"—"))</f>
        <v/>
      </c>
      <c r="T659" s="30" t="str">
        <f aca="false">IF($E659="","",Q659*IFERROR(INDEX('Гео-калькулятор'!$D$7:$D$13,MATCH($C659,'Гео-калькулятор'!$B$7:$B$13,0)),0))</f>
        <v/>
      </c>
      <c r="U659" s="40" t="str">
        <f aca="false">IF($E659="","",T659-E659)</f>
        <v/>
      </c>
      <c r="V659" s="41" t="str">
        <f aca="false">IF($E659="","",IFERROR(U659/E659,""))</f>
        <v/>
      </c>
      <c r="W659" s="10" t="str">
        <f aca="false">IF($E659="","",IF($I659&lt;&gt;"","факт","прогноз"))</f>
        <v/>
      </c>
      <c r="X659" s="1"/>
      <c r="Y659" s="1"/>
      <c r="Z659" s="1"/>
      <c r="AA659" s="1"/>
      <c r="AB659" s="1"/>
      <c r="AC659" s="1"/>
      <c r="AD659" s="1"/>
    </row>
    <row r="660" customFormat="false" ht="18" hidden="false" customHeight="true" outlineLevel="0" collapsed="false">
      <c r="A660" s="1"/>
      <c r="B660" s="35"/>
      <c r="C660" s="8"/>
      <c r="D660" s="26"/>
      <c r="E660" s="27"/>
      <c r="F660" s="36"/>
      <c r="G660" s="36"/>
      <c r="H660" s="36"/>
      <c r="I660" s="36"/>
      <c r="J660" s="37" t="str">
        <f aca="false">IF($E660="","",IFERROR(G660/F660,""))</f>
        <v/>
      </c>
      <c r="K660" s="30" t="str">
        <f aca="false">IF($E660="","",IFERROR(E660/G660,""))</f>
        <v/>
      </c>
      <c r="L660" s="30" t="str">
        <f aca="false">IF($E660="","",IFERROR(E660/F660*1000,""))</f>
        <v/>
      </c>
      <c r="M660" s="37" t="str">
        <f aca="false">IF($E660="","",IFERROR(H660/G660,""))</f>
        <v/>
      </c>
      <c r="N660" s="30" t="str">
        <f aca="false">IF($E660="","",IFERROR(E660/H660,"—"))</f>
        <v/>
      </c>
      <c r="O660" s="30" t="str">
        <f aca="false">IF($E660="","",IFERROR(INDEX('Гео-калькулятор'!$K$7:$K$13,MATCH($C660,'Гео-калькулятор'!$B$7:$B$13,0)),""))</f>
        <v/>
      </c>
      <c r="P660" s="38" t="str">
        <f aca="false">IF($E660="","",IFERROR(N660/O660,""))</f>
        <v/>
      </c>
      <c r="Q660" s="39" t="str">
        <f aca="false">IF($E660="","",IF($I660&lt;&gt;"",$I660,N($H660)*IFERROR(INDEX('Гео-калькулятор'!$E$7:$E$13,MATCH($C660,'Гео-калькулятор'!$B$7:$B$13,0)),0)))</f>
        <v/>
      </c>
      <c r="R660" s="38" t="str">
        <f aca="false">IF($E660="","",IFERROR(Q660/H660,""))</f>
        <v/>
      </c>
      <c r="S660" s="30" t="str">
        <f aca="false">IF($E660="","",IFERROR(E660/Q660,"—"))</f>
        <v/>
      </c>
      <c r="T660" s="30" t="str">
        <f aca="false">IF($E660="","",Q660*IFERROR(INDEX('Гео-калькулятор'!$D$7:$D$13,MATCH($C660,'Гео-калькулятор'!$B$7:$B$13,0)),0))</f>
        <v/>
      </c>
      <c r="U660" s="40" t="str">
        <f aca="false">IF($E660="","",T660-E660)</f>
        <v/>
      </c>
      <c r="V660" s="41" t="str">
        <f aca="false">IF($E660="","",IFERROR(U660/E660,""))</f>
        <v/>
      </c>
      <c r="W660" s="10" t="str">
        <f aca="false">IF($E660="","",IF($I660&lt;&gt;"","факт","прогноз"))</f>
        <v/>
      </c>
      <c r="X660" s="1"/>
      <c r="Y660" s="1"/>
      <c r="Z660" s="1"/>
      <c r="AA660" s="1"/>
      <c r="AB660" s="1"/>
      <c r="AC660" s="1"/>
      <c r="AD660" s="1"/>
    </row>
    <row r="661" customFormat="false" ht="18" hidden="false" customHeight="true" outlineLevel="0" collapsed="false">
      <c r="A661" s="1"/>
      <c r="B661" s="35"/>
      <c r="C661" s="8"/>
      <c r="D661" s="26"/>
      <c r="E661" s="27"/>
      <c r="F661" s="36"/>
      <c r="G661" s="36"/>
      <c r="H661" s="36"/>
      <c r="I661" s="36"/>
      <c r="J661" s="37" t="str">
        <f aca="false">IF($E661="","",IFERROR(G661/F661,""))</f>
        <v/>
      </c>
      <c r="K661" s="30" t="str">
        <f aca="false">IF($E661="","",IFERROR(E661/G661,""))</f>
        <v/>
      </c>
      <c r="L661" s="30" t="str">
        <f aca="false">IF($E661="","",IFERROR(E661/F661*1000,""))</f>
        <v/>
      </c>
      <c r="M661" s="37" t="str">
        <f aca="false">IF($E661="","",IFERROR(H661/G661,""))</f>
        <v/>
      </c>
      <c r="N661" s="30" t="str">
        <f aca="false">IF($E661="","",IFERROR(E661/H661,"—"))</f>
        <v/>
      </c>
      <c r="O661" s="30" t="str">
        <f aca="false">IF($E661="","",IFERROR(INDEX('Гео-калькулятор'!$K$7:$K$13,MATCH($C661,'Гео-калькулятор'!$B$7:$B$13,0)),""))</f>
        <v/>
      </c>
      <c r="P661" s="38" t="str">
        <f aca="false">IF($E661="","",IFERROR(N661/O661,""))</f>
        <v/>
      </c>
      <c r="Q661" s="39" t="str">
        <f aca="false">IF($E661="","",IF($I661&lt;&gt;"",$I661,N($H661)*IFERROR(INDEX('Гео-калькулятор'!$E$7:$E$13,MATCH($C661,'Гео-калькулятор'!$B$7:$B$13,0)),0)))</f>
        <v/>
      </c>
      <c r="R661" s="38" t="str">
        <f aca="false">IF($E661="","",IFERROR(Q661/H661,""))</f>
        <v/>
      </c>
      <c r="S661" s="30" t="str">
        <f aca="false">IF($E661="","",IFERROR(E661/Q661,"—"))</f>
        <v/>
      </c>
      <c r="T661" s="30" t="str">
        <f aca="false">IF($E661="","",Q661*IFERROR(INDEX('Гео-калькулятор'!$D$7:$D$13,MATCH($C661,'Гео-калькулятор'!$B$7:$B$13,0)),0))</f>
        <v/>
      </c>
      <c r="U661" s="40" t="str">
        <f aca="false">IF($E661="","",T661-E661)</f>
        <v/>
      </c>
      <c r="V661" s="41" t="str">
        <f aca="false">IF($E661="","",IFERROR(U661/E661,""))</f>
        <v/>
      </c>
      <c r="W661" s="10" t="str">
        <f aca="false">IF($E661="","",IF($I661&lt;&gt;"","факт","прогноз"))</f>
        <v/>
      </c>
      <c r="X661" s="1"/>
      <c r="Y661" s="1"/>
      <c r="Z661" s="1"/>
      <c r="AA661" s="1"/>
      <c r="AB661" s="1"/>
      <c r="AC661" s="1"/>
      <c r="AD661" s="1"/>
    </row>
    <row r="662" customFormat="false" ht="18" hidden="false" customHeight="true" outlineLevel="0" collapsed="false">
      <c r="A662" s="1"/>
      <c r="B662" s="35"/>
      <c r="C662" s="8"/>
      <c r="D662" s="26"/>
      <c r="E662" s="27"/>
      <c r="F662" s="36"/>
      <c r="G662" s="36"/>
      <c r="H662" s="36"/>
      <c r="I662" s="36"/>
      <c r="J662" s="37" t="str">
        <f aca="false">IF($E662="","",IFERROR(G662/F662,""))</f>
        <v/>
      </c>
      <c r="K662" s="30" t="str">
        <f aca="false">IF($E662="","",IFERROR(E662/G662,""))</f>
        <v/>
      </c>
      <c r="L662" s="30" t="str">
        <f aca="false">IF($E662="","",IFERROR(E662/F662*1000,""))</f>
        <v/>
      </c>
      <c r="M662" s="37" t="str">
        <f aca="false">IF($E662="","",IFERROR(H662/G662,""))</f>
        <v/>
      </c>
      <c r="N662" s="30" t="str">
        <f aca="false">IF($E662="","",IFERROR(E662/H662,"—"))</f>
        <v/>
      </c>
      <c r="O662" s="30" t="str">
        <f aca="false">IF($E662="","",IFERROR(INDEX('Гео-калькулятор'!$K$7:$K$13,MATCH($C662,'Гео-калькулятор'!$B$7:$B$13,0)),""))</f>
        <v/>
      </c>
      <c r="P662" s="38" t="str">
        <f aca="false">IF($E662="","",IFERROR(N662/O662,""))</f>
        <v/>
      </c>
      <c r="Q662" s="39" t="str">
        <f aca="false">IF($E662="","",IF($I662&lt;&gt;"",$I662,N($H662)*IFERROR(INDEX('Гео-калькулятор'!$E$7:$E$13,MATCH($C662,'Гео-калькулятор'!$B$7:$B$13,0)),0)))</f>
        <v/>
      </c>
      <c r="R662" s="38" t="str">
        <f aca="false">IF($E662="","",IFERROR(Q662/H662,""))</f>
        <v/>
      </c>
      <c r="S662" s="30" t="str">
        <f aca="false">IF($E662="","",IFERROR(E662/Q662,"—"))</f>
        <v/>
      </c>
      <c r="T662" s="30" t="str">
        <f aca="false">IF($E662="","",Q662*IFERROR(INDEX('Гео-калькулятор'!$D$7:$D$13,MATCH($C662,'Гео-калькулятор'!$B$7:$B$13,0)),0))</f>
        <v/>
      </c>
      <c r="U662" s="40" t="str">
        <f aca="false">IF($E662="","",T662-E662)</f>
        <v/>
      </c>
      <c r="V662" s="41" t="str">
        <f aca="false">IF($E662="","",IFERROR(U662/E662,""))</f>
        <v/>
      </c>
      <c r="W662" s="10" t="str">
        <f aca="false">IF($E662="","",IF($I662&lt;&gt;"","факт","прогноз"))</f>
        <v/>
      </c>
      <c r="X662" s="1"/>
      <c r="Y662" s="1"/>
      <c r="Z662" s="1"/>
      <c r="AA662" s="1"/>
      <c r="AB662" s="1"/>
      <c r="AC662" s="1"/>
      <c r="AD662" s="1"/>
    </row>
    <row r="663" customFormat="false" ht="18" hidden="false" customHeight="true" outlineLevel="0" collapsed="false">
      <c r="A663" s="1"/>
      <c r="B663" s="35"/>
      <c r="C663" s="8"/>
      <c r="D663" s="26"/>
      <c r="E663" s="27"/>
      <c r="F663" s="36"/>
      <c r="G663" s="36"/>
      <c r="H663" s="36"/>
      <c r="I663" s="36"/>
      <c r="J663" s="37" t="str">
        <f aca="false">IF($E663="","",IFERROR(G663/F663,""))</f>
        <v/>
      </c>
      <c r="K663" s="30" t="str">
        <f aca="false">IF($E663="","",IFERROR(E663/G663,""))</f>
        <v/>
      </c>
      <c r="L663" s="30" t="str">
        <f aca="false">IF($E663="","",IFERROR(E663/F663*1000,""))</f>
        <v/>
      </c>
      <c r="M663" s="37" t="str">
        <f aca="false">IF($E663="","",IFERROR(H663/G663,""))</f>
        <v/>
      </c>
      <c r="N663" s="30" t="str">
        <f aca="false">IF($E663="","",IFERROR(E663/H663,"—"))</f>
        <v/>
      </c>
      <c r="O663" s="30" t="str">
        <f aca="false">IF($E663="","",IFERROR(INDEX('Гео-калькулятор'!$K$7:$K$13,MATCH($C663,'Гео-калькулятор'!$B$7:$B$13,0)),""))</f>
        <v/>
      </c>
      <c r="P663" s="38" t="str">
        <f aca="false">IF($E663="","",IFERROR(N663/O663,""))</f>
        <v/>
      </c>
      <c r="Q663" s="39" t="str">
        <f aca="false">IF($E663="","",IF($I663&lt;&gt;"",$I663,N($H663)*IFERROR(INDEX('Гео-калькулятор'!$E$7:$E$13,MATCH($C663,'Гео-калькулятор'!$B$7:$B$13,0)),0)))</f>
        <v/>
      </c>
      <c r="R663" s="38" t="str">
        <f aca="false">IF($E663="","",IFERROR(Q663/H663,""))</f>
        <v/>
      </c>
      <c r="S663" s="30" t="str">
        <f aca="false">IF($E663="","",IFERROR(E663/Q663,"—"))</f>
        <v/>
      </c>
      <c r="T663" s="30" t="str">
        <f aca="false">IF($E663="","",Q663*IFERROR(INDEX('Гео-калькулятор'!$D$7:$D$13,MATCH($C663,'Гео-калькулятор'!$B$7:$B$13,0)),0))</f>
        <v/>
      </c>
      <c r="U663" s="40" t="str">
        <f aca="false">IF($E663="","",T663-E663)</f>
        <v/>
      </c>
      <c r="V663" s="41" t="str">
        <f aca="false">IF($E663="","",IFERROR(U663/E663,""))</f>
        <v/>
      </c>
      <c r="W663" s="10" t="str">
        <f aca="false">IF($E663="","",IF($I663&lt;&gt;"","факт","прогноз"))</f>
        <v/>
      </c>
      <c r="X663" s="1"/>
      <c r="Y663" s="1"/>
      <c r="Z663" s="1"/>
      <c r="AA663" s="1"/>
      <c r="AB663" s="1"/>
      <c r="AC663" s="1"/>
      <c r="AD663" s="1"/>
    </row>
    <row r="664" customFormat="false" ht="18" hidden="false" customHeight="true" outlineLevel="0" collapsed="false">
      <c r="A664" s="1"/>
      <c r="B664" s="35"/>
      <c r="C664" s="8"/>
      <c r="D664" s="26"/>
      <c r="E664" s="27"/>
      <c r="F664" s="36"/>
      <c r="G664" s="36"/>
      <c r="H664" s="36"/>
      <c r="I664" s="36"/>
      <c r="J664" s="37" t="str">
        <f aca="false">IF($E664="","",IFERROR(G664/F664,""))</f>
        <v/>
      </c>
      <c r="K664" s="30" t="str">
        <f aca="false">IF($E664="","",IFERROR(E664/G664,""))</f>
        <v/>
      </c>
      <c r="L664" s="30" t="str">
        <f aca="false">IF($E664="","",IFERROR(E664/F664*1000,""))</f>
        <v/>
      </c>
      <c r="M664" s="37" t="str">
        <f aca="false">IF($E664="","",IFERROR(H664/G664,""))</f>
        <v/>
      </c>
      <c r="N664" s="30" t="str">
        <f aca="false">IF($E664="","",IFERROR(E664/H664,"—"))</f>
        <v/>
      </c>
      <c r="O664" s="30" t="str">
        <f aca="false">IF($E664="","",IFERROR(INDEX('Гео-калькулятор'!$K$7:$K$13,MATCH($C664,'Гео-калькулятор'!$B$7:$B$13,0)),""))</f>
        <v/>
      </c>
      <c r="P664" s="38" t="str">
        <f aca="false">IF($E664="","",IFERROR(N664/O664,""))</f>
        <v/>
      </c>
      <c r="Q664" s="39" t="str">
        <f aca="false">IF($E664="","",IF($I664&lt;&gt;"",$I664,N($H664)*IFERROR(INDEX('Гео-калькулятор'!$E$7:$E$13,MATCH($C664,'Гео-калькулятор'!$B$7:$B$13,0)),0)))</f>
        <v/>
      </c>
      <c r="R664" s="38" t="str">
        <f aca="false">IF($E664="","",IFERROR(Q664/H664,""))</f>
        <v/>
      </c>
      <c r="S664" s="30" t="str">
        <f aca="false">IF($E664="","",IFERROR(E664/Q664,"—"))</f>
        <v/>
      </c>
      <c r="T664" s="30" t="str">
        <f aca="false">IF($E664="","",Q664*IFERROR(INDEX('Гео-калькулятор'!$D$7:$D$13,MATCH($C664,'Гео-калькулятор'!$B$7:$B$13,0)),0))</f>
        <v/>
      </c>
      <c r="U664" s="40" t="str">
        <f aca="false">IF($E664="","",T664-E664)</f>
        <v/>
      </c>
      <c r="V664" s="41" t="str">
        <f aca="false">IF($E664="","",IFERROR(U664/E664,""))</f>
        <v/>
      </c>
      <c r="W664" s="10" t="str">
        <f aca="false">IF($E664="","",IF($I664&lt;&gt;"","факт","прогноз"))</f>
        <v/>
      </c>
      <c r="X664" s="1"/>
      <c r="Y664" s="1"/>
      <c r="Z664" s="1"/>
      <c r="AA664" s="1"/>
      <c r="AB664" s="1"/>
      <c r="AC664" s="1"/>
      <c r="AD664" s="1"/>
    </row>
    <row r="665" customFormat="false" ht="18" hidden="false" customHeight="true" outlineLevel="0" collapsed="false">
      <c r="A665" s="1"/>
      <c r="B665" s="35"/>
      <c r="C665" s="8"/>
      <c r="D665" s="26"/>
      <c r="E665" s="27"/>
      <c r="F665" s="36"/>
      <c r="G665" s="36"/>
      <c r="H665" s="36"/>
      <c r="I665" s="36"/>
      <c r="J665" s="37" t="str">
        <f aca="false">IF($E665="","",IFERROR(G665/F665,""))</f>
        <v/>
      </c>
      <c r="K665" s="30" t="str">
        <f aca="false">IF($E665="","",IFERROR(E665/G665,""))</f>
        <v/>
      </c>
      <c r="L665" s="30" t="str">
        <f aca="false">IF($E665="","",IFERROR(E665/F665*1000,""))</f>
        <v/>
      </c>
      <c r="M665" s="37" t="str">
        <f aca="false">IF($E665="","",IFERROR(H665/G665,""))</f>
        <v/>
      </c>
      <c r="N665" s="30" t="str">
        <f aca="false">IF($E665="","",IFERROR(E665/H665,"—"))</f>
        <v/>
      </c>
      <c r="O665" s="30" t="str">
        <f aca="false">IF($E665="","",IFERROR(INDEX('Гео-калькулятор'!$K$7:$K$13,MATCH($C665,'Гео-калькулятор'!$B$7:$B$13,0)),""))</f>
        <v/>
      </c>
      <c r="P665" s="38" t="str">
        <f aca="false">IF($E665="","",IFERROR(N665/O665,""))</f>
        <v/>
      </c>
      <c r="Q665" s="39" t="str">
        <f aca="false">IF($E665="","",IF($I665&lt;&gt;"",$I665,N($H665)*IFERROR(INDEX('Гео-калькулятор'!$E$7:$E$13,MATCH($C665,'Гео-калькулятор'!$B$7:$B$13,0)),0)))</f>
        <v/>
      </c>
      <c r="R665" s="38" t="str">
        <f aca="false">IF($E665="","",IFERROR(Q665/H665,""))</f>
        <v/>
      </c>
      <c r="S665" s="30" t="str">
        <f aca="false">IF($E665="","",IFERROR(E665/Q665,"—"))</f>
        <v/>
      </c>
      <c r="T665" s="30" t="str">
        <f aca="false">IF($E665="","",Q665*IFERROR(INDEX('Гео-калькулятор'!$D$7:$D$13,MATCH($C665,'Гео-калькулятор'!$B$7:$B$13,0)),0))</f>
        <v/>
      </c>
      <c r="U665" s="40" t="str">
        <f aca="false">IF($E665="","",T665-E665)</f>
        <v/>
      </c>
      <c r="V665" s="41" t="str">
        <f aca="false">IF($E665="","",IFERROR(U665/E665,""))</f>
        <v/>
      </c>
      <c r="W665" s="10" t="str">
        <f aca="false">IF($E665="","",IF($I665&lt;&gt;"","факт","прогноз"))</f>
        <v/>
      </c>
      <c r="X665" s="1"/>
      <c r="Y665" s="1"/>
      <c r="Z665" s="1"/>
      <c r="AA665" s="1"/>
      <c r="AB665" s="1"/>
      <c r="AC665" s="1"/>
      <c r="AD665" s="1"/>
    </row>
    <row r="666" customFormat="false" ht="18" hidden="false" customHeight="true" outlineLevel="0" collapsed="false">
      <c r="A666" s="1"/>
      <c r="B666" s="35"/>
      <c r="C666" s="8"/>
      <c r="D666" s="26"/>
      <c r="E666" s="27"/>
      <c r="F666" s="36"/>
      <c r="G666" s="36"/>
      <c r="H666" s="36"/>
      <c r="I666" s="36"/>
      <c r="J666" s="37" t="str">
        <f aca="false">IF($E666="","",IFERROR(G666/F666,""))</f>
        <v/>
      </c>
      <c r="K666" s="30" t="str">
        <f aca="false">IF($E666="","",IFERROR(E666/G666,""))</f>
        <v/>
      </c>
      <c r="L666" s="30" t="str">
        <f aca="false">IF($E666="","",IFERROR(E666/F666*1000,""))</f>
        <v/>
      </c>
      <c r="M666" s="37" t="str">
        <f aca="false">IF($E666="","",IFERROR(H666/G666,""))</f>
        <v/>
      </c>
      <c r="N666" s="30" t="str">
        <f aca="false">IF($E666="","",IFERROR(E666/H666,"—"))</f>
        <v/>
      </c>
      <c r="O666" s="30" t="str">
        <f aca="false">IF($E666="","",IFERROR(INDEX('Гео-калькулятор'!$K$7:$K$13,MATCH($C666,'Гео-калькулятор'!$B$7:$B$13,0)),""))</f>
        <v/>
      </c>
      <c r="P666" s="38" t="str">
        <f aca="false">IF($E666="","",IFERROR(N666/O666,""))</f>
        <v/>
      </c>
      <c r="Q666" s="39" t="str">
        <f aca="false">IF($E666="","",IF($I666&lt;&gt;"",$I666,N($H666)*IFERROR(INDEX('Гео-калькулятор'!$E$7:$E$13,MATCH($C666,'Гео-калькулятор'!$B$7:$B$13,0)),0)))</f>
        <v/>
      </c>
      <c r="R666" s="38" t="str">
        <f aca="false">IF($E666="","",IFERROR(Q666/H666,""))</f>
        <v/>
      </c>
      <c r="S666" s="30" t="str">
        <f aca="false">IF($E666="","",IFERROR(E666/Q666,"—"))</f>
        <v/>
      </c>
      <c r="T666" s="30" t="str">
        <f aca="false">IF($E666="","",Q666*IFERROR(INDEX('Гео-калькулятор'!$D$7:$D$13,MATCH($C666,'Гео-калькулятор'!$B$7:$B$13,0)),0))</f>
        <v/>
      </c>
      <c r="U666" s="40" t="str">
        <f aca="false">IF($E666="","",T666-E666)</f>
        <v/>
      </c>
      <c r="V666" s="41" t="str">
        <f aca="false">IF($E666="","",IFERROR(U666/E666,""))</f>
        <v/>
      </c>
      <c r="W666" s="10" t="str">
        <f aca="false">IF($E666="","",IF($I666&lt;&gt;"","факт","прогноз"))</f>
        <v/>
      </c>
      <c r="X666" s="1"/>
      <c r="Y666" s="1"/>
      <c r="Z666" s="1"/>
      <c r="AA666" s="1"/>
      <c r="AB666" s="1"/>
      <c r="AC666" s="1"/>
      <c r="AD666" s="1"/>
    </row>
    <row r="667" customFormat="false" ht="18" hidden="false" customHeight="true" outlineLevel="0" collapsed="false">
      <c r="A667" s="1"/>
      <c r="B667" s="35"/>
      <c r="C667" s="8"/>
      <c r="D667" s="26"/>
      <c r="E667" s="27"/>
      <c r="F667" s="36"/>
      <c r="G667" s="36"/>
      <c r="H667" s="36"/>
      <c r="I667" s="36"/>
      <c r="J667" s="37" t="str">
        <f aca="false">IF($E667="","",IFERROR(G667/F667,""))</f>
        <v/>
      </c>
      <c r="K667" s="30" t="str">
        <f aca="false">IF($E667="","",IFERROR(E667/G667,""))</f>
        <v/>
      </c>
      <c r="L667" s="30" t="str">
        <f aca="false">IF($E667="","",IFERROR(E667/F667*1000,""))</f>
        <v/>
      </c>
      <c r="M667" s="37" t="str">
        <f aca="false">IF($E667="","",IFERROR(H667/G667,""))</f>
        <v/>
      </c>
      <c r="N667" s="30" t="str">
        <f aca="false">IF($E667="","",IFERROR(E667/H667,"—"))</f>
        <v/>
      </c>
      <c r="O667" s="30" t="str">
        <f aca="false">IF($E667="","",IFERROR(INDEX('Гео-калькулятор'!$K$7:$K$13,MATCH($C667,'Гео-калькулятор'!$B$7:$B$13,0)),""))</f>
        <v/>
      </c>
      <c r="P667" s="38" t="str">
        <f aca="false">IF($E667="","",IFERROR(N667/O667,""))</f>
        <v/>
      </c>
      <c r="Q667" s="39" t="str">
        <f aca="false">IF($E667="","",IF($I667&lt;&gt;"",$I667,N($H667)*IFERROR(INDEX('Гео-калькулятор'!$E$7:$E$13,MATCH($C667,'Гео-калькулятор'!$B$7:$B$13,0)),0)))</f>
        <v/>
      </c>
      <c r="R667" s="38" t="str">
        <f aca="false">IF($E667="","",IFERROR(Q667/H667,""))</f>
        <v/>
      </c>
      <c r="S667" s="30" t="str">
        <f aca="false">IF($E667="","",IFERROR(E667/Q667,"—"))</f>
        <v/>
      </c>
      <c r="T667" s="30" t="str">
        <f aca="false">IF($E667="","",Q667*IFERROR(INDEX('Гео-калькулятор'!$D$7:$D$13,MATCH($C667,'Гео-калькулятор'!$B$7:$B$13,0)),0))</f>
        <v/>
      </c>
      <c r="U667" s="40" t="str">
        <f aca="false">IF($E667="","",T667-E667)</f>
        <v/>
      </c>
      <c r="V667" s="41" t="str">
        <f aca="false">IF($E667="","",IFERROR(U667/E667,""))</f>
        <v/>
      </c>
      <c r="W667" s="10" t="str">
        <f aca="false">IF($E667="","",IF($I667&lt;&gt;"","факт","прогноз"))</f>
        <v/>
      </c>
      <c r="X667" s="1"/>
      <c r="Y667" s="1"/>
      <c r="Z667" s="1"/>
      <c r="AA667" s="1"/>
      <c r="AB667" s="1"/>
      <c r="AC667" s="1"/>
      <c r="AD667" s="1"/>
    </row>
    <row r="668" customFormat="false" ht="18" hidden="false" customHeight="true" outlineLevel="0" collapsed="false">
      <c r="A668" s="1"/>
      <c r="B668" s="35"/>
      <c r="C668" s="8"/>
      <c r="D668" s="26"/>
      <c r="E668" s="27"/>
      <c r="F668" s="36"/>
      <c r="G668" s="36"/>
      <c r="H668" s="36"/>
      <c r="I668" s="36"/>
      <c r="J668" s="37" t="str">
        <f aca="false">IF($E668="","",IFERROR(G668/F668,""))</f>
        <v/>
      </c>
      <c r="K668" s="30" t="str">
        <f aca="false">IF($E668="","",IFERROR(E668/G668,""))</f>
        <v/>
      </c>
      <c r="L668" s="30" t="str">
        <f aca="false">IF($E668="","",IFERROR(E668/F668*1000,""))</f>
        <v/>
      </c>
      <c r="M668" s="37" t="str">
        <f aca="false">IF($E668="","",IFERROR(H668/G668,""))</f>
        <v/>
      </c>
      <c r="N668" s="30" t="str">
        <f aca="false">IF($E668="","",IFERROR(E668/H668,"—"))</f>
        <v/>
      </c>
      <c r="O668" s="30" t="str">
        <f aca="false">IF($E668="","",IFERROR(INDEX('Гео-калькулятор'!$K$7:$K$13,MATCH($C668,'Гео-калькулятор'!$B$7:$B$13,0)),""))</f>
        <v/>
      </c>
      <c r="P668" s="38" t="str">
        <f aca="false">IF($E668="","",IFERROR(N668/O668,""))</f>
        <v/>
      </c>
      <c r="Q668" s="39" t="str">
        <f aca="false">IF($E668="","",IF($I668&lt;&gt;"",$I668,N($H668)*IFERROR(INDEX('Гео-калькулятор'!$E$7:$E$13,MATCH($C668,'Гео-калькулятор'!$B$7:$B$13,0)),0)))</f>
        <v/>
      </c>
      <c r="R668" s="38" t="str">
        <f aca="false">IF($E668="","",IFERROR(Q668/H668,""))</f>
        <v/>
      </c>
      <c r="S668" s="30" t="str">
        <f aca="false">IF($E668="","",IFERROR(E668/Q668,"—"))</f>
        <v/>
      </c>
      <c r="T668" s="30" t="str">
        <f aca="false">IF($E668="","",Q668*IFERROR(INDEX('Гео-калькулятор'!$D$7:$D$13,MATCH($C668,'Гео-калькулятор'!$B$7:$B$13,0)),0))</f>
        <v/>
      </c>
      <c r="U668" s="40" t="str">
        <f aca="false">IF($E668="","",T668-E668)</f>
        <v/>
      </c>
      <c r="V668" s="41" t="str">
        <f aca="false">IF($E668="","",IFERROR(U668/E668,""))</f>
        <v/>
      </c>
      <c r="W668" s="10" t="str">
        <f aca="false">IF($E668="","",IF($I668&lt;&gt;"","факт","прогноз"))</f>
        <v/>
      </c>
      <c r="X668" s="1"/>
      <c r="Y668" s="1"/>
      <c r="Z668" s="1"/>
      <c r="AA668" s="1"/>
      <c r="AB668" s="1"/>
      <c r="AC668" s="1"/>
      <c r="AD668" s="1"/>
    </row>
    <row r="669" customFormat="false" ht="18" hidden="false" customHeight="true" outlineLevel="0" collapsed="false">
      <c r="A669" s="1"/>
      <c r="B669" s="35"/>
      <c r="C669" s="8"/>
      <c r="D669" s="26"/>
      <c r="E669" s="27"/>
      <c r="F669" s="36"/>
      <c r="G669" s="36"/>
      <c r="H669" s="36"/>
      <c r="I669" s="36"/>
      <c r="J669" s="37" t="str">
        <f aca="false">IF($E669="","",IFERROR(G669/F669,""))</f>
        <v/>
      </c>
      <c r="K669" s="30" t="str">
        <f aca="false">IF($E669="","",IFERROR(E669/G669,""))</f>
        <v/>
      </c>
      <c r="L669" s="30" t="str">
        <f aca="false">IF($E669="","",IFERROR(E669/F669*1000,""))</f>
        <v/>
      </c>
      <c r="M669" s="37" t="str">
        <f aca="false">IF($E669="","",IFERROR(H669/G669,""))</f>
        <v/>
      </c>
      <c r="N669" s="30" t="str">
        <f aca="false">IF($E669="","",IFERROR(E669/H669,"—"))</f>
        <v/>
      </c>
      <c r="O669" s="30" t="str">
        <f aca="false">IF($E669="","",IFERROR(INDEX('Гео-калькулятор'!$K$7:$K$13,MATCH($C669,'Гео-калькулятор'!$B$7:$B$13,0)),""))</f>
        <v/>
      </c>
      <c r="P669" s="38" t="str">
        <f aca="false">IF($E669="","",IFERROR(N669/O669,""))</f>
        <v/>
      </c>
      <c r="Q669" s="39" t="str">
        <f aca="false">IF($E669="","",IF($I669&lt;&gt;"",$I669,N($H669)*IFERROR(INDEX('Гео-калькулятор'!$E$7:$E$13,MATCH($C669,'Гео-калькулятор'!$B$7:$B$13,0)),0)))</f>
        <v/>
      </c>
      <c r="R669" s="38" t="str">
        <f aca="false">IF($E669="","",IFERROR(Q669/H669,""))</f>
        <v/>
      </c>
      <c r="S669" s="30" t="str">
        <f aca="false">IF($E669="","",IFERROR(E669/Q669,"—"))</f>
        <v/>
      </c>
      <c r="T669" s="30" t="str">
        <f aca="false">IF($E669="","",Q669*IFERROR(INDEX('Гео-калькулятор'!$D$7:$D$13,MATCH($C669,'Гео-калькулятор'!$B$7:$B$13,0)),0))</f>
        <v/>
      </c>
      <c r="U669" s="40" t="str">
        <f aca="false">IF($E669="","",T669-E669)</f>
        <v/>
      </c>
      <c r="V669" s="41" t="str">
        <f aca="false">IF($E669="","",IFERROR(U669/E669,""))</f>
        <v/>
      </c>
      <c r="W669" s="10" t="str">
        <f aca="false">IF($E669="","",IF($I669&lt;&gt;"","факт","прогноз"))</f>
        <v/>
      </c>
      <c r="X669" s="1"/>
      <c r="Y669" s="1"/>
      <c r="Z669" s="1"/>
      <c r="AA669" s="1"/>
      <c r="AB669" s="1"/>
      <c r="AC669" s="1"/>
      <c r="AD669" s="1"/>
    </row>
    <row r="670" customFormat="false" ht="18" hidden="false" customHeight="true" outlineLevel="0" collapsed="false">
      <c r="A670" s="1"/>
      <c r="B670" s="35"/>
      <c r="C670" s="8"/>
      <c r="D670" s="26"/>
      <c r="E670" s="27"/>
      <c r="F670" s="36"/>
      <c r="G670" s="36"/>
      <c r="H670" s="36"/>
      <c r="I670" s="36"/>
      <c r="J670" s="37" t="str">
        <f aca="false">IF($E670="","",IFERROR(G670/F670,""))</f>
        <v/>
      </c>
      <c r="K670" s="30" t="str">
        <f aca="false">IF($E670="","",IFERROR(E670/G670,""))</f>
        <v/>
      </c>
      <c r="L670" s="30" t="str">
        <f aca="false">IF($E670="","",IFERROR(E670/F670*1000,""))</f>
        <v/>
      </c>
      <c r="M670" s="37" t="str">
        <f aca="false">IF($E670="","",IFERROR(H670/G670,""))</f>
        <v/>
      </c>
      <c r="N670" s="30" t="str">
        <f aca="false">IF($E670="","",IFERROR(E670/H670,"—"))</f>
        <v/>
      </c>
      <c r="O670" s="30" t="str">
        <f aca="false">IF($E670="","",IFERROR(INDEX('Гео-калькулятор'!$K$7:$K$13,MATCH($C670,'Гео-калькулятор'!$B$7:$B$13,0)),""))</f>
        <v/>
      </c>
      <c r="P670" s="38" t="str">
        <f aca="false">IF($E670="","",IFERROR(N670/O670,""))</f>
        <v/>
      </c>
      <c r="Q670" s="39" t="str">
        <f aca="false">IF($E670="","",IF($I670&lt;&gt;"",$I670,N($H670)*IFERROR(INDEX('Гео-калькулятор'!$E$7:$E$13,MATCH($C670,'Гео-калькулятор'!$B$7:$B$13,0)),0)))</f>
        <v/>
      </c>
      <c r="R670" s="38" t="str">
        <f aca="false">IF($E670="","",IFERROR(Q670/H670,""))</f>
        <v/>
      </c>
      <c r="S670" s="30" t="str">
        <f aca="false">IF($E670="","",IFERROR(E670/Q670,"—"))</f>
        <v/>
      </c>
      <c r="T670" s="30" t="str">
        <f aca="false">IF($E670="","",Q670*IFERROR(INDEX('Гео-калькулятор'!$D$7:$D$13,MATCH($C670,'Гео-калькулятор'!$B$7:$B$13,0)),0))</f>
        <v/>
      </c>
      <c r="U670" s="40" t="str">
        <f aca="false">IF($E670="","",T670-E670)</f>
        <v/>
      </c>
      <c r="V670" s="41" t="str">
        <f aca="false">IF($E670="","",IFERROR(U670/E670,""))</f>
        <v/>
      </c>
      <c r="W670" s="10" t="str">
        <f aca="false">IF($E670="","",IF($I670&lt;&gt;"","факт","прогноз"))</f>
        <v/>
      </c>
      <c r="X670" s="1"/>
      <c r="Y670" s="1"/>
      <c r="Z670" s="1"/>
      <c r="AA670" s="1"/>
      <c r="AB670" s="1"/>
      <c r="AC670" s="1"/>
      <c r="AD670" s="1"/>
    </row>
    <row r="671" customFormat="false" ht="18" hidden="false" customHeight="true" outlineLevel="0" collapsed="false">
      <c r="A671" s="1"/>
      <c r="B671" s="35"/>
      <c r="C671" s="8"/>
      <c r="D671" s="26"/>
      <c r="E671" s="27"/>
      <c r="F671" s="36"/>
      <c r="G671" s="36"/>
      <c r="H671" s="36"/>
      <c r="I671" s="36"/>
      <c r="J671" s="37" t="str">
        <f aca="false">IF($E671="","",IFERROR(G671/F671,""))</f>
        <v/>
      </c>
      <c r="K671" s="30" t="str">
        <f aca="false">IF($E671="","",IFERROR(E671/G671,""))</f>
        <v/>
      </c>
      <c r="L671" s="30" t="str">
        <f aca="false">IF($E671="","",IFERROR(E671/F671*1000,""))</f>
        <v/>
      </c>
      <c r="M671" s="37" t="str">
        <f aca="false">IF($E671="","",IFERROR(H671/G671,""))</f>
        <v/>
      </c>
      <c r="N671" s="30" t="str">
        <f aca="false">IF($E671="","",IFERROR(E671/H671,"—"))</f>
        <v/>
      </c>
      <c r="O671" s="30" t="str">
        <f aca="false">IF($E671="","",IFERROR(INDEX('Гео-калькулятор'!$K$7:$K$13,MATCH($C671,'Гео-калькулятор'!$B$7:$B$13,0)),""))</f>
        <v/>
      </c>
      <c r="P671" s="38" t="str">
        <f aca="false">IF($E671="","",IFERROR(N671/O671,""))</f>
        <v/>
      </c>
      <c r="Q671" s="39" t="str">
        <f aca="false">IF($E671="","",IF($I671&lt;&gt;"",$I671,N($H671)*IFERROR(INDEX('Гео-калькулятор'!$E$7:$E$13,MATCH($C671,'Гео-калькулятор'!$B$7:$B$13,0)),0)))</f>
        <v/>
      </c>
      <c r="R671" s="38" t="str">
        <f aca="false">IF($E671="","",IFERROR(Q671/H671,""))</f>
        <v/>
      </c>
      <c r="S671" s="30" t="str">
        <f aca="false">IF($E671="","",IFERROR(E671/Q671,"—"))</f>
        <v/>
      </c>
      <c r="T671" s="30" t="str">
        <f aca="false">IF($E671="","",Q671*IFERROR(INDEX('Гео-калькулятор'!$D$7:$D$13,MATCH($C671,'Гео-калькулятор'!$B$7:$B$13,0)),0))</f>
        <v/>
      </c>
      <c r="U671" s="40" t="str">
        <f aca="false">IF($E671="","",T671-E671)</f>
        <v/>
      </c>
      <c r="V671" s="41" t="str">
        <f aca="false">IF($E671="","",IFERROR(U671/E671,""))</f>
        <v/>
      </c>
      <c r="W671" s="10" t="str">
        <f aca="false">IF($E671="","",IF($I671&lt;&gt;"","факт","прогноз"))</f>
        <v/>
      </c>
      <c r="X671" s="1"/>
      <c r="Y671" s="1"/>
      <c r="Z671" s="1"/>
      <c r="AA671" s="1"/>
      <c r="AB671" s="1"/>
      <c r="AC671" s="1"/>
      <c r="AD671" s="1"/>
    </row>
    <row r="672" customFormat="false" ht="18" hidden="false" customHeight="true" outlineLevel="0" collapsed="false">
      <c r="A672" s="1"/>
      <c r="B672" s="35"/>
      <c r="C672" s="8"/>
      <c r="D672" s="26"/>
      <c r="E672" s="27"/>
      <c r="F672" s="36"/>
      <c r="G672" s="36"/>
      <c r="H672" s="36"/>
      <c r="I672" s="36"/>
      <c r="J672" s="37" t="str">
        <f aca="false">IF($E672="","",IFERROR(G672/F672,""))</f>
        <v/>
      </c>
      <c r="K672" s="30" t="str">
        <f aca="false">IF($E672="","",IFERROR(E672/G672,""))</f>
        <v/>
      </c>
      <c r="L672" s="30" t="str">
        <f aca="false">IF($E672="","",IFERROR(E672/F672*1000,""))</f>
        <v/>
      </c>
      <c r="M672" s="37" t="str">
        <f aca="false">IF($E672="","",IFERROR(H672/G672,""))</f>
        <v/>
      </c>
      <c r="N672" s="30" t="str">
        <f aca="false">IF($E672="","",IFERROR(E672/H672,"—"))</f>
        <v/>
      </c>
      <c r="O672" s="30" t="str">
        <f aca="false">IF($E672="","",IFERROR(INDEX('Гео-калькулятор'!$K$7:$K$13,MATCH($C672,'Гео-калькулятор'!$B$7:$B$13,0)),""))</f>
        <v/>
      </c>
      <c r="P672" s="38" t="str">
        <f aca="false">IF($E672="","",IFERROR(N672/O672,""))</f>
        <v/>
      </c>
      <c r="Q672" s="39" t="str">
        <f aca="false">IF($E672="","",IF($I672&lt;&gt;"",$I672,N($H672)*IFERROR(INDEX('Гео-калькулятор'!$E$7:$E$13,MATCH($C672,'Гео-калькулятор'!$B$7:$B$13,0)),0)))</f>
        <v/>
      </c>
      <c r="R672" s="38" t="str">
        <f aca="false">IF($E672="","",IFERROR(Q672/H672,""))</f>
        <v/>
      </c>
      <c r="S672" s="30" t="str">
        <f aca="false">IF($E672="","",IFERROR(E672/Q672,"—"))</f>
        <v/>
      </c>
      <c r="T672" s="30" t="str">
        <f aca="false">IF($E672="","",Q672*IFERROR(INDEX('Гео-калькулятор'!$D$7:$D$13,MATCH($C672,'Гео-калькулятор'!$B$7:$B$13,0)),0))</f>
        <v/>
      </c>
      <c r="U672" s="40" t="str">
        <f aca="false">IF($E672="","",T672-E672)</f>
        <v/>
      </c>
      <c r="V672" s="41" t="str">
        <f aca="false">IF($E672="","",IFERROR(U672/E672,""))</f>
        <v/>
      </c>
      <c r="W672" s="10" t="str">
        <f aca="false">IF($E672="","",IF($I672&lt;&gt;"","факт","прогноз"))</f>
        <v/>
      </c>
      <c r="X672" s="1"/>
      <c r="Y672" s="1"/>
      <c r="Z672" s="1"/>
      <c r="AA672" s="1"/>
      <c r="AB672" s="1"/>
      <c r="AC672" s="1"/>
      <c r="AD672" s="1"/>
    </row>
    <row r="673" customFormat="false" ht="18" hidden="false" customHeight="true" outlineLevel="0" collapsed="false">
      <c r="A673" s="1"/>
      <c r="B673" s="35"/>
      <c r="C673" s="8"/>
      <c r="D673" s="26"/>
      <c r="E673" s="27"/>
      <c r="F673" s="36"/>
      <c r="G673" s="36"/>
      <c r="H673" s="36"/>
      <c r="I673" s="36"/>
      <c r="J673" s="37" t="str">
        <f aca="false">IF($E673="","",IFERROR(G673/F673,""))</f>
        <v/>
      </c>
      <c r="K673" s="30" t="str">
        <f aca="false">IF($E673="","",IFERROR(E673/G673,""))</f>
        <v/>
      </c>
      <c r="L673" s="30" t="str">
        <f aca="false">IF($E673="","",IFERROR(E673/F673*1000,""))</f>
        <v/>
      </c>
      <c r="M673" s="37" t="str">
        <f aca="false">IF($E673="","",IFERROR(H673/G673,""))</f>
        <v/>
      </c>
      <c r="N673" s="30" t="str">
        <f aca="false">IF($E673="","",IFERROR(E673/H673,"—"))</f>
        <v/>
      </c>
      <c r="O673" s="30" t="str">
        <f aca="false">IF($E673="","",IFERROR(INDEX('Гео-калькулятор'!$K$7:$K$13,MATCH($C673,'Гео-калькулятор'!$B$7:$B$13,0)),""))</f>
        <v/>
      </c>
      <c r="P673" s="38" t="str">
        <f aca="false">IF($E673="","",IFERROR(N673/O673,""))</f>
        <v/>
      </c>
      <c r="Q673" s="39" t="str">
        <f aca="false">IF($E673="","",IF($I673&lt;&gt;"",$I673,N($H673)*IFERROR(INDEX('Гео-калькулятор'!$E$7:$E$13,MATCH($C673,'Гео-калькулятор'!$B$7:$B$13,0)),0)))</f>
        <v/>
      </c>
      <c r="R673" s="38" t="str">
        <f aca="false">IF($E673="","",IFERROR(Q673/H673,""))</f>
        <v/>
      </c>
      <c r="S673" s="30" t="str">
        <f aca="false">IF($E673="","",IFERROR(E673/Q673,"—"))</f>
        <v/>
      </c>
      <c r="T673" s="30" t="str">
        <f aca="false">IF($E673="","",Q673*IFERROR(INDEX('Гео-калькулятор'!$D$7:$D$13,MATCH($C673,'Гео-калькулятор'!$B$7:$B$13,0)),0))</f>
        <v/>
      </c>
      <c r="U673" s="40" t="str">
        <f aca="false">IF($E673="","",T673-E673)</f>
        <v/>
      </c>
      <c r="V673" s="41" t="str">
        <f aca="false">IF($E673="","",IFERROR(U673/E673,""))</f>
        <v/>
      </c>
      <c r="W673" s="10" t="str">
        <f aca="false">IF($E673="","",IF($I673&lt;&gt;"","факт","прогноз"))</f>
        <v/>
      </c>
      <c r="X673" s="1"/>
      <c r="Y673" s="1"/>
      <c r="Z673" s="1"/>
      <c r="AA673" s="1"/>
      <c r="AB673" s="1"/>
      <c r="AC673" s="1"/>
      <c r="AD673" s="1"/>
    </row>
    <row r="674" customFormat="false" ht="18" hidden="false" customHeight="true" outlineLevel="0" collapsed="false">
      <c r="A674" s="1"/>
      <c r="B674" s="35"/>
      <c r="C674" s="8"/>
      <c r="D674" s="26"/>
      <c r="E674" s="27"/>
      <c r="F674" s="36"/>
      <c r="G674" s="36"/>
      <c r="H674" s="36"/>
      <c r="I674" s="36"/>
      <c r="J674" s="37" t="str">
        <f aca="false">IF($E674="","",IFERROR(G674/F674,""))</f>
        <v/>
      </c>
      <c r="K674" s="30" t="str">
        <f aca="false">IF($E674="","",IFERROR(E674/G674,""))</f>
        <v/>
      </c>
      <c r="L674" s="30" t="str">
        <f aca="false">IF($E674="","",IFERROR(E674/F674*1000,""))</f>
        <v/>
      </c>
      <c r="M674" s="37" t="str">
        <f aca="false">IF($E674="","",IFERROR(H674/G674,""))</f>
        <v/>
      </c>
      <c r="N674" s="30" t="str">
        <f aca="false">IF($E674="","",IFERROR(E674/H674,"—"))</f>
        <v/>
      </c>
      <c r="O674" s="30" t="str">
        <f aca="false">IF($E674="","",IFERROR(INDEX('Гео-калькулятор'!$K$7:$K$13,MATCH($C674,'Гео-калькулятор'!$B$7:$B$13,0)),""))</f>
        <v/>
      </c>
      <c r="P674" s="38" t="str">
        <f aca="false">IF($E674="","",IFERROR(N674/O674,""))</f>
        <v/>
      </c>
      <c r="Q674" s="39" t="str">
        <f aca="false">IF($E674="","",IF($I674&lt;&gt;"",$I674,N($H674)*IFERROR(INDEX('Гео-калькулятор'!$E$7:$E$13,MATCH($C674,'Гео-калькулятор'!$B$7:$B$13,0)),0)))</f>
        <v/>
      </c>
      <c r="R674" s="38" t="str">
        <f aca="false">IF($E674="","",IFERROR(Q674/H674,""))</f>
        <v/>
      </c>
      <c r="S674" s="30" t="str">
        <f aca="false">IF($E674="","",IFERROR(E674/Q674,"—"))</f>
        <v/>
      </c>
      <c r="T674" s="30" t="str">
        <f aca="false">IF($E674="","",Q674*IFERROR(INDEX('Гео-калькулятор'!$D$7:$D$13,MATCH($C674,'Гео-калькулятор'!$B$7:$B$13,0)),0))</f>
        <v/>
      </c>
      <c r="U674" s="40" t="str">
        <f aca="false">IF($E674="","",T674-E674)</f>
        <v/>
      </c>
      <c r="V674" s="41" t="str">
        <f aca="false">IF($E674="","",IFERROR(U674/E674,""))</f>
        <v/>
      </c>
      <c r="W674" s="10" t="str">
        <f aca="false">IF($E674="","",IF($I674&lt;&gt;"","факт","прогноз"))</f>
        <v/>
      </c>
      <c r="X674" s="1"/>
      <c r="Y674" s="1"/>
      <c r="Z674" s="1"/>
      <c r="AA674" s="1"/>
      <c r="AB674" s="1"/>
      <c r="AC674" s="1"/>
      <c r="AD674" s="1"/>
    </row>
    <row r="675" customFormat="false" ht="18" hidden="false" customHeight="true" outlineLevel="0" collapsed="false">
      <c r="A675" s="1"/>
      <c r="B675" s="35"/>
      <c r="C675" s="8"/>
      <c r="D675" s="26"/>
      <c r="E675" s="27"/>
      <c r="F675" s="36"/>
      <c r="G675" s="36"/>
      <c r="H675" s="36"/>
      <c r="I675" s="36"/>
      <c r="J675" s="37" t="str">
        <f aca="false">IF($E675="","",IFERROR(G675/F675,""))</f>
        <v/>
      </c>
      <c r="K675" s="30" t="str">
        <f aca="false">IF($E675="","",IFERROR(E675/G675,""))</f>
        <v/>
      </c>
      <c r="L675" s="30" t="str">
        <f aca="false">IF($E675="","",IFERROR(E675/F675*1000,""))</f>
        <v/>
      </c>
      <c r="M675" s="37" t="str">
        <f aca="false">IF($E675="","",IFERROR(H675/G675,""))</f>
        <v/>
      </c>
      <c r="N675" s="30" t="str">
        <f aca="false">IF($E675="","",IFERROR(E675/H675,"—"))</f>
        <v/>
      </c>
      <c r="O675" s="30" t="str">
        <f aca="false">IF($E675="","",IFERROR(INDEX('Гео-калькулятор'!$K$7:$K$13,MATCH($C675,'Гео-калькулятор'!$B$7:$B$13,0)),""))</f>
        <v/>
      </c>
      <c r="P675" s="38" t="str">
        <f aca="false">IF($E675="","",IFERROR(N675/O675,""))</f>
        <v/>
      </c>
      <c r="Q675" s="39" t="str">
        <f aca="false">IF($E675="","",IF($I675&lt;&gt;"",$I675,N($H675)*IFERROR(INDEX('Гео-калькулятор'!$E$7:$E$13,MATCH($C675,'Гео-калькулятор'!$B$7:$B$13,0)),0)))</f>
        <v/>
      </c>
      <c r="R675" s="38" t="str">
        <f aca="false">IF($E675="","",IFERROR(Q675/H675,""))</f>
        <v/>
      </c>
      <c r="S675" s="30" t="str">
        <f aca="false">IF($E675="","",IFERROR(E675/Q675,"—"))</f>
        <v/>
      </c>
      <c r="T675" s="30" t="str">
        <f aca="false">IF($E675="","",Q675*IFERROR(INDEX('Гео-калькулятор'!$D$7:$D$13,MATCH($C675,'Гео-калькулятор'!$B$7:$B$13,0)),0))</f>
        <v/>
      </c>
      <c r="U675" s="40" t="str">
        <f aca="false">IF($E675="","",T675-E675)</f>
        <v/>
      </c>
      <c r="V675" s="41" t="str">
        <f aca="false">IF($E675="","",IFERROR(U675/E675,""))</f>
        <v/>
      </c>
      <c r="W675" s="10" t="str">
        <f aca="false">IF($E675="","",IF($I675&lt;&gt;"","факт","прогноз"))</f>
        <v/>
      </c>
      <c r="X675" s="1"/>
      <c r="Y675" s="1"/>
      <c r="Z675" s="1"/>
      <c r="AA675" s="1"/>
      <c r="AB675" s="1"/>
      <c r="AC675" s="1"/>
      <c r="AD675" s="1"/>
    </row>
    <row r="676" customFormat="false" ht="18" hidden="false" customHeight="true" outlineLevel="0" collapsed="false">
      <c r="A676" s="1"/>
      <c r="B676" s="35"/>
      <c r="C676" s="8"/>
      <c r="D676" s="26"/>
      <c r="E676" s="27"/>
      <c r="F676" s="36"/>
      <c r="G676" s="36"/>
      <c r="H676" s="36"/>
      <c r="I676" s="36"/>
      <c r="J676" s="37" t="str">
        <f aca="false">IF($E676="","",IFERROR(G676/F676,""))</f>
        <v/>
      </c>
      <c r="K676" s="30" t="str">
        <f aca="false">IF($E676="","",IFERROR(E676/G676,""))</f>
        <v/>
      </c>
      <c r="L676" s="30" t="str">
        <f aca="false">IF($E676="","",IFERROR(E676/F676*1000,""))</f>
        <v/>
      </c>
      <c r="M676" s="37" t="str">
        <f aca="false">IF($E676="","",IFERROR(H676/G676,""))</f>
        <v/>
      </c>
      <c r="N676" s="30" t="str">
        <f aca="false">IF($E676="","",IFERROR(E676/H676,"—"))</f>
        <v/>
      </c>
      <c r="O676" s="30" t="str">
        <f aca="false">IF($E676="","",IFERROR(INDEX('Гео-калькулятор'!$K$7:$K$13,MATCH($C676,'Гео-калькулятор'!$B$7:$B$13,0)),""))</f>
        <v/>
      </c>
      <c r="P676" s="38" t="str">
        <f aca="false">IF($E676="","",IFERROR(N676/O676,""))</f>
        <v/>
      </c>
      <c r="Q676" s="39" t="str">
        <f aca="false">IF($E676="","",IF($I676&lt;&gt;"",$I676,N($H676)*IFERROR(INDEX('Гео-калькулятор'!$E$7:$E$13,MATCH($C676,'Гео-калькулятор'!$B$7:$B$13,0)),0)))</f>
        <v/>
      </c>
      <c r="R676" s="38" t="str">
        <f aca="false">IF($E676="","",IFERROR(Q676/H676,""))</f>
        <v/>
      </c>
      <c r="S676" s="30" t="str">
        <f aca="false">IF($E676="","",IFERROR(E676/Q676,"—"))</f>
        <v/>
      </c>
      <c r="T676" s="30" t="str">
        <f aca="false">IF($E676="","",Q676*IFERROR(INDEX('Гео-калькулятор'!$D$7:$D$13,MATCH($C676,'Гео-калькулятор'!$B$7:$B$13,0)),0))</f>
        <v/>
      </c>
      <c r="U676" s="40" t="str">
        <f aca="false">IF($E676="","",T676-E676)</f>
        <v/>
      </c>
      <c r="V676" s="41" t="str">
        <f aca="false">IF($E676="","",IFERROR(U676/E676,""))</f>
        <v/>
      </c>
      <c r="W676" s="10" t="str">
        <f aca="false">IF($E676="","",IF($I676&lt;&gt;"","факт","прогноз"))</f>
        <v/>
      </c>
      <c r="X676" s="1"/>
      <c r="Y676" s="1"/>
      <c r="Z676" s="1"/>
      <c r="AA676" s="1"/>
      <c r="AB676" s="1"/>
      <c r="AC676" s="1"/>
      <c r="AD676" s="1"/>
    </row>
    <row r="677" customFormat="false" ht="18" hidden="false" customHeight="true" outlineLevel="0" collapsed="false">
      <c r="A677" s="1"/>
      <c r="B677" s="35"/>
      <c r="C677" s="8"/>
      <c r="D677" s="26"/>
      <c r="E677" s="27"/>
      <c r="F677" s="36"/>
      <c r="G677" s="36"/>
      <c r="H677" s="36"/>
      <c r="I677" s="36"/>
      <c r="J677" s="37" t="str">
        <f aca="false">IF($E677="","",IFERROR(G677/F677,""))</f>
        <v/>
      </c>
      <c r="K677" s="30" t="str">
        <f aca="false">IF($E677="","",IFERROR(E677/G677,""))</f>
        <v/>
      </c>
      <c r="L677" s="30" t="str">
        <f aca="false">IF($E677="","",IFERROR(E677/F677*1000,""))</f>
        <v/>
      </c>
      <c r="M677" s="37" t="str">
        <f aca="false">IF($E677="","",IFERROR(H677/G677,""))</f>
        <v/>
      </c>
      <c r="N677" s="30" t="str">
        <f aca="false">IF($E677="","",IFERROR(E677/H677,"—"))</f>
        <v/>
      </c>
      <c r="O677" s="30" t="str">
        <f aca="false">IF($E677="","",IFERROR(INDEX('Гео-калькулятор'!$K$7:$K$13,MATCH($C677,'Гео-калькулятор'!$B$7:$B$13,0)),""))</f>
        <v/>
      </c>
      <c r="P677" s="38" t="str">
        <f aca="false">IF($E677="","",IFERROR(N677/O677,""))</f>
        <v/>
      </c>
      <c r="Q677" s="39" t="str">
        <f aca="false">IF($E677="","",IF($I677&lt;&gt;"",$I677,N($H677)*IFERROR(INDEX('Гео-калькулятор'!$E$7:$E$13,MATCH($C677,'Гео-калькулятор'!$B$7:$B$13,0)),0)))</f>
        <v/>
      </c>
      <c r="R677" s="38" t="str">
        <f aca="false">IF($E677="","",IFERROR(Q677/H677,""))</f>
        <v/>
      </c>
      <c r="S677" s="30" t="str">
        <f aca="false">IF($E677="","",IFERROR(E677/Q677,"—"))</f>
        <v/>
      </c>
      <c r="T677" s="30" t="str">
        <f aca="false">IF($E677="","",Q677*IFERROR(INDEX('Гео-калькулятор'!$D$7:$D$13,MATCH($C677,'Гео-калькулятор'!$B$7:$B$13,0)),0))</f>
        <v/>
      </c>
      <c r="U677" s="40" t="str">
        <f aca="false">IF($E677="","",T677-E677)</f>
        <v/>
      </c>
      <c r="V677" s="41" t="str">
        <f aca="false">IF($E677="","",IFERROR(U677/E677,""))</f>
        <v/>
      </c>
      <c r="W677" s="10" t="str">
        <f aca="false">IF($E677="","",IF($I677&lt;&gt;"","факт","прогноз"))</f>
        <v/>
      </c>
      <c r="X677" s="1"/>
      <c r="Y677" s="1"/>
      <c r="Z677" s="1"/>
      <c r="AA677" s="1"/>
      <c r="AB677" s="1"/>
      <c r="AC677" s="1"/>
      <c r="AD677" s="1"/>
    </row>
    <row r="678" customFormat="false" ht="18" hidden="false" customHeight="true" outlineLevel="0" collapsed="false">
      <c r="A678" s="1"/>
      <c r="B678" s="35"/>
      <c r="C678" s="8"/>
      <c r="D678" s="26"/>
      <c r="E678" s="27"/>
      <c r="F678" s="36"/>
      <c r="G678" s="36"/>
      <c r="H678" s="36"/>
      <c r="I678" s="36"/>
      <c r="J678" s="37" t="str">
        <f aca="false">IF($E678="","",IFERROR(G678/F678,""))</f>
        <v/>
      </c>
      <c r="K678" s="30" t="str">
        <f aca="false">IF($E678="","",IFERROR(E678/G678,""))</f>
        <v/>
      </c>
      <c r="L678" s="30" t="str">
        <f aca="false">IF($E678="","",IFERROR(E678/F678*1000,""))</f>
        <v/>
      </c>
      <c r="M678" s="37" t="str">
        <f aca="false">IF($E678="","",IFERROR(H678/G678,""))</f>
        <v/>
      </c>
      <c r="N678" s="30" t="str">
        <f aca="false">IF($E678="","",IFERROR(E678/H678,"—"))</f>
        <v/>
      </c>
      <c r="O678" s="30" t="str">
        <f aca="false">IF($E678="","",IFERROR(INDEX('Гео-калькулятор'!$K$7:$K$13,MATCH($C678,'Гео-калькулятор'!$B$7:$B$13,0)),""))</f>
        <v/>
      </c>
      <c r="P678" s="38" t="str">
        <f aca="false">IF($E678="","",IFERROR(N678/O678,""))</f>
        <v/>
      </c>
      <c r="Q678" s="39" t="str">
        <f aca="false">IF($E678="","",IF($I678&lt;&gt;"",$I678,N($H678)*IFERROR(INDEX('Гео-калькулятор'!$E$7:$E$13,MATCH($C678,'Гео-калькулятор'!$B$7:$B$13,0)),0)))</f>
        <v/>
      </c>
      <c r="R678" s="38" t="str">
        <f aca="false">IF($E678="","",IFERROR(Q678/H678,""))</f>
        <v/>
      </c>
      <c r="S678" s="30" t="str">
        <f aca="false">IF($E678="","",IFERROR(E678/Q678,"—"))</f>
        <v/>
      </c>
      <c r="T678" s="30" t="str">
        <f aca="false">IF($E678="","",Q678*IFERROR(INDEX('Гео-калькулятор'!$D$7:$D$13,MATCH($C678,'Гео-калькулятор'!$B$7:$B$13,0)),0))</f>
        <v/>
      </c>
      <c r="U678" s="40" t="str">
        <f aca="false">IF($E678="","",T678-E678)</f>
        <v/>
      </c>
      <c r="V678" s="41" t="str">
        <f aca="false">IF($E678="","",IFERROR(U678/E678,""))</f>
        <v/>
      </c>
      <c r="W678" s="10" t="str">
        <f aca="false">IF($E678="","",IF($I678&lt;&gt;"","факт","прогноз"))</f>
        <v/>
      </c>
      <c r="X678" s="1"/>
      <c r="Y678" s="1"/>
      <c r="Z678" s="1"/>
      <c r="AA678" s="1"/>
      <c r="AB678" s="1"/>
      <c r="AC678" s="1"/>
      <c r="AD678" s="1"/>
    </row>
    <row r="679" customFormat="false" ht="18" hidden="false" customHeight="true" outlineLevel="0" collapsed="false">
      <c r="A679" s="1"/>
      <c r="B679" s="35"/>
      <c r="C679" s="8"/>
      <c r="D679" s="26"/>
      <c r="E679" s="27"/>
      <c r="F679" s="36"/>
      <c r="G679" s="36"/>
      <c r="H679" s="36"/>
      <c r="I679" s="36"/>
      <c r="J679" s="37" t="str">
        <f aca="false">IF($E679="","",IFERROR(G679/F679,""))</f>
        <v/>
      </c>
      <c r="K679" s="30" t="str">
        <f aca="false">IF($E679="","",IFERROR(E679/G679,""))</f>
        <v/>
      </c>
      <c r="L679" s="30" t="str">
        <f aca="false">IF($E679="","",IFERROR(E679/F679*1000,""))</f>
        <v/>
      </c>
      <c r="M679" s="37" t="str">
        <f aca="false">IF($E679="","",IFERROR(H679/G679,""))</f>
        <v/>
      </c>
      <c r="N679" s="30" t="str">
        <f aca="false">IF($E679="","",IFERROR(E679/H679,"—"))</f>
        <v/>
      </c>
      <c r="O679" s="30" t="str">
        <f aca="false">IF($E679="","",IFERROR(INDEX('Гео-калькулятор'!$K$7:$K$13,MATCH($C679,'Гео-калькулятор'!$B$7:$B$13,0)),""))</f>
        <v/>
      </c>
      <c r="P679" s="38" t="str">
        <f aca="false">IF($E679="","",IFERROR(N679/O679,""))</f>
        <v/>
      </c>
      <c r="Q679" s="39" t="str">
        <f aca="false">IF($E679="","",IF($I679&lt;&gt;"",$I679,N($H679)*IFERROR(INDEX('Гео-калькулятор'!$E$7:$E$13,MATCH($C679,'Гео-калькулятор'!$B$7:$B$13,0)),0)))</f>
        <v/>
      </c>
      <c r="R679" s="38" t="str">
        <f aca="false">IF($E679="","",IFERROR(Q679/H679,""))</f>
        <v/>
      </c>
      <c r="S679" s="30" t="str">
        <f aca="false">IF($E679="","",IFERROR(E679/Q679,"—"))</f>
        <v/>
      </c>
      <c r="T679" s="30" t="str">
        <f aca="false">IF($E679="","",Q679*IFERROR(INDEX('Гео-калькулятор'!$D$7:$D$13,MATCH($C679,'Гео-калькулятор'!$B$7:$B$13,0)),0))</f>
        <v/>
      </c>
      <c r="U679" s="40" t="str">
        <f aca="false">IF($E679="","",T679-E679)</f>
        <v/>
      </c>
      <c r="V679" s="41" t="str">
        <f aca="false">IF($E679="","",IFERROR(U679/E679,""))</f>
        <v/>
      </c>
      <c r="W679" s="10" t="str">
        <f aca="false">IF($E679="","",IF($I679&lt;&gt;"","факт","прогноз"))</f>
        <v/>
      </c>
      <c r="X679" s="1"/>
      <c r="Y679" s="1"/>
      <c r="Z679" s="1"/>
      <c r="AA679" s="1"/>
      <c r="AB679" s="1"/>
      <c r="AC679" s="1"/>
      <c r="AD679" s="1"/>
    </row>
    <row r="680" customFormat="false" ht="18" hidden="false" customHeight="true" outlineLevel="0" collapsed="false">
      <c r="A680" s="1"/>
      <c r="B680" s="35"/>
      <c r="C680" s="8"/>
      <c r="D680" s="26"/>
      <c r="E680" s="27"/>
      <c r="F680" s="36"/>
      <c r="G680" s="36"/>
      <c r="H680" s="36"/>
      <c r="I680" s="36"/>
      <c r="J680" s="37" t="str">
        <f aca="false">IF($E680="","",IFERROR(G680/F680,""))</f>
        <v/>
      </c>
      <c r="K680" s="30" t="str">
        <f aca="false">IF($E680="","",IFERROR(E680/G680,""))</f>
        <v/>
      </c>
      <c r="L680" s="30" t="str">
        <f aca="false">IF($E680="","",IFERROR(E680/F680*1000,""))</f>
        <v/>
      </c>
      <c r="M680" s="37" t="str">
        <f aca="false">IF($E680="","",IFERROR(H680/G680,""))</f>
        <v/>
      </c>
      <c r="N680" s="30" t="str">
        <f aca="false">IF($E680="","",IFERROR(E680/H680,"—"))</f>
        <v/>
      </c>
      <c r="O680" s="30" t="str">
        <f aca="false">IF($E680="","",IFERROR(INDEX('Гео-калькулятор'!$K$7:$K$13,MATCH($C680,'Гео-калькулятор'!$B$7:$B$13,0)),""))</f>
        <v/>
      </c>
      <c r="P680" s="38" t="str">
        <f aca="false">IF($E680="","",IFERROR(N680/O680,""))</f>
        <v/>
      </c>
      <c r="Q680" s="39" t="str">
        <f aca="false">IF($E680="","",IF($I680&lt;&gt;"",$I680,N($H680)*IFERROR(INDEX('Гео-калькулятор'!$E$7:$E$13,MATCH($C680,'Гео-калькулятор'!$B$7:$B$13,0)),0)))</f>
        <v/>
      </c>
      <c r="R680" s="38" t="str">
        <f aca="false">IF($E680="","",IFERROR(Q680/H680,""))</f>
        <v/>
      </c>
      <c r="S680" s="30" t="str">
        <f aca="false">IF($E680="","",IFERROR(E680/Q680,"—"))</f>
        <v/>
      </c>
      <c r="T680" s="30" t="str">
        <f aca="false">IF($E680="","",Q680*IFERROR(INDEX('Гео-калькулятор'!$D$7:$D$13,MATCH($C680,'Гео-калькулятор'!$B$7:$B$13,0)),0))</f>
        <v/>
      </c>
      <c r="U680" s="40" t="str">
        <f aca="false">IF($E680="","",T680-E680)</f>
        <v/>
      </c>
      <c r="V680" s="41" t="str">
        <f aca="false">IF($E680="","",IFERROR(U680/E680,""))</f>
        <v/>
      </c>
      <c r="W680" s="10" t="str">
        <f aca="false">IF($E680="","",IF($I680&lt;&gt;"","факт","прогноз"))</f>
        <v/>
      </c>
      <c r="X680" s="1"/>
      <c r="Y680" s="1"/>
      <c r="Z680" s="1"/>
      <c r="AA680" s="1"/>
      <c r="AB680" s="1"/>
      <c r="AC680" s="1"/>
      <c r="AD680" s="1"/>
    </row>
    <row r="681" customFormat="false" ht="18" hidden="false" customHeight="true" outlineLevel="0" collapsed="false">
      <c r="A681" s="1"/>
      <c r="B681" s="35"/>
      <c r="C681" s="8"/>
      <c r="D681" s="26"/>
      <c r="E681" s="27"/>
      <c r="F681" s="36"/>
      <c r="G681" s="36"/>
      <c r="H681" s="36"/>
      <c r="I681" s="36"/>
      <c r="J681" s="37" t="str">
        <f aca="false">IF($E681="","",IFERROR(G681/F681,""))</f>
        <v/>
      </c>
      <c r="K681" s="30" t="str">
        <f aca="false">IF($E681="","",IFERROR(E681/G681,""))</f>
        <v/>
      </c>
      <c r="L681" s="30" t="str">
        <f aca="false">IF($E681="","",IFERROR(E681/F681*1000,""))</f>
        <v/>
      </c>
      <c r="M681" s="37" t="str">
        <f aca="false">IF($E681="","",IFERROR(H681/G681,""))</f>
        <v/>
      </c>
      <c r="N681" s="30" t="str">
        <f aca="false">IF($E681="","",IFERROR(E681/H681,"—"))</f>
        <v/>
      </c>
      <c r="O681" s="30" t="str">
        <f aca="false">IF($E681="","",IFERROR(INDEX('Гео-калькулятор'!$K$7:$K$13,MATCH($C681,'Гео-калькулятор'!$B$7:$B$13,0)),""))</f>
        <v/>
      </c>
      <c r="P681" s="38" t="str">
        <f aca="false">IF($E681="","",IFERROR(N681/O681,""))</f>
        <v/>
      </c>
      <c r="Q681" s="39" t="str">
        <f aca="false">IF($E681="","",IF($I681&lt;&gt;"",$I681,N($H681)*IFERROR(INDEX('Гео-калькулятор'!$E$7:$E$13,MATCH($C681,'Гео-калькулятор'!$B$7:$B$13,0)),0)))</f>
        <v/>
      </c>
      <c r="R681" s="38" t="str">
        <f aca="false">IF($E681="","",IFERROR(Q681/H681,""))</f>
        <v/>
      </c>
      <c r="S681" s="30" t="str">
        <f aca="false">IF($E681="","",IFERROR(E681/Q681,"—"))</f>
        <v/>
      </c>
      <c r="T681" s="30" t="str">
        <f aca="false">IF($E681="","",Q681*IFERROR(INDEX('Гео-калькулятор'!$D$7:$D$13,MATCH($C681,'Гео-калькулятор'!$B$7:$B$13,0)),0))</f>
        <v/>
      </c>
      <c r="U681" s="40" t="str">
        <f aca="false">IF($E681="","",T681-E681)</f>
        <v/>
      </c>
      <c r="V681" s="41" t="str">
        <f aca="false">IF($E681="","",IFERROR(U681/E681,""))</f>
        <v/>
      </c>
      <c r="W681" s="10" t="str">
        <f aca="false">IF($E681="","",IF($I681&lt;&gt;"","факт","прогноз"))</f>
        <v/>
      </c>
      <c r="X681" s="1"/>
      <c r="Y681" s="1"/>
      <c r="Z681" s="1"/>
      <c r="AA681" s="1"/>
      <c r="AB681" s="1"/>
      <c r="AC681" s="1"/>
      <c r="AD681" s="1"/>
    </row>
    <row r="682" customFormat="false" ht="18" hidden="false" customHeight="true" outlineLevel="0" collapsed="false">
      <c r="A682" s="1"/>
      <c r="B682" s="35"/>
      <c r="C682" s="8"/>
      <c r="D682" s="26"/>
      <c r="E682" s="27"/>
      <c r="F682" s="36"/>
      <c r="G682" s="36"/>
      <c r="H682" s="36"/>
      <c r="I682" s="36"/>
      <c r="J682" s="37" t="str">
        <f aca="false">IF($E682="","",IFERROR(G682/F682,""))</f>
        <v/>
      </c>
      <c r="K682" s="30" t="str">
        <f aca="false">IF($E682="","",IFERROR(E682/G682,""))</f>
        <v/>
      </c>
      <c r="L682" s="30" t="str">
        <f aca="false">IF($E682="","",IFERROR(E682/F682*1000,""))</f>
        <v/>
      </c>
      <c r="M682" s="37" t="str">
        <f aca="false">IF($E682="","",IFERROR(H682/G682,""))</f>
        <v/>
      </c>
      <c r="N682" s="30" t="str">
        <f aca="false">IF($E682="","",IFERROR(E682/H682,"—"))</f>
        <v/>
      </c>
      <c r="O682" s="30" t="str">
        <f aca="false">IF($E682="","",IFERROR(INDEX('Гео-калькулятор'!$K$7:$K$13,MATCH($C682,'Гео-калькулятор'!$B$7:$B$13,0)),""))</f>
        <v/>
      </c>
      <c r="P682" s="38" t="str">
        <f aca="false">IF($E682="","",IFERROR(N682/O682,""))</f>
        <v/>
      </c>
      <c r="Q682" s="39" t="str">
        <f aca="false">IF($E682="","",IF($I682&lt;&gt;"",$I682,N($H682)*IFERROR(INDEX('Гео-калькулятор'!$E$7:$E$13,MATCH($C682,'Гео-калькулятор'!$B$7:$B$13,0)),0)))</f>
        <v/>
      </c>
      <c r="R682" s="38" t="str">
        <f aca="false">IF($E682="","",IFERROR(Q682/H682,""))</f>
        <v/>
      </c>
      <c r="S682" s="30" t="str">
        <f aca="false">IF($E682="","",IFERROR(E682/Q682,"—"))</f>
        <v/>
      </c>
      <c r="T682" s="30" t="str">
        <f aca="false">IF($E682="","",Q682*IFERROR(INDEX('Гео-калькулятор'!$D$7:$D$13,MATCH($C682,'Гео-калькулятор'!$B$7:$B$13,0)),0))</f>
        <v/>
      </c>
      <c r="U682" s="40" t="str">
        <f aca="false">IF($E682="","",T682-E682)</f>
        <v/>
      </c>
      <c r="V682" s="41" t="str">
        <f aca="false">IF($E682="","",IFERROR(U682/E682,""))</f>
        <v/>
      </c>
      <c r="W682" s="10" t="str">
        <f aca="false">IF($E682="","",IF($I682&lt;&gt;"","факт","прогноз"))</f>
        <v/>
      </c>
      <c r="X682" s="1"/>
      <c r="Y682" s="1"/>
      <c r="Z682" s="1"/>
      <c r="AA682" s="1"/>
      <c r="AB682" s="1"/>
      <c r="AC682" s="1"/>
      <c r="AD682" s="1"/>
    </row>
    <row r="683" customFormat="false" ht="18" hidden="false" customHeight="true" outlineLevel="0" collapsed="false">
      <c r="A683" s="1"/>
      <c r="B683" s="35"/>
      <c r="C683" s="8"/>
      <c r="D683" s="26"/>
      <c r="E683" s="27"/>
      <c r="F683" s="36"/>
      <c r="G683" s="36"/>
      <c r="H683" s="36"/>
      <c r="I683" s="36"/>
      <c r="J683" s="37" t="str">
        <f aca="false">IF($E683="","",IFERROR(G683/F683,""))</f>
        <v/>
      </c>
      <c r="K683" s="30" t="str">
        <f aca="false">IF($E683="","",IFERROR(E683/G683,""))</f>
        <v/>
      </c>
      <c r="L683" s="30" t="str">
        <f aca="false">IF($E683="","",IFERROR(E683/F683*1000,""))</f>
        <v/>
      </c>
      <c r="M683" s="37" t="str">
        <f aca="false">IF($E683="","",IFERROR(H683/G683,""))</f>
        <v/>
      </c>
      <c r="N683" s="30" t="str">
        <f aca="false">IF($E683="","",IFERROR(E683/H683,"—"))</f>
        <v/>
      </c>
      <c r="O683" s="30" t="str">
        <f aca="false">IF($E683="","",IFERROR(INDEX('Гео-калькулятор'!$K$7:$K$13,MATCH($C683,'Гео-калькулятор'!$B$7:$B$13,0)),""))</f>
        <v/>
      </c>
      <c r="P683" s="38" t="str">
        <f aca="false">IF($E683="","",IFERROR(N683/O683,""))</f>
        <v/>
      </c>
      <c r="Q683" s="39" t="str">
        <f aca="false">IF($E683="","",IF($I683&lt;&gt;"",$I683,N($H683)*IFERROR(INDEX('Гео-калькулятор'!$E$7:$E$13,MATCH($C683,'Гео-калькулятор'!$B$7:$B$13,0)),0)))</f>
        <v/>
      </c>
      <c r="R683" s="38" t="str">
        <f aca="false">IF($E683="","",IFERROR(Q683/H683,""))</f>
        <v/>
      </c>
      <c r="S683" s="30" t="str">
        <f aca="false">IF($E683="","",IFERROR(E683/Q683,"—"))</f>
        <v/>
      </c>
      <c r="T683" s="30" t="str">
        <f aca="false">IF($E683="","",Q683*IFERROR(INDEX('Гео-калькулятор'!$D$7:$D$13,MATCH($C683,'Гео-калькулятор'!$B$7:$B$13,0)),0))</f>
        <v/>
      </c>
      <c r="U683" s="40" t="str">
        <f aca="false">IF($E683="","",T683-E683)</f>
        <v/>
      </c>
      <c r="V683" s="41" t="str">
        <f aca="false">IF($E683="","",IFERROR(U683/E683,""))</f>
        <v/>
      </c>
      <c r="W683" s="10" t="str">
        <f aca="false">IF($E683="","",IF($I683&lt;&gt;"","факт","прогноз"))</f>
        <v/>
      </c>
      <c r="X683" s="1"/>
      <c r="Y683" s="1"/>
      <c r="Z683" s="1"/>
      <c r="AA683" s="1"/>
      <c r="AB683" s="1"/>
      <c r="AC683" s="1"/>
      <c r="AD683" s="1"/>
    </row>
    <row r="684" customFormat="false" ht="18" hidden="false" customHeight="true" outlineLevel="0" collapsed="false">
      <c r="A684" s="1"/>
      <c r="B684" s="35"/>
      <c r="C684" s="8"/>
      <c r="D684" s="26"/>
      <c r="E684" s="27"/>
      <c r="F684" s="36"/>
      <c r="G684" s="36"/>
      <c r="H684" s="36"/>
      <c r="I684" s="36"/>
      <c r="J684" s="37" t="str">
        <f aca="false">IF($E684="","",IFERROR(G684/F684,""))</f>
        <v/>
      </c>
      <c r="K684" s="30" t="str">
        <f aca="false">IF($E684="","",IFERROR(E684/G684,""))</f>
        <v/>
      </c>
      <c r="L684" s="30" t="str">
        <f aca="false">IF($E684="","",IFERROR(E684/F684*1000,""))</f>
        <v/>
      </c>
      <c r="M684" s="37" t="str">
        <f aca="false">IF($E684="","",IFERROR(H684/G684,""))</f>
        <v/>
      </c>
      <c r="N684" s="30" t="str">
        <f aca="false">IF($E684="","",IFERROR(E684/H684,"—"))</f>
        <v/>
      </c>
      <c r="O684" s="30" t="str">
        <f aca="false">IF($E684="","",IFERROR(INDEX('Гео-калькулятор'!$K$7:$K$13,MATCH($C684,'Гео-калькулятор'!$B$7:$B$13,0)),""))</f>
        <v/>
      </c>
      <c r="P684" s="38" t="str">
        <f aca="false">IF($E684="","",IFERROR(N684/O684,""))</f>
        <v/>
      </c>
      <c r="Q684" s="39" t="str">
        <f aca="false">IF($E684="","",IF($I684&lt;&gt;"",$I684,N($H684)*IFERROR(INDEX('Гео-калькулятор'!$E$7:$E$13,MATCH($C684,'Гео-калькулятор'!$B$7:$B$13,0)),0)))</f>
        <v/>
      </c>
      <c r="R684" s="38" t="str">
        <f aca="false">IF($E684="","",IFERROR(Q684/H684,""))</f>
        <v/>
      </c>
      <c r="S684" s="30" t="str">
        <f aca="false">IF($E684="","",IFERROR(E684/Q684,"—"))</f>
        <v/>
      </c>
      <c r="T684" s="30" t="str">
        <f aca="false">IF($E684="","",Q684*IFERROR(INDEX('Гео-калькулятор'!$D$7:$D$13,MATCH($C684,'Гео-калькулятор'!$B$7:$B$13,0)),0))</f>
        <v/>
      </c>
      <c r="U684" s="40" t="str">
        <f aca="false">IF($E684="","",T684-E684)</f>
        <v/>
      </c>
      <c r="V684" s="41" t="str">
        <f aca="false">IF($E684="","",IFERROR(U684/E684,""))</f>
        <v/>
      </c>
      <c r="W684" s="10" t="str">
        <f aca="false">IF($E684="","",IF($I684&lt;&gt;"","факт","прогноз"))</f>
        <v/>
      </c>
      <c r="X684" s="1"/>
      <c r="Y684" s="1"/>
      <c r="Z684" s="1"/>
      <c r="AA684" s="1"/>
      <c r="AB684" s="1"/>
      <c r="AC684" s="1"/>
      <c r="AD684" s="1"/>
    </row>
    <row r="685" customFormat="false" ht="18" hidden="false" customHeight="true" outlineLevel="0" collapsed="false">
      <c r="A685" s="1"/>
      <c r="B685" s="35"/>
      <c r="C685" s="8"/>
      <c r="D685" s="26"/>
      <c r="E685" s="27"/>
      <c r="F685" s="36"/>
      <c r="G685" s="36"/>
      <c r="H685" s="36"/>
      <c r="I685" s="36"/>
      <c r="J685" s="37" t="str">
        <f aca="false">IF($E685="","",IFERROR(G685/F685,""))</f>
        <v/>
      </c>
      <c r="K685" s="30" t="str">
        <f aca="false">IF($E685="","",IFERROR(E685/G685,""))</f>
        <v/>
      </c>
      <c r="L685" s="30" t="str">
        <f aca="false">IF($E685="","",IFERROR(E685/F685*1000,""))</f>
        <v/>
      </c>
      <c r="M685" s="37" t="str">
        <f aca="false">IF($E685="","",IFERROR(H685/G685,""))</f>
        <v/>
      </c>
      <c r="N685" s="30" t="str">
        <f aca="false">IF($E685="","",IFERROR(E685/H685,"—"))</f>
        <v/>
      </c>
      <c r="O685" s="30" t="str">
        <f aca="false">IF($E685="","",IFERROR(INDEX('Гео-калькулятор'!$K$7:$K$13,MATCH($C685,'Гео-калькулятор'!$B$7:$B$13,0)),""))</f>
        <v/>
      </c>
      <c r="P685" s="38" t="str">
        <f aca="false">IF($E685="","",IFERROR(N685/O685,""))</f>
        <v/>
      </c>
      <c r="Q685" s="39" t="str">
        <f aca="false">IF($E685="","",IF($I685&lt;&gt;"",$I685,N($H685)*IFERROR(INDEX('Гео-калькулятор'!$E$7:$E$13,MATCH($C685,'Гео-калькулятор'!$B$7:$B$13,0)),0)))</f>
        <v/>
      </c>
      <c r="R685" s="38" t="str">
        <f aca="false">IF($E685="","",IFERROR(Q685/H685,""))</f>
        <v/>
      </c>
      <c r="S685" s="30" t="str">
        <f aca="false">IF($E685="","",IFERROR(E685/Q685,"—"))</f>
        <v/>
      </c>
      <c r="T685" s="30" t="str">
        <f aca="false">IF($E685="","",Q685*IFERROR(INDEX('Гео-калькулятор'!$D$7:$D$13,MATCH($C685,'Гео-калькулятор'!$B$7:$B$13,0)),0))</f>
        <v/>
      </c>
      <c r="U685" s="40" t="str">
        <f aca="false">IF($E685="","",T685-E685)</f>
        <v/>
      </c>
      <c r="V685" s="41" t="str">
        <f aca="false">IF($E685="","",IFERROR(U685/E685,""))</f>
        <v/>
      </c>
      <c r="W685" s="10" t="str">
        <f aca="false">IF($E685="","",IF($I685&lt;&gt;"","факт","прогноз"))</f>
        <v/>
      </c>
      <c r="X685" s="1"/>
      <c r="Y685" s="1"/>
      <c r="Z685" s="1"/>
      <c r="AA685" s="1"/>
      <c r="AB685" s="1"/>
      <c r="AC685" s="1"/>
      <c r="AD685" s="1"/>
    </row>
    <row r="686" customFormat="false" ht="18" hidden="false" customHeight="true" outlineLevel="0" collapsed="false">
      <c r="A686" s="1"/>
      <c r="B686" s="35"/>
      <c r="C686" s="8"/>
      <c r="D686" s="26"/>
      <c r="E686" s="27"/>
      <c r="F686" s="36"/>
      <c r="G686" s="36"/>
      <c r="H686" s="36"/>
      <c r="I686" s="36"/>
      <c r="J686" s="37" t="str">
        <f aca="false">IF($E686="","",IFERROR(G686/F686,""))</f>
        <v/>
      </c>
      <c r="K686" s="30" t="str">
        <f aca="false">IF($E686="","",IFERROR(E686/G686,""))</f>
        <v/>
      </c>
      <c r="L686" s="30" t="str">
        <f aca="false">IF($E686="","",IFERROR(E686/F686*1000,""))</f>
        <v/>
      </c>
      <c r="M686" s="37" t="str">
        <f aca="false">IF($E686="","",IFERROR(H686/G686,""))</f>
        <v/>
      </c>
      <c r="N686" s="30" t="str">
        <f aca="false">IF($E686="","",IFERROR(E686/H686,"—"))</f>
        <v/>
      </c>
      <c r="O686" s="30" t="str">
        <f aca="false">IF($E686="","",IFERROR(INDEX('Гео-калькулятор'!$K$7:$K$13,MATCH($C686,'Гео-калькулятор'!$B$7:$B$13,0)),""))</f>
        <v/>
      </c>
      <c r="P686" s="38" t="str">
        <f aca="false">IF($E686="","",IFERROR(N686/O686,""))</f>
        <v/>
      </c>
      <c r="Q686" s="39" t="str">
        <f aca="false">IF($E686="","",IF($I686&lt;&gt;"",$I686,N($H686)*IFERROR(INDEX('Гео-калькулятор'!$E$7:$E$13,MATCH($C686,'Гео-калькулятор'!$B$7:$B$13,0)),0)))</f>
        <v/>
      </c>
      <c r="R686" s="38" t="str">
        <f aca="false">IF($E686="","",IFERROR(Q686/H686,""))</f>
        <v/>
      </c>
      <c r="S686" s="30" t="str">
        <f aca="false">IF($E686="","",IFERROR(E686/Q686,"—"))</f>
        <v/>
      </c>
      <c r="T686" s="30" t="str">
        <f aca="false">IF($E686="","",Q686*IFERROR(INDEX('Гео-калькулятор'!$D$7:$D$13,MATCH($C686,'Гео-калькулятор'!$B$7:$B$13,0)),0))</f>
        <v/>
      </c>
      <c r="U686" s="40" t="str">
        <f aca="false">IF($E686="","",T686-E686)</f>
        <v/>
      </c>
      <c r="V686" s="41" t="str">
        <f aca="false">IF($E686="","",IFERROR(U686/E686,""))</f>
        <v/>
      </c>
      <c r="W686" s="10" t="str">
        <f aca="false">IF($E686="","",IF($I686&lt;&gt;"","факт","прогноз"))</f>
        <v/>
      </c>
      <c r="X686" s="1"/>
      <c r="Y686" s="1"/>
      <c r="Z686" s="1"/>
      <c r="AA686" s="1"/>
      <c r="AB686" s="1"/>
      <c r="AC686" s="1"/>
      <c r="AD686" s="1"/>
    </row>
    <row r="687" customFormat="false" ht="18" hidden="false" customHeight="true" outlineLevel="0" collapsed="false">
      <c r="A687" s="1"/>
      <c r="B687" s="35"/>
      <c r="C687" s="8"/>
      <c r="D687" s="26"/>
      <c r="E687" s="27"/>
      <c r="F687" s="36"/>
      <c r="G687" s="36"/>
      <c r="H687" s="36"/>
      <c r="I687" s="36"/>
      <c r="J687" s="37" t="str">
        <f aca="false">IF($E687="","",IFERROR(G687/F687,""))</f>
        <v/>
      </c>
      <c r="K687" s="30" t="str">
        <f aca="false">IF($E687="","",IFERROR(E687/G687,""))</f>
        <v/>
      </c>
      <c r="L687" s="30" t="str">
        <f aca="false">IF($E687="","",IFERROR(E687/F687*1000,""))</f>
        <v/>
      </c>
      <c r="M687" s="37" t="str">
        <f aca="false">IF($E687="","",IFERROR(H687/G687,""))</f>
        <v/>
      </c>
      <c r="N687" s="30" t="str">
        <f aca="false">IF($E687="","",IFERROR(E687/H687,"—"))</f>
        <v/>
      </c>
      <c r="O687" s="30" t="str">
        <f aca="false">IF($E687="","",IFERROR(INDEX('Гео-калькулятор'!$K$7:$K$13,MATCH($C687,'Гео-калькулятор'!$B$7:$B$13,0)),""))</f>
        <v/>
      </c>
      <c r="P687" s="38" t="str">
        <f aca="false">IF($E687="","",IFERROR(N687/O687,""))</f>
        <v/>
      </c>
      <c r="Q687" s="39" t="str">
        <f aca="false">IF($E687="","",IF($I687&lt;&gt;"",$I687,N($H687)*IFERROR(INDEX('Гео-калькулятор'!$E$7:$E$13,MATCH($C687,'Гео-калькулятор'!$B$7:$B$13,0)),0)))</f>
        <v/>
      </c>
      <c r="R687" s="38" t="str">
        <f aca="false">IF($E687="","",IFERROR(Q687/H687,""))</f>
        <v/>
      </c>
      <c r="S687" s="30" t="str">
        <f aca="false">IF($E687="","",IFERROR(E687/Q687,"—"))</f>
        <v/>
      </c>
      <c r="T687" s="30" t="str">
        <f aca="false">IF($E687="","",Q687*IFERROR(INDEX('Гео-калькулятор'!$D$7:$D$13,MATCH($C687,'Гео-калькулятор'!$B$7:$B$13,0)),0))</f>
        <v/>
      </c>
      <c r="U687" s="40" t="str">
        <f aca="false">IF($E687="","",T687-E687)</f>
        <v/>
      </c>
      <c r="V687" s="41" t="str">
        <f aca="false">IF($E687="","",IFERROR(U687/E687,""))</f>
        <v/>
      </c>
      <c r="W687" s="10" t="str">
        <f aca="false">IF($E687="","",IF($I687&lt;&gt;"","факт","прогноз"))</f>
        <v/>
      </c>
      <c r="X687" s="1"/>
      <c r="Y687" s="1"/>
      <c r="Z687" s="1"/>
      <c r="AA687" s="1"/>
      <c r="AB687" s="1"/>
      <c r="AC687" s="1"/>
      <c r="AD687" s="1"/>
    </row>
    <row r="688" customFormat="false" ht="18" hidden="false" customHeight="true" outlineLevel="0" collapsed="false">
      <c r="A688" s="1"/>
      <c r="B688" s="35"/>
      <c r="C688" s="8"/>
      <c r="D688" s="26"/>
      <c r="E688" s="27"/>
      <c r="F688" s="36"/>
      <c r="G688" s="36"/>
      <c r="H688" s="36"/>
      <c r="I688" s="36"/>
      <c r="J688" s="37" t="str">
        <f aca="false">IF($E688="","",IFERROR(G688/F688,""))</f>
        <v/>
      </c>
      <c r="K688" s="30" t="str">
        <f aca="false">IF($E688="","",IFERROR(E688/G688,""))</f>
        <v/>
      </c>
      <c r="L688" s="30" t="str">
        <f aca="false">IF($E688="","",IFERROR(E688/F688*1000,""))</f>
        <v/>
      </c>
      <c r="M688" s="37" t="str">
        <f aca="false">IF($E688="","",IFERROR(H688/G688,""))</f>
        <v/>
      </c>
      <c r="N688" s="30" t="str">
        <f aca="false">IF($E688="","",IFERROR(E688/H688,"—"))</f>
        <v/>
      </c>
      <c r="O688" s="30" t="str">
        <f aca="false">IF($E688="","",IFERROR(INDEX('Гео-калькулятор'!$K$7:$K$13,MATCH($C688,'Гео-калькулятор'!$B$7:$B$13,0)),""))</f>
        <v/>
      </c>
      <c r="P688" s="38" t="str">
        <f aca="false">IF($E688="","",IFERROR(N688/O688,""))</f>
        <v/>
      </c>
      <c r="Q688" s="39" t="str">
        <f aca="false">IF($E688="","",IF($I688&lt;&gt;"",$I688,N($H688)*IFERROR(INDEX('Гео-калькулятор'!$E$7:$E$13,MATCH($C688,'Гео-калькулятор'!$B$7:$B$13,0)),0)))</f>
        <v/>
      </c>
      <c r="R688" s="38" t="str">
        <f aca="false">IF($E688="","",IFERROR(Q688/H688,""))</f>
        <v/>
      </c>
      <c r="S688" s="30" t="str">
        <f aca="false">IF($E688="","",IFERROR(E688/Q688,"—"))</f>
        <v/>
      </c>
      <c r="T688" s="30" t="str">
        <f aca="false">IF($E688="","",Q688*IFERROR(INDEX('Гео-калькулятор'!$D$7:$D$13,MATCH($C688,'Гео-калькулятор'!$B$7:$B$13,0)),0))</f>
        <v/>
      </c>
      <c r="U688" s="40" t="str">
        <f aca="false">IF($E688="","",T688-E688)</f>
        <v/>
      </c>
      <c r="V688" s="41" t="str">
        <f aca="false">IF($E688="","",IFERROR(U688/E688,""))</f>
        <v/>
      </c>
      <c r="W688" s="10" t="str">
        <f aca="false">IF($E688="","",IF($I688&lt;&gt;"","факт","прогноз"))</f>
        <v/>
      </c>
      <c r="X688" s="1"/>
      <c r="Y688" s="1"/>
      <c r="Z688" s="1"/>
      <c r="AA688" s="1"/>
      <c r="AB688" s="1"/>
      <c r="AC688" s="1"/>
      <c r="AD688" s="1"/>
    </row>
    <row r="689" customFormat="false" ht="18" hidden="false" customHeight="true" outlineLevel="0" collapsed="false">
      <c r="A689" s="1"/>
      <c r="B689" s="35"/>
      <c r="C689" s="8"/>
      <c r="D689" s="26"/>
      <c r="E689" s="27"/>
      <c r="F689" s="36"/>
      <c r="G689" s="36"/>
      <c r="H689" s="36"/>
      <c r="I689" s="36"/>
      <c r="J689" s="37" t="str">
        <f aca="false">IF($E689="","",IFERROR(G689/F689,""))</f>
        <v/>
      </c>
      <c r="K689" s="30" t="str">
        <f aca="false">IF($E689="","",IFERROR(E689/G689,""))</f>
        <v/>
      </c>
      <c r="L689" s="30" t="str">
        <f aca="false">IF($E689="","",IFERROR(E689/F689*1000,""))</f>
        <v/>
      </c>
      <c r="M689" s="37" t="str">
        <f aca="false">IF($E689="","",IFERROR(H689/G689,""))</f>
        <v/>
      </c>
      <c r="N689" s="30" t="str">
        <f aca="false">IF($E689="","",IFERROR(E689/H689,"—"))</f>
        <v/>
      </c>
      <c r="O689" s="30" t="str">
        <f aca="false">IF($E689="","",IFERROR(INDEX('Гео-калькулятор'!$K$7:$K$13,MATCH($C689,'Гео-калькулятор'!$B$7:$B$13,0)),""))</f>
        <v/>
      </c>
      <c r="P689" s="38" t="str">
        <f aca="false">IF($E689="","",IFERROR(N689/O689,""))</f>
        <v/>
      </c>
      <c r="Q689" s="39" t="str">
        <f aca="false">IF($E689="","",IF($I689&lt;&gt;"",$I689,N($H689)*IFERROR(INDEX('Гео-калькулятор'!$E$7:$E$13,MATCH($C689,'Гео-калькулятор'!$B$7:$B$13,0)),0)))</f>
        <v/>
      </c>
      <c r="R689" s="38" t="str">
        <f aca="false">IF($E689="","",IFERROR(Q689/H689,""))</f>
        <v/>
      </c>
      <c r="S689" s="30" t="str">
        <f aca="false">IF($E689="","",IFERROR(E689/Q689,"—"))</f>
        <v/>
      </c>
      <c r="T689" s="30" t="str">
        <f aca="false">IF($E689="","",Q689*IFERROR(INDEX('Гео-калькулятор'!$D$7:$D$13,MATCH($C689,'Гео-калькулятор'!$B$7:$B$13,0)),0))</f>
        <v/>
      </c>
      <c r="U689" s="40" t="str">
        <f aca="false">IF($E689="","",T689-E689)</f>
        <v/>
      </c>
      <c r="V689" s="41" t="str">
        <f aca="false">IF($E689="","",IFERROR(U689/E689,""))</f>
        <v/>
      </c>
      <c r="W689" s="10" t="str">
        <f aca="false">IF($E689="","",IF($I689&lt;&gt;"","факт","прогноз"))</f>
        <v/>
      </c>
      <c r="X689" s="1"/>
      <c r="Y689" s="1"/>
      <c r="Z689" s="1"/>
      <c r="AA689" s="1"/>
      <c r="AB689" s="1"/>
      <c r="AC689" s="1"/>
      <c r="AD689" s="1"/>
    </row>
    <row r="690" customFormat="false" ht="18" hidden="false" customHeight="true" outlineLevel="0" collapsed="false">
      <c r="A690" s="1"/>
      <c r="B690" s="35"/>
      <c r="C690" s="8"/>
      <c r="D690" s="26"/>
      <c r="E690" s="27"/>
      <c r="F690" s="36"/>
      <c r="G690" s="36"/>
      <c r="H690" s="36"/>
      <c r="I690" s="36"/>
      <c r="J690" s="37" t="str">
        <f aca="false">IF($E690="","",IFERROR(G690/F690,""))</f>
        <v/>
      </c>
      <c r="K690" s="30" t="str">
        <f aca="false">IF($E690="","",IFERROR(E690/G690,""))</f>
        <v/>
      </c>
      <c r="L690" s="30" t="str">
        <f aca="false">IF($E690="","",IFERROR(E690/F690*1000,""))</f>
        <v/>
      </c>
      <c r="M690" s="37" t="str">
        <f aca="false">IF($E690="","",IFERROR(H690/G690,""))</f>
        <v/>
      </c>
      <c r="N690" s="30" t="str">
        <f aca="false">IF($E690="","",IFERROR(E690/H690,"—"))</f>
        <v/>
      </c>
      <c r="O690" s="30" t="str">
        <f aca="false">IF($E690="","",IFERROR(INDEX('Гео-калькулятор'!$K$7:$K$13,MATCH($C690,'Гео-калькулятор'!$B$7:$B$13,0)),""))</f>
        <v/>
      </c>
      <c r="P690" s="38" t="str">
        <f aca="false">IF($E690="","",IFERROR(N690/O690,""))</f>
        <v/>
      </c>
      <c r="Q690" s="39" t="str">
        <f aca="false">IF($E690="","",IF($I690&lt;&gt;"",$I690,N($H690)*IFERROR(INDEX('Гео-калькулятор'!$E$7:$E$13,MATCH($C690,'Гео-калькулятор'!$B$7:$B$13,0)),0)))</f>
        <v/>
      </c>
      <c r="R690" s="38" t="str">
        <f aca="false">IF($E690="","",IFERROR(Q690/H690,""))</f>
        <v/>
      </c>
      <c r="S690" s="30" t="str">
        <f aca="false">IF($E690="","",IFERROR(E690/Q690,"—"))</f>
        <v/>
      </c>
      <c r="T690" s="30" t="str">
        <f aca="false">IF($E690="","",Q690*IFERROR(INDEX('Гео-калькулятор'!$D$7:$D$13,MATCH($C690,'Гео-калькулятор'!$B$7:$B$13,0)),0))</f>
        <v/>
      </c>
      <c r="U690" s="40" t="str">
        <f aca="false">IF($E690="","",T690-E690)</f>
        <v/>
      </c>
      <c r="V690" s="41" t="str">
        <f aca="false">IF($E690="","",IFERROR(U690/E690,""))</f>
        <v/>
      </c>
      <c r="W690" s="10" t="str">
        <f aca="false">IF($E690="","",IF($I690&lt;&gt;"","факт","прогноз"))</f>
        <v/>
      </c>
      <c r="X690" s="1"/>
      <c r="Y690" s="1"/>
      <c r="Z690" s="1"/>
      <c r="AA690" s="1"/>
      <c r="AB690" s="1"/>
      <c r="AC690" s="1"/>
      <c r="AD690" s="1"/>
    </row>
    <row r="691" customFormat="false" ht="18" hidden="false" customHeight="true" outlineLevel="0" collapsed="false">
      <c r="A691" s="1"/>
      <c r="B691" s="35"/>
      <c r="C691" s="8"/>
      <c r="D691" s="26"/>
      <c r="E691" s="27"/>
      <c r="F691" s="36"/>
      <c r="G691" s="36"/>
      <c r="H691" s="36"/>
      <c r="I691" s="36"/>
      <c r="J691" s="37" t="str">
        <f aca="false">IF($E691="","",IFERROR(G691/F691,""))</f>
        <v/>
      </c>
      <c r="K691" s="30" t="str">
        <f aca="false">IF($E691="","",IFERROR(E691/G691,""))</f>
        <v/>
      </c>
      <c r="L691" s="30" t="str">
        <f aca="false">IF($E691="","",IFERROR(E691/F691*1000,""))</f>
        <v/>
      </c>
      <c r="M691" s="37" t="str">
        <f aca="false">IF($E691="","",IFERROR(H691/G691,""))</f>
        <v/>
      </c>
      <c r="N691" s="30" t="str">
        <f aca="false">IF($E691="","",IFERROR(E691/H691,"—"))</f>
        <v/>
      </c>
      <c r="O691" s="30" t="str">
        <f aca="false">IF($E691="","",IFERROR(INDEX('Гео-калькулятор'!$K$7:$K$13,MATCH($C691,'Гео-калькулятор'!$B$7:$B$13,0)),""))</f>
        <v/>
      </c>
      <c r="P691" s="38" t="str">
        <f aca="false">IF($E691="","",IFERROR(N691/O691,""))</f>
        <v/>
      </c>
      <c r="Q691" s="39" t="str">
        <f aca="false">IF($E691="","",IF($I691&lt;&gt;"",$I691,N($H691)*IFERROR(INDEX('Гео-калькулятор'!$E$7:$E$13,MATCH($C691,'Гео-калькулятор'!$B$7:$B$13,0)),0)))</f>
        <v/>
      </c>
      <c r="R691" s="38" t="str">
        <f aca="false">IF($E691="","",IFERROR(Q691/H691,""))</f>
        <v/>
      </c>
      <c r="S691" s="30" t="str">
        <f aca="false">IF($E691="","",IFERROR(E691/Q691,"—"))</f>
        <v/>
      </c>
      <c r="T691" s="30" t="str">
        <f aca="false">IF($E691="","",Q691*IFERROR(INDEX('Гео-калькулятор'!$D$7:$D$13,MATCH($C691,'Гео-калькулятор'!$B$7:$B$13,0)),0))</f>
        <v/>
      </c>
      <c r="U691" s="40" t="str">
        <f aca="false">IF($E691="","",T691-E691)</f>
        <v/>
      </c>
      <c r="V691" s="41" t="str">
        <f aca="false">IF($E691="","",IFERROR(U691/E691,""))</f>
        <v/>
      </c>
      <c r="W691" s="10" t="str">
        <f aca="false">IF($E691="","",IF($I691&lt;&gt;"","факт","прогноз"))</f>
        <v/>
      </c>
      <c r="X691" s="1"/>
      <c r="Y691" s="1"/>
      <c r="Z691" s="1"/>
      <c r="AA691" s="1"/>
      <c r="AB691" s="1"/>
      <c r="AC691" s="1"/>
      <c r="AD691" s="1"/>
    </row>
    <row r="692" customFormat="false" ht="18" hidden="false" customHeight="true" outlineLevel="0" collapsed="false">
      <c r="A692" s="1"/>
      <c r="B692" s="35"/>
      <c r="C692" s="8"/>
      <c r="D692" s="26"/>
      <c r="E692" s="27"/>
      <c r="F692" s="36"/>
      <c r="G692" s="36"/>
      <c r="H692" s="36"/>
      <c r="I692" s="36"/>
      <c r="J692" s="37" t="str">
        <f aca="false">IF($E692="","",IFERROR(G692/F692,""))</f>
        <v/>
      </c>
      <c r="K692" s="30" t="str">
        <f aca="false">IF($E692="","",IFERROR(E692/G692,""))</f>
        <v/>
      </c>
      <c r="L692" s="30" t="str">
        <f aca="false">IF($E692="","",IFERROR(E692/F692*1000,""))</f>
        <v/>
      </c>
      <c r="M692" s="37" t="str">
        <f aca="false">IF($E692="","",IFERROR(H692/G692,""))</f>
        <v/>
      </c>
      <c r="N692" s="30" t="str">
        <f aca="false">IF($E692="","",IFERROR(E692/H692,"—"))</f>
        <v/>
      </c>
      <c r="O692" s="30" t="str">
        <f aca="false">IF($E692="","",IFERROR(INDEX('Гео-калькулятор'!$K$7:$K$13,MATCH($C692,'Гео-калькулятор'!$B$7:$B$13,0)),""))</f>
        <v/>
      </c>
      <c r="P692" s="38" t="str">
        <f aca="false">IF($E692="","",IFERROR(N692/O692,""))</f>
        <v/>
      </c>
      <c r="Q692" s="39" t="str">
        <f aca="false">IF($E692="","",IF($I692&lt;&gt;"",$I692,N($H692)*IFERROR(INDEX('Гео-калькулятор'!$E$7:$E$13,MATCH($C692,'Гео-калькулятор'!$B$7:$B$13,0)),0)))</f>
        <v/>
      </c>
      <c r="R692" s="38" t="str">
        <f aca="false">IF($E692="","",IFERROR(Q692/H692,""))</f>
        <v/>
      </c>
      <c r="S692" s="30" t="str">
        <f aca="false">IF($E692="","",IFERROR(E692/Q692,"—"))</f>
        <v/>
      </c>
      <c r="T692" s="30" t="str">
        <f aca="false">IF($E692="","",Q692*IFERROR(INDEX('Гео-калькулятор'!$D$7:$D$13,MATCH($C692,'Гео-калькулятор'!$B$7:$B$13,0)),0))</f>
        <v/>
      </c>
      <c r="U692" s="40" t="str">
        <f aca="false">IF($E692="","",T692-E692)</f>
        <v/>
      </c>
      <c r="V692" s="41" t="str">
        <f aca="false">IF($E692="","",IFERROR(U692/E692,""))</f>
        <v/>
      </c>
      <c r="W692" s="10" t="str">
        <f aca="false">IF($E692="","",IF($I692&lt;&gt;"","факт","прогноз"))</f>
        <v/>
      </c>
      <c r="X692" s="1"/>
      <c r="Y692" s="1"/>
      <c r="Z692" s="1"/>
      <c r="AA692" s="1"/>
      <c r="AB692" s="1"/>
      <c r="AC692" s="1"/>
      <c r="AD692" s="1"/>
    </row>
    <row r="693" customFormat="false" ht="18" hidden="false" customHeight="true" outlineLevel="0" collapsed="false">
      <c r="A693" s="1"/>
      <c r="B693" s="35"/>
      <c r="C693" s="8"/>
      <c r="D693" s="26"/>
      <c r="E693" s="27"/>
      <c r="F693" s="36"/>
      <c r="G693" s="36"/>
      <c r="H693" s="36"/>
      <c r="I693" s="36"/>
      <c r="J693" s="37" t="str">
        <f aca="false">IF($E693="","",IFERROR(G693/F693,""))</f>
        <v/>
      </c>
      <c r="K693" s="30" t="str">
        <f aca="false">IF($E693="","",IFERROR(E693/G693,""))</f>
        <v/>
      </c>
      <c r="L693" s="30" t="str">
        <f aca="false">IF($E693="","",IFERROR(E693/F693*1000,""))</f>
        <v/>
      </c>
      <c r="M693" s="37" t="str">
        <f aca="false">IF($E693="","",IFERROR(H693/G693,""))</f>
        <v/>
      </c>
      <c r="N693" s="30" t="str">
        <f aca="false">IF($E693="","",IFERROR(E693/H693,"—"))</f>
        <v/>
      </c>
      <c r="O693" s="30" t="str">
        <f aca="false">IF($E693="","",IFERROR(INDEX('Гео-калькулятор'!$K$7:$K$13,MATCH($C693,'Гео-калькулятор'!$B$7:$B$13,0)),""))</f>
        <v/>
      </c>
      <c r="P693" s="38" t="str">
        <f aca="false">IF($E693="","",IFERROR(N693/O693,""))</f>
        <v/>
      </c>
      <c r="Q693" s="39" t="str">
        <f aca="false">IF($E693="","",IF($I693&lt;&gt;"",$I693,N($H693)*IFERROR(INDEX('Гео-калькулятор'!$E$7:$E$13,MATCH($C693,'Гео-калькулятор'!$B$7:$B$13,0)),0)))</f>
        <v/>
      </c>
      <c r="R693" s="38" t="str">
        <f aca="false">IF($E693="","",IFERROR(Q693/H693,""))</f>
        <v/>
      </c>
      <c r="S693" s="30" t="str">
        <f aca="false">IF($E693="","",IFERROR(E693/Q693,"—"))</f>
        <v/>
      </c>
      <c r="T693" s="30" t="str">
        <f aca="false">IF($E693="","",Q693*IFERROR(INDEX('Гео-калькулятор'!$D$7:$D$13,MATCH($C693,'Гео-калькулятор'!$B$7:$B$13,0)),0))</f>
        <v/>
      </c>
      <c r="U693" s="40" t="str">
        <f aca="false">IF($E693="","",T693-E693)</f>
        <v/>
      </c>
      <c r="V693" s="41" t="str">
        <f aca="false">IF($E693="","",IFERROR(U693/E693,""))</f>
        <v/>
      </c>
      <c r="W693" s="10" t="str">
        <f aca="false">IF($E693="","",IF($I693&lt;&gt;"","факт","прогноз"))</f>
        <v/>
      </c>
      <c r="X693" s="1"/>
      <c r="Y693" s="1"/>
      <c r="Z693" s="1"/>
      <c r="AA693" s="1"/>
      <c r="AB693" s="1"/>
      <c r="AC693" s="1"/>
      <c r="AD693" s="1"/>
    </row>
    <row r="694" customFormat="false" ht="18" hidden="false" customHeight="true" outlineLevel="0" collapsed="false">
      <c r="A694" s="1"/>
      <c r="B694" s="35"/>
      <c r="C694" s="8"/>
      <c r="D694" s="26"/>
      <c r="E694" s="27"/>
      <c r="F694" s="36"/>
      <c r="G694" s="36"/>
      <c r="H694" s="36"/>
      <c r="I694" s="36"/>
      <c r="J694" s="37" t="str">
        <f aca="false">IF($E694="","",IFERROR(G694/F694,""))</f>
        <v/>
      </c>
      <c r="K694" s="30" t="str">
        <f aca="false">IF($E694="","",IFERROR(E694/G694,""))</f>
        <v/>
      </c>
      <c r="L694" s="30" t="str">
        <f aca="false">IF($E694="","",IFERROR(E694/F694*1000,""))</f>
        <v/>
      </c>
      <c r="M694" s="37" t="str">
        <f aca="false">IF($E694="","",IFERROR(H694/G694,""))</f>
        <v/>
      </c>
      <c r="N694" s="30" t="str">
        <f aca="false">IF($E694="","",IFERROR(E694/H694,"—"))</f>
        <v/>
      </c>
      <c r="O694" s="30" t="str">
        <f aca="false">IF($E694="","",IFERROR(INDEX('Гео-калькулятор'!$K$7:$K$13,MATCH($C694,'Гео-калькулятор'!$B$7:$B$13,0)),""))</f>
        <v/>
      </c>
      <c r="P694" s="38" t="str">
        <f aca="false">IF($E694="","",IFERROR(N694/O694,""))</f>
        <v/>
      </c>
      <c r="Q694" s="39" t="str">
        <f aca="false">IF($E694="","",IF($I694&lt;&gt;"",$I694,N($H694)*IFERROR(INDEX('Гео-калькулятор'!$E$7:$E$13,MATCH($C694,'Гео-калькулятор'!$B$7:$B$13,0)),0)))</f>
        <v/>
      </c>
      <c r="R694" s="38" t="str">
        <f aca="false">IF($E694="","",IFERROR(Q694/H694,""))</f>
        <v/>
      </c>
      <c r="S694" s="30" t="str">
        <f aca="false">IF($E694="","",IFERROR(E694/Q694,"—"))</f>
        <v/>
      </c>
      <c r="T694" s="30" t="str">
        <f aca="false">IF($E694="","",Q694*IFERROR(INDEX('Гео-калькулятор'!$D$7:$D$13,MATCH($C694,'Гео-калькулятор'!$B$7:$B$13,0)),0))</f>
        <v/>
      </c>
      <c r="U694" s="40" t="str">
        <f aca="false">IF($E694="","",T694-E694)</f>
        <v/>
      </c>
      <c r="V694" s="41" t="str">
        <f aca="false">IF($E694="","",IFERROR(U694/E694,""))</f>
        <v/>
      </c>
      <c r="W694" s="10" t="str">
        <f aca="false">IF($E694="","",IF($I694&lt;&gt;"","факт","прогноз"))</f>
        <v/>
      </c>
      <c r="X694" s="1"/>
      <c r="Y694" s="1"/>
      <c r="Z694" s="1"/>
      <c r="AA694" s="1"/>
      <c r="AB694" s="1"/>
      <c r="AC694" s="1"/>
      <c r="AD694" s="1"/>
    </row>
    <row r="695" customFormat="false" ht="18" hidden="false" customHeight="true" outlineLevel="0" collapsed="false">
      <c r="A695" s="1"/>
      <c r="B695" s="35"/>
      <c r="C695" s="8"/>
      <c r="D695" s="26"/>
      <c r="E695" s="27"/>
      <c r="F695" s="36"/>
      <c r="G695" s="36"/>
      <c r="H695" s="36"/>
      <c r="I695" s="36"/>
      <c r="J695" s="37" t="str">
        <f aca="false">IF($E695="","",IFERROR(G695/F695,""))</f>
        <v/>
      </c>
      <c r="K695" s="30" t="str">
        <f aca="false">IF($E695="","",IFERROR(E695/G695,""))</f>
        <v/>
      </c>
      <c r="L695" s="30" t="str">
        <f aca="false">IF($E695="","",IFERROR(E695/F695*1000,""))</f>
        <v/>
      </c>
      <c r="M695" s="37" t="str">
        <f aca="false">IF($E695="","",IFERROR(H695/G695,""))</f>
        <v/>
      </c>
      <c r="N695" s="30" t="str">
        <f aca="false">IF($E695="","",IFERROR(E695/H695,"—"))</f>
        <v/>
      </c>
      <c r="O695" s="30" t="str">
        <f aca="false">IF($E695="","",IFERROR(INDEX('Гео-калькулятор'!$K$7:$K$13,MATCH($C695,'Гео-калькулятор'!$B$7:$B$13,0)),""))</f>
        <v/>
      </c>
      <c r="P695" s="38" t="str">
        <f aca="false">IF($E695="","",IFERROR(N695/O695,""))</f>
        <v/>
      </c>
      <c r="Q695" s="39" t="str">
        <f aca="false">IF($E695="","",IF($I695&lt;&gt;"",$I695,N($H695)*IFERROR(INDEX('Гео-калькулятор'!$E$7:$E$13,MATCH($C695,'Гео-калькулятор'!$B$7:$B$13,0)),0)))</f>
        <v/>
      </c>
      <c r="R695" s="38" t="str">
        <f aca="false">IF($E695="","",IFERROR(Q695/H695,""))</f>
        <v/>
      </c>
      <c r="S695" s="30" t="str">
        <f aca="false">IF($E695="","",IFERROR(E695/Q695,"—"))</f>
        <v/>
      </c>
      <c r="T695" s="30" t="str">
        <f aca="false">IF($E695="","",Q695*IFERROR(INDEX('Гео-калькулятор'!$D$7:$D$13,MATCH($C695,'Гео-калькулятор'!$B$7:$B$13,0)),0))</f>
        <v/>
      </c>
      <c r="U695" s="40" t="str">
        <f aca="false">IF($E695="","",T695-E695)</f>
        <v/>
      </c>
      <c r="V695" s="41" t="str">
        <f aca="false">IF($E695="","",IFERROR(U695/E695,""))</f>
        <v/>
      </c>
      <c r="W695" s="10" t="str">
        <f aca="false">IF($E695="","",IF($I695&lt;&gt;"","факт","прогноз"))</f>
        <v/>
      </c>
      <c r="X695" s="1"/>
      <c r="Y695" s="1"/>
      <c r="Z695" s="1"/>
      <c r="AA695" s="1"/>
      <c r="AB695" s="1"/>
      <c r="AC695" s="1"/>
      <c r="AD695" s="1"/>
    </row>
    <row r="696" customFormat="false" ht="18" hidden="false" customHeight="true" outlineLevel="0" collapsed="false">
      <c r="A696" s="1"/>
      <c r="B696" s="35"/>
      <c r="C696" s="8"/>
      <c r="D696" s="26"/>
      <c r="E696" s="27"/>
      <c r="F696" s="36"/>
      <c r="G696" s="36"/>
      <c r="H696" s="36"/>
      <c r="I696" s="36"/>
      <c r="J696" s="37" t="str">
        <f aca="false">IF($E696="","",IFERROR(G696/F696,""))</f>
        <v/>
      </c>
      <c r="K696" s="30" t="str">
        <f aca="false">IF($E696="","",IFERROR(E696/G696,""))</f>
        <v/>
      </c>
      <c r="L696" s="30" t="str">
        <f aca="false">IF($E696="","",IFERROR(E696/F696*1000,""))</f>
        <v/>
      </c>
      <c r="M696" s="37" t="str">
        <f aca="false">IF($E696="","",IFERROR(H696/G696,""))</f>
        <v/>
      </c>
      <c r="N696" s="30" t="str">
        <f aca="false">IF($E696="","",IFERROR(E696/H696,"—"))</f>
        <v/>
      </c>
      <c r="O696" s="30" t="str">
        <f aca="false">IF($E696="","",IFERROR(INDEX('Гео-калькулятор'!$K$7:$K$13,MATCH($C696,'Гео-калькулятор'!$B$7:$B$13,0)),""))</f>
        <v/>
      </c>
      <c r="P696" s="38" t="str">
        <f aca="false">IF($E696="","",IFERROR(N696/O696,""))</f>
        <v/>
      </c>
      <c r="Q696" s="39" t="str">
        <f aca="false">IF($E696="","",IF($I696&lt;&gt;"",$I696,N($H696)*IFERROR(INDEX('Гео-калькулятор'!$E$7:$E$13,MATCH($C696,'Гео-калькулятор'!$B$7:$B$13,0)),0)))</f>
        <v/>
      </c>
      <c r="R696" s="38" t="str">
        <f aca="false">IF($E696="","",IFERROR(Q696/H696,""))</f>
        <v/>
      </c>
      <c r="S696" s="30" t="str">
        <f aca="false">IF($E696="","",IFERROR(E696/Q696,"—"))</f>
        <v/>
      </c>
      <c r="T696" s="30" t="str">
        <f aca="false">IF($E696="","",Q696*IFERROR(INDEX('Гео-калькулятор'!$D$7:$D$13,MATCH($C696,'Гео-калькулятор'!$B$7:$B$13,0)),0))</f>
        <v/>
      </c>
      <c r="U696" s="40" t="str">
        <f aca="false">IF($E696="","",T696-E696)</f>
        <v/>
      </c>
      <c r="V696" s="41" t="str">
        <f aca="false">IF($E696="","",IFERROR(U696/E696,""))</f>
        <v/>
      </c>
      <c r="W696" s="10" t="str">
        <f aca="false">IF($E696="","",IF($I696&lt;&gt;"","факт","прогноз"))</f>
        <v/>
      </c>
      <c r="X696" s="1"/>
      <c r="Y696" s="1"/>
      <c r="Z696" s="1"/>
      <c r="AA696" s="1"/>
      <c r="AB696" s="1"/>
      <c r="AC696" s="1"/>
      <c r="AD696" s="1"/>
    </row>
    <row r="697" customFormat="false" ht="18" hidden="false" customHeight="true" outlineLevel="0" collapsed="false">
      <c r="A697" s="1"/>
      <c r="B697" s="35"/>
      <c r="C697" s="8"/>
      <c r="D697" s="26"/>
      <c r="E697" s="27"/>
      <c r="F697" s="36"/>
      <c r="G697" s="36"/>
      <c r="H697" s="36"/>
      <c r="I697" s="36"/>
      <c r="J697" s="37" t="str">
        <f aca="false">IF($E697="","",IFERROR(G697/F697,""))</f>
        <v/>
      </c>
      <c r="K697" s="30" t="str">
        <f aca="false">IF($E697="","",IFERROR(E697/G697,""))</f>
        <v/>
      </c>
      <c r="L697" s="30" t="str">
        <f aca="false">IF($E697="","",IFERROR(E697/F697*1000,""))</f>
        <v/>
      </c>
      <c r="M697" s="37" t="str">
        <f aca="false">IF($E697="","",IFERROR(H697/G697,""))</f>
        <v/>
      </c>
      <c r="N697" s="30" t="str">
        <f aca="false">IF($E697="","",IFERROR(E697/H697,"—"))</f>
        <v/>
      </c>
      <c r="O697" s="30" t="str">
        <f aca="false">IF($E697="","",IFERROR(INDEX('Гео-калькулятор'!$K$7:$K$13,MATCH($C697,'Гео-калькулятор'!$B$7:$B$13,0)),""))</f>
        <v/>
      </c>
      <c r="P697" s="38" t="str">
        <f aca="false">IF($E697="","",IFERROR(N697/O697,""))</f>
        <v/>
      </c>
      <c r="Q697" s="39" t="str">
        <f aca="false">IF($E697="","",IF($I697&lt;&gt;"",$I697,N($H697)*IFERROR(INDEX('Гео-калькулятор'!$E$7:$E$13,MATCH($C697,'Гео-калькулятор'!$B$7:$B$13,0)),0)))</f>
        <v/>
      </c>
      <c r="R697" s="38" t="str">
        <f aca="false">IF($E697="","",IFERROR(Q697/H697,""))</f>
        <v/>
      </c>
      <c r="S697" s="30" t="str">
        <f aca="false">IF($E697="","",IFERROR(E697/Q697,"—"))</f>
        <v/>
      </c>
      <c r="T697" s="30" t="str">
        <f aca="false">IF($E697="","",Q697*IFERROR(INDEX('Гео-калькулятор'!$D$7:$D$13,MATCH($C697,'Гео-калькулятор'!$B$7:$B$13,0)),0))</f>
        <v/>
      </c>
      <c r="U697" s="40" t="str">
        <f aca="false">IF($E697="","",T697-E697)</f>
        <v/>
      </c>
      <c r="V697" s="41" t="str">
        <f aca="false">IF($E697="","",IFERROR(U697/E697,""))</f>
        <v/>
      </c>
      <c r="W697" s="10" t="str">
        <f aca="false">IF($E697="","",IF($I697&lt;&gt;"","факт","прогноз"))</f>
        <v/>
      </c>
      <c r="X697" s="1"/>
      <c r="Y697" s="1"/>
      <c r="Z697" s="1"/>
      <c r="AA697" s="1"/>
      <c r="AB697" s="1"/>
      <c r="AC697" s="1"/>
      <c r="AD697" s="1"/>
    </row>
    <row r="698" customFormat="false" ht="18" hidden="false" customHeight="true" outlineLevel="0" collapsed="false">
      <c r="A698" s="1"/>
      <c r="B698" s="35"/>
      <c r="C698" s="8"/>
      <c r="D698" s="26"/>
      <c r="E698" s="27"/>
      <c r="F698" s="36"/>
      <c r="G698" s="36"/>
      <c r="H698" s="36"/>
      <c r="I698" s="36"/>
      <c r="J698" s="37" t="str">
        <f aca="false">IF($E698="","",IFERROR(G698/F698,""))</f>
        <v/>
      </c>
      <c r="K698" s="30" t="str">
        <f aca="false">IF($E698="","",IFERROR(E698/G698,""))</f>
        <v/>
      </c>
      <c r="L698" s="30" t="str">
        <f aca="false">IF($E698="","",IFERROR(E698/F698*1000,""))</f>
        <v/>
      </c>
      <c r="M698" s="37" t="str">
        <f aca="false">IF($E698="","",IFERROR(H698/G698,""))</f>
        <v/>
      </c>
      <c r="N698" s="30" t="str">
        <f aca="false">IF($E698="","",IFERROR(E698/H698,"—"))</f>
        <v/>
      </c>
      <c r="O698" s="30" t="str">
        <f aca="false">IF($E698="","",IFERROR(INDEX('Гео-калькулятор'!$K$7:$K$13,MATCH($C698,'Гео-калькулятор'!$B$7:$B$13,0)),""))</f>
        <v/>
      </c>
      <c r="P698" s="38" t="str">
        <f aca="false">IF($E698="","",IFERROR(N698/O698,""))</f>
        <v/>
      </c>
      <c r="Q698" s="39" t="str">
        <f aca="false">IF($E698="","",IF($I698&lt;&gt;"",$I698,N($H698)*IFERROR(INDEX('Гео-калькулятор'!$E$7:$E$13,MATCH($C698,'Гео-калькулятор'!$B$7:$B$13,0)),0)))</f>
        <v/>
      </c>
      <c r="R698" s="38" t="str">
        <f aca="false">IF($E698="","",IFERROR(Q698/H698,""))</f>
        <v/>
      </c>
      <c r="S698" s="30" t="str">
        <f aca="false">IF($E698="","",IFERROR(E698/Q698,"—"))</f>
        <v/>
      </c>
      <c r="T698" s="30" t="str">
        <f aca="false">IF($E698="","",Q698*IFERROR(INDEX('Гео-калькулятор'!$D$7:$D$13,MATCH($C698,'Гео-калькулятор'!$B$7:$B$13,0)),0))</f>
        <v/>
      </c>
      <c r="U698" s="40" t="str">
        <f aca="false">IF($E698="","",T698-E698)</f>
        <v/>
      </c>
      <c r="V698" s="41" t="str">
        <f aca="false">IF($E698="","",IFERROR(U698/E698,""))</f>
        <v/>
      </c>
      <c r="W698" s="10" t="str">
        <f aca="false">IF($E698="","",IF($I698&lt;&gt;"","факт","прогноз"))</f>
        <v/>
      </c>
      <c r="X698" s="1"/>
      <c r="Y698" s="1"/>
      <c r="Z698" s="1"/>
      <c r="AA698" s="1"/>
      <c r="AB698" s="1"/>
      <c r="AC698" s="1"/>
      <c r="AD698" s="1"/>
    </row>
    <row r="699" customFormat="false" ht="18" hidden="false" customHeight="true" outlineLevel="0" collapsed="false">
      <c r="A699" s="1"/>
      <c r="B699" s="35"/>
      <c r="C699" s="8"/>
      <c r="D699" s="26"/>
      <c r="E699" s="27"/>
      <c r="F699" s="36"/>
      <c r="G699" s="36"/>
      <c r="H699" s="36"/>
      <c r="I699" s="36"/>
      <c r="J699" s="37" t="str">
        <f aca="false">IF($E699="","",IFERROR(G699/F699,""))</f>
        <v/>
      </c>
      <c r="K699" s="30" t="str">
        <f aca="false">IF($E699="","",IFERROR(E699/G699,""))</f>
        <v/>
      </c>
      <c r="L699" s="30" t="str">
        <f aca="false">IF($E699="","",IFERROR(E699/F699*1000,""))</f>
        <v/>
      </c>
      <c r="M699" s="37" t="str">
        <f aca="false">IF($E699="","",IFERROR(H699/G699,""))</f>
        <v/>
      </c>
      <c r="N699" s="30" t="str">
        <f aca="false">IF($E699="","",IFERROR(E699/H699,"—"))</f>
        <v/>
      </c>
      <c r="O699" s="30" t="str">
        <f aca="false">IF($E699="","",IFERROR(INDEX('Гео-калькулятор'!$K$7:$K$13,MATCH($C699,'Гео-калькулятор'!$B$7:$B$13,0)),""))</f>
        <v/>
      </c>
      <c r="P699" s="38" t="str">
        <f aca="false">IF($E699="","",IFERROR(N699/O699,""))</f>
        <v/>
      </c>
      <c r="Q699" s="39" t="str">
        <f aca="false">IF($E699="","",IF($I699&lt;&gt;"",$I699,N($H699)*IFERROR(INDEX('Гео-калькулятор'!$E$7:$E$13,MATCH($C699,'Гео-калькулятор'!$B$7:$B$13,0)),0)))</f>
        <v/>
      </c>
      <c r="R699" s="38" t="str">
        <f aca="false">IF($E699="","",IFERROR(Q699/H699,""))</f>
        <v/>
      </c>
      <c r="S699" s="30" t="str">
        <f aca="false">IF($E699="","",IFERROR(E699/Q699,"—"))</f>
        <v/>
      </c>
      <c r="T699" s="30" t="str">
        <f aca="false">IF($E699="","",Q699*IFERROR(INDEX('Гео-калькулятор'!$D$7:$D$13,MATCH($C699,'Гео-калькулятор'!$B$7:$B$13,0)),0))</f>
        <v/>
      </c>
      <c r="U699" s="40" t="str">
        <f aca="false">IF($E699="","",T699-E699)</f>
        <v/>
      </c>
      <c r="V699" s="41" t="str">
        <f aca="false">IF($E699="","",IFERROR(U699/E699,""))</f>
        <v/>
      </c>
      <c r="W699" s="10" t="str">
        <f aca="false">IF($E699="","",IF($I699&lt;&gt;"","факт","прогноз"))</f>
        <v/>
      </c>
      <c r="X699" s="1"/>
      <c r="Y699" s="1"/>
      <c r="Z699" s="1"/>
      <c r="AA699" s="1"/>
      <c r="AB699" s="1"/>
      <c r="AC699" s="1"/>
      <c r="AD699" s="1"/>
    </row>
    <row r="700" customFormat="false" ht="18" hidden="false" customHeight="true" outlineLevel="0" collapsed="false">
      <c r="A700" s="1"/>
      <c r="B700" s="35"/>
      <c r="C700" s="8"/>
      <c r="D700" s="26"/>
      <c r="E700" s="27"/>
      <c r="F700" s="36"/>
      <c r="G700" s="36"/>
      <c r="H700" s="36"/>
      <c r="I700" s="36"/>
      <c r="J700" s="37" t="str">
        <f aca="false">IF($E700="","",IFERROR(G700/F700,""))</f>
        <v/>
      </c>
      <c r="K700" s="30" t="str">
        <f aca="false">IF($E700="","",IFERROR(E700/G700,""))</f>
        <v/>
      </c>
      <c r="L700" s="30" t="str">
        <f aca="false">IF($E700="","",IFERROR(E700/F700*1000,""))</f>
        <v/>
      </c>
      <c r="M700" s="37" t="str">
        <f aca="false">IF($E700="","",IFERROR(H700/G700,""))</f>
        <v/>
      </c>
      <c r="N700" s="30" t="str">
        <f aca="false">IF($E700="","",IFERROR(E700/H700,"—"))</f>
        <v/>
      </c>
      <c r="O700" s="30" t="str">
        <f aca="false">IF($E700="","",IFERROR(INDEX('Гео-калькулятор'!$K$7:$K$13,MATCH($C700,'Гео-калькулятор'!$B$7:$B$13,0)),""))</f>
        <v/>
      </c>
      <c r="P700" s="38" t="str">
        <f aca="false">IF($E700="","",IFERROR(N700/O700,""))</f>
        <v/>
      </c>
      <c r="Q700" s="39" t="str">
        <f aca="false">IF($E700="","",IF($I700&lt;&gt;"",$I700,N($H700)*IFERROR(INDEX('Гео-калькулятор'!$E$7:$E$13,MATCH($C700,'Гео-калькулятор'!$B$7:$B$13,0)),0)))</f>
        <v/>
      </c>
      <c r="R700" s="38" t="str">
        <f aca="false">IF($E700="","",IFERROR(Q700/H700,""))</f>
        <v/>
      </c>
      <c r="S700" s="30" t="str">
        <f aca="false">IF($E700="","",IFERROR(E700/Q700,"—"))</f>
        <v/>
      </c>
      <c r="T700" s="30" t="str">
        <f aca="false">IF($E700="","",Q700*IFERROR(INDEX('Гео-калькулятор'!$D$7:$D$13,MATCH($C700,'Гео-калькулятор'!$B$7:$B$13,0)),0))</f>
        <v/>
      </c>
      <c r="U700" s="40" t="str">
        <f aca="false">IF($E700="","",T700-E700)</f>
        <v/>
      </c>
      <c r="V700" s="41" t="str">
        <f aca="false">IF($E700="","",IFERROR(U700/E700,""))</f>
        <v/>
      </c>
      <c r="W700" s="10" t="str">
        <f aca="false">IF($E700="","",IF($I700&lt;&gt;"","факт","прогноз"))</f>
        <v/>
      </c>
      <c r="X700" s="1"/>
      <c r="Y700" s="1"/>
      <c r="Z700" s="1"/>
      <c r="AA700" s="1"/>
      <c r="AB700" s="1"/>
      <c r="AC700" s="1"/>
      <c r="AD700" s="1"/>
    </row>
    <row r="701" customFormat="false" ht="18" hidden="false" customHeight="true" outlineLevel="0" collapsed="false">
      <c r="A701" s="1"/>
      <c r="B701" s="35"/>
      <c r="C701" s="8"/>
      <c r="D701" s="26"/>
      <c r="E701" s="27"/>
      <c r="F701" s="36"/>
      <c r="G701" s="36"/>
      <c r="H701" s="36"/>
      <c r="I701" s="36"/>
      <c r="J701" s="37" t="str">
        <f aca="false">IF($E701="","",IFERROR(G701/F701,""))</f>
        <v/>
      </c>
      <c r="K701" s="30" t="str">
        <f aca="false">IF($E701="","",IFERROR(E701/G701,""))</f>
        <v/>
      </c>
      <c r="L701" s="30" t="str">
        <f aca="false">IF($E701="","",IFERROR(E701/F701*1000,""))</f>
        <v/>
      </c>
      <c r="M701" s="37" t="str">
        <f aca="false">IF($E701="","",IFERROR(H701/G701,""))</f>
        <v/>
      </c>
      <c r="N701" s="30" t="str">
        <f aca="false">IF($E701="","",IFERROR(E701/H701,"—"))</f>
        <v/>
      </c>
      <c r="O701" s="30" t="str">
        <f aca="false">IF($E701="","",IFERROR(INDEX('Гео-калькулятор'!$K$7:$K$13,MATCH($C701,'Гео-калькулятор'!$B$7:$B$13,0)),""))</f>
        <v/>
      </c>
      <c r="P701" s="38" t="str">
        <f aca="false">IF($E701="","",IFERROR(N701/O701,""))</f>
        <v/>
      </c>
      <c r="Q701" s="39" t="str">
        <f aca="false">IF($E701="","",IF($I701&lt;&gt;"",$I701,N($H701)*IFERROR(INDEX('Гео-калькулятор'!$E$7:$E$13,MATCH($C701,'Гео-калькулятор'!$B$7:$B$13,0)),0)))</f>
        <v/>
      </c>
      <c r="R701" s="38" t="str">
        <f aca="false">IF($E701="","",IFERROR(Q701/H701,""))</f>
        <v/>
      </c>
      <c r="S701" s="30" t="str">
        <f aca="false">IF($E701="","",IFERROR(E701/Q701,"—"))</f>
        <v/>
      </c>
      <c r="T701" s="30" t="str">
        <f aca="false">IF($E701="","",Q701*IFERROR(INDEX('Гео-калькулятор'!$D$7:$D$13,MATCH($C701,'Гео-калькулятор'!$B$7:$B$13,0)),0))</f>
        <v/>
      </c>
      <c r="U701" s="40" t="str">
        <f aca="false">IF($E701="","",T701-E701)</f>
        <v/>
      </c>
      <c r="V701" s="41" t="str">
        <f aca="false">IF($E701="","",IFERROR(U701/E701,""))</f>
        <v/>
      </c>
      <c r="W701" s="10" t="str">
        <f aca="false">IF($E701="","",IF($I701&lt;&gt;"","факт","прогноз"))</f>
        <v/>
      </c>
      <c r="X701" s="1"/>
      <c r="Y701" s="1"/>
      <c r="Z701" s="1"/>
      <c r="AA701" s="1"/>
      <c r="AB701" s="1"/>
      <c r="AC701" s="1"/>
      <c r="AD701" s="1"/>
    </row>
    <row r="702" customFormat="false" ht="18" hidden="false" customHeight="true" outlineLevel="0" collapsed="false">
      <c r="A702" s="1"/>
      <c r="B702" s="35"/>
      <c r="C702" s="8"/>
      <c r="D702" s="26"/>
      <c r="E702" s="27"/>
      <c r="F702" s="36"/>
      <c r="G702" s="36"/>
      <c r="H702" s="36"/>
      <c r="I702" s="36"/>
      <c r="J702" s="37" t="str">
        <f aca="false">IF($E702="","",IFERROR(G702/F702,""))</f>
        <v/>
      </c>
      <c r="K702" s="30" t="str">
        <f aca="false">IF($E702="","",IFERROR(E702/G702,""))</f>
        <v/>
      </c>
      <c r="L702" s="30" t="str">
        <f aca="false">IF($E702="","",IFERROR(E702/F702*1000,""))</f>
        <v/>
      </c>
      <c r="M702" s="37" t="str">
        <f aca="false">IF($E702="","",IFERROR(H702/G702,""))</f>
        <v/>
      </c>
      <c r="N702" s="30" t="str">
        <f aca="false">IF($E702="","",IFERROR(E702/H702,"—"))</f>
        <v/>
      </c>
      <c r="O702" s="30" t="str">
        <f aca="false">IF($E702="","",IFERROR(INDEX('Гео-калькулятор'!$K$7:$K$13,MATCH($C702,'Гео-калькулятор'!$B$7:$B$13,0)),""))</f>
        <v/>
      </c>
      <c r="P702" s="38" t="str">
        <f aca="false">IF($E702="","",IFERROR(N702/O702,""))</f>
        <v/>
      </c>
      <c r="Q702" s="39" t="str">
        <f aca="false">IF($E702="","",IF($I702&lt;&gt;"",$I702,N($H702)*IFERROR(INDEX('Гео-калькулятор'!$E$7:$E$13,MATCH($C702,'Гео-калькулятор'!$B$7:$B$13,0)),0)))</f>
        <v/>
      </c>
      <c r="R702" s="38" t="str">
        <f aca="false">IF($E702="","",IFERROR(Q702/H702,""))</f>
        <v/>
      </c>
      <c r="S702" s="30" t="str">
        <f aca="false">IF($E702="","",IFERROR(E702/Q702,"—"))</f>
        <v/>
      </c>
      <c r="T702" s="30" t="str">
        <f aca="false">IF($E702="","",Q702*IFERROR(INDEX('Гео-калькулятор'!$D$7:$D$13,MATCH($C702,'Гео-калькулятор'!$B$7:$B$13,0)),0))</f>
        <v/>
      </c>
      <c r="U702" s="40" t="str">
        <f aca="false">IF($E702="","",T702-E702)</f>
        <v/>
      </c>
      <c r="V702" s="41" t="str">
        <f aca="false">IF($E702="","",IFERROR(U702/E702,""))</f>
        <v/>
      </c>
      <c r="W702" s="10" t="str">
        <f aca="false">IF($E702="","",IF($I702&lt;&gt;"","факт","прогноз"))</f>
        <v/>
      </c>
      <c r="X702" s="1"/>
      <c r="Y702" s="1"/>
      <c r="Z702" s="1"/>
      <c r="AA702" s="1"/>
      <c r="AB702" s="1"/>
      <c r="AC702" s="1"/>
      <c r="AD702" s="1"/>
    </row>
    <row r="703" customFormat="false" ht="18" hidden="false" customHeight="true" outlineLevel="0" collapsed="false">
      <c r="A703" s="1"/>
      <c r="B703" s="35"/>
      <c r="C703" s="8"/>
      <c r="D703" s="26"/>
      <c r="E703" s="27"/>
      <c r="F703" s="36"/>
      <c r="G703" s="36"/>
      <c r="H703" s="36"/>
      <c r="I703" s="36"/>
      <c r="J703" s="37" t="str">
        <f aca="false">IF($E703="","",IFERROR(G703/F703,""))</f>
        <v/>
      </c>
      <c r="K703" s="30" t="str">
        <f aca="false">IF($E703="","",IFERROR(E703/G703,""))</f>
        <v/>
      </c>
      <c r="L703" s="30" t="str">
        <f aca="false">IF($E703="","",IFERROR(E703/F703*1000,""))</f>
        <v/>
      </c>
      <c r="M703" s="37" t="str">
        <f aca="false">IF($E703="","",IFERROR(H703/G703,""))</f>
        <v/>
      </c>
      <c r="N703" s="30" t="str">
        <f aca="false">IF($E703="","",IFERROR(E703/H703,"—"))</f>
        <v/>
      </c>
      <c r="O703" s="30" t="str">
        <f aca="false">IF($E703="","",IFERROR(INDEX('Гео-калькулятор'!$K$7:$K$13,MATCH($C703,'Гео-калькулятор'!$B$7:$B$13,0)),""))</f>
        <v/>
      </c>
      <c r="P703" s="38" t="str">
        <f aca="false">IF($E703="","",IFERROR(N703/O703,""))</f>
        <v/>
      </c>
      <c r="Q703" s="39" t="str">
        <f aca="false">IF($E703="","",IF($I703&lt;&gt;"",$I703,N($H703)*IFERROR(INDEX('Гео-калькулятор'!$E$7:$E$13,MATCH($C703,'Гео-калькулятор'!$B$7:$B$13,0)),0)))</f>
        <v/>
      </c>
      <c r="R703" s="38" t="str">
        <f aca="false">IF($E703="","",IFERROR(Q703/H703,""))</f>
        <v/>
      </c>
      <c r="S703" s="30" t="str">
        <f aca="false">IF($E703="","",IFERROR(E703/Q703,"—"))</f>
        <v/>
      </c>
      <c r="T703" s="30" t="str">
        <f aca="false">IF($E703="","",Q703*IFERROR(INDEX('Гео-калькулятор'!$D$7:$D$13,MATCH($C703,'Гео-калькулятор'!$B$7:$B$13,0)),0))</f>
        <v/>
      </c>
      <c r="U703" s="40" t="str">
        <f aca="false">IF($E703="","",T703-E703)</f>
        <v/>
      </c>
      <c r="V703" s="41" t="str">
        <f aca="false">IF($E703="","",IFERROR(U703/E703,""))</f>
        <v/>
      </c>
      <c r="W703" s="10" t="str">
        <f aca="false">IF($E703="","",IF($I703&lt;&gt;"","факт","прогноз"))</f>
        <v/>
      </c>
      <c r="X703" s="1"/>
      <c r="Y703" s="1"/>
      <c r="Z703" s="1"/>
      <c r="AA703" s="1"/>
      <c r="AB703" s="1"/>
      <c r="AC703" s="1"/>
      <c r="AD703" s="1"/>
    </row>
    <row r="704" customFormat="false" ht="18" hidden="false" customHeight="true" outlineLevel="0" collapsed="false">
      <c r="A704" s="1"/>
      <c r="B704" s="35"/>
      <c r="C704" s="8"/>
      <c r="D704" s="26"/>
      <c r="E704" s="27"/>
      <c r="F704" s="36"/>
      <c r="G704" s="36"/>
      <c r="H704" s="36"/>
      <c r="I704" s="36"/>
      <c r="J704" s="37" t="str">
        <f aca="false">IF($E704="","",IFERROR(G704/F704,""))</f>
        <v/>
      </c>
      <c r="K704" s="30" t="str">
        <f aca="false">IF($E704="","",IFERROR(E704/G704,""))</f>
        <v/>
      </c>
      <c r="L704" s="30" t="str">
        <f aca="false">IF($E704="","",IFERROR(E704/F704*1000,""))</f>
        <v/>
      </c>
      <c r="M704" s="37" t="str">
        <f aca="false">IF($E704="","",IFERROR(H704/G704,""))</f>
        <v/>
      </c>
      <c r="N704" s="30" t="str">
        <f aca="false">IF($E704="","",IFERROR(E704/H704,"—"))</f>
        <v/>
      </c>
      <c r="O704" s="30" t="str">
        <f aca="false">IF($E704="","",IFERROR(INDEX('Гео-калькулятор'!$K$7:$K$13,MATCH($C704,'Гео-калькулятор'!$B$7:$B$13,0)),""))</f>
        <v/>
      </c>
      <c r="P704" s="38" t="str">
        <f aca="false">IF($E704="","",IFERROR(N704/O704,""))</f>
        <v/>
      </c>
      <c r="Q704" s="39" t="str">
        <f aca="false">IF($E704="","",IF($I704&lt;&gt;"",$I704,N($H704)*IFERROR(INDEX('Гео-калькулятор'!$E$7:$E$13,MATCH($C704,'Гео-калькулятор'!$B$7:$B$13,0)),0)))</f>
        <v/>
      </c>
      <c r="R704" s="38" t="str">
        <f aca="false">IF($E704="","",IFERROR(Q704/H704,""))</f>
        <v/>
      </c>
      <c r="S704" s="30" t="str">
        <f aca="false">IF($E704="","",IFERROR(E704/Q704,"—"))</f>
        <v/>
      </c>
      <c r="T704" s="30" t="str">
        <f aca="false">IF($E704="","",Q704*IFERROR(INDEX('Гео-калькулятор'!$D$7:$D$13,MATCH($C704,'Гео-калькулятор'!$B$7:$B$13,0)),0))</f>
        <v/>
      </c>
      <c r="U704" s="40" t="str">
        <f aca="false">IF($E704="","",T704-E704)</f>
        <v/>
      </c>
      <c r="V704" s="41" t="str">
        <f aca="false">IF($E704="","",IFERROR(U704/E704,""))</f>
        <v/>
      </c>
      <c r="W704" s="10" t="str">
        <f aca="false">IF($E704="","",IF($I704&lt;&gt;"","факт","прогноз"))</f>
        <v/>
      </c>
      <c r="X704" s="1"/>
      <c r="Y704" s="1"/>
      <c r="Z704" s="1"/>
      <c r="AA704" s="1"/>
      <c r="AB704" s="1"/>
      <c r="AC704" s="1"/>
      <c r="AD704" s="1"/>
    </row>
    <row r="705" customFormat="false" ht="18" hidden="false" customHeight="true" outlineLevel="0" collapsed="false">
      <c r="A705" s="1"/>
      <c r="B705" s="35"/>
      <c r="C705" s="8"/>
      <c r="D705" s="26"/>
      <c r="E705" s="27"/>
      <c r="F705" s="36"/>
      <c r="G705" s="36"/>
      <c r="H705" s="36"/>
      <c r="I705" s="36"/>
      <c r="J705" s="37" t="str">
        <f aca="false">IF($E705="","",IFERROR(G705/F705,""))</f>
        <v/>
      </c>
      <c r="K705" s="30" t="str">
        <f aca="false">IF($E705="","",IFERROR(E705/G705,""))</f>
        <v/>
      </c>
      <c r="L705" s="30" t="str">
        <f aca="false">IF($E705="","",IFERROR(E705/F705*1000,""))</f>
        <v/>
      </c>
      <c r="M705" s="37" t="str">
        <f aca="false">IF($E705="","",IFERROR(H705/G705,""))</f>
        <v/>
      </c>
      <c r="N705" s="30" t="str">
        <f aca="false">IF($E705="","",IFERROR(E705/H705,"—"))</f>
        <v/>
      </c>
      <c r="O705" s="30" t="str">
        <f aca="false">IF($E705="","",IFERROR(INDEX('Гео-калькулятор'!$K$7:$K$13,MATCH($C705,'Гео-калькулятор'!$B$7:$B$13,0)),""))</f>
        <v/>
      </c>
      <c r="P705" s="38" t="str">
        <f aca="false">IF($E705="","",IFERROR(N705/O705,""))</f>
        <v/>
      </c>
      <c r="Q705" s="39" t="str">
        <f aca="false">IF($E705="","",IF($I705&lt;&gt;"",$I705,N($H705)*IFERROR(INDEX('Гео-калькулятор'!$E$7:$E$13,MATCH($C705,'Гео-калькулятор'!$B$7:$B$13,0)),0)))</f>
        <v/>
      </c>
      <c r="R705" s="38" t="str">
        <f aca="false">IF($E705="","",IFERROR(Q705/H705,""))</f>
        <v/>
      </c>
      <c r="S705" s="30" t="str">
        <f aca="false">IF($E705="","",IFERROR(E705/Q705,"—"))</f>
        <v/>
      </c>
      <c r="T705" s="30" t="str">
        <f aca="false">IF($E705="","",Q705*IFERROR(INDEX('Гео-калькулятор'!$D$7:$D$13,MATCH($C705,'Гео-калькулятор'!$B$7:$B$13,0)),0))</f>
        <v/>
      </c>
      <c r="U705" s="40" t="str">
        <f aca="false">IF($E705="","",T705-E705)</f>
        <v/>
      </c>
      <c r="V705" s="41" t="str">
        <f aca="false">IF($E705="","",IFERROR(U705/E705,""))</f>
        <v/>
      </c>
      <c r="W705" s="10" t="str">
        <f aca="false">IF($E705="","",IF($I705&lt;&gt;"","факт","прогноз"))</f>
        <v/>
      </c>
      <c r="X705" s="1"/>
      <c r="Y705" s="1"/>
      <c r="Z705" s="1"/>
      <c r="AA705" s="1"/>
      <c r="AB705" s="1"/>
      <c r="AC705" s="1"/>
      <c r="AD705" s="1"/>
    </row>
    <row r="706" customFormat="false" ht="18" hidden="false" customHeight="true" outlineLevel="0" collapsed="false">
      <c r="A706" s="1"/>
      <c r="B706" s="35"/>
      <c r="C706" s="8"/>
      <c r="D706" s="26"/>
      <c r="E706" s="27"/>
      <c r="F706" s="36"/>
      <c r="G706" s="36"/>
      <c r="H706" s="36"/>
      <c r="I706" s="36"/>
      <c r="J706" s="37" t="str">
        <f aca="false">IF($E706="","",IFERROR(G706/F706,""))</f>
        <v/>
      </c>
      <c r="K706" s="30" t="str">
        <f aca="false">IF($E706="","",IFERROR(E706/G706,""))</f>
        <v/>
      </c>
      <c r="L706" s="30" t="str">
        <f aca="false">IF($E706="","",IFERROR(E706/F706*1000,""))</f>
        <v/>
      </c>
      <c r="M706" s="37" t="str">
        <f aca="false">IF($E706="","",IFERROR(H706/G706,""))</f>
        <v/>
      </c>
      <c r="N706" s="30" t="str">
        <f aca="false">IF($E706="","",IFERROR(E706/H706,"—"))</f>
        <v/>
      </c>
      <c r="O706" s="30" t="str">
        <f aca="false">IF($E706="","",IFERROR(INDEX('Гео-калькулятор'!$K$7:$K$13,MATCH($C706,'Гео-калькулятор'!$B$7:$B$13,0)),""))</f>
        <v/>
      </c>
      <c r="P706" s="38" t="str">
        <f aca="false">IF($E706="","",IFERROR(N706/O706,""))</f>
        <v/>
      </c>
      <c r="Q706" s="39" t="str">
        <f aca="false">IF($E706="","",IF($I706&lt;&gt;"",$I706,N($H706)*IFERROR(INDEX('Гео-калькулятор'!$E$7:$E$13,MATCH($C706,'Гео-калькулятор'!$B$7:$B$13,0)),0)))</f>
        <v/>
      </c>
      <c r="R706" s="38" t="str">
        <f aca="false">IF($E706="","",IFERROR(Q706/H706,""))</f>
        <v/>
      </c>
      <c r="S706" s="30" t="str">
        <f aca="false">IF($E706="","",IFERROR(E706/Q706,"—"))</f>
        <v/>
      </c>
      <c r="T706" s="30" t="str">
        <f aca="false">IF($E706="","",Q706*IFERROR(INDEX('Гео-калькулятор'!$D$7:$D$13,MATCH($C706,'Гео-калькулятор'!$B$7:$B$13,0)),0))</f>
        <v/>
      </c>
      <c r="U706" s="40" t="str">
        <f aca="false">IF($E706="","",T706-E706)</f>
        <v/>
      </c>
      <c r="V706" s="41" t="str">
        <f aca="false">IF($E706="","",IFERROR(U706/E706,""))</f>
        <v/>
      </c>
      <c r="W706" s="10" t="str">
        <f aca="false">IF($E706="","",IF($I706&lt;&gt;"","факт","прогноз"))</f>
        <v/>
      </c>
      <c r="X706" s="1"/>
      <c r="Y706" s="1"/>
      <c r="Z706" s="1"/>
      <c r="AA706" s="1"/>
      <c r="AB706" s="1"/>
      <c r="AC706" s="1"/>
      <c r="AD706" s="1"/>
    </row>
    <row r="707" customFormat="false" ht="18" hidden="false" customHeight="true" outlineLevel="0" collapsed="false">
      <c r="A707" s="1"/>
      <c r="B707" s="35"/>
      <c r="C707" s="8"/>
      <c r="D707" s="26"/>
      <c r="E707" s="27"/>
      <c r="F707" s="36"/>
      <c r="G707" s="36"/>
      <c r="H707" s="36"/>
      <c r="I707" s="36"/>
      <c r="J707" s="37" t="str">
        <f aca="false">IF($E707="","",IFERROR(G707/F707,""))</f>
        <v/>
      </c>
      <c r="K707" s="30" t="str">
        <f aca="false">IF($E707="","",IFERROR(E707/G707,""))</f>
        <v/>
      </c>
      <c r="L707" s="30" t="str">
        <f aca="false">IF($E707="","",IFERROR(E707/F707*1000,""))</f>
        <v/>
      </c>
      <c r="M707" s="37" t="str">
        <f aca="false">IF($E707="","",IFERROR(H707/G707,""))</f>
        <v/>
      </c>
      <c r="N707" s="30" t="str">
        <f aca="false">IF($E707="","",IFERROR(E707/H707,"—"))</f>
        <v/>
      </c>
      <c r="O707" s="30" t="str">
        <f aca="false">IF($E707="","",IFERROR(INDEX('Гео-калькулятор'!$K$7:$K$13,MATCH($C707,'Гео-калькулятор'!$B$7:$B$13,0)),""))</f>
        <v/>
      </c>
      <c r="P707" s="38" t="str">
        <f aca="false">IF($E707="","",IFERROR(N707/O707,""))</f>
        <v/>
      </c>
      <c r="Q707" s="39" t="str">
        <f aca="false">IF($E707="","",IF($I707&lt;&gt;"",$I707,N($H707)*IFERROR(INDEX('Гео-калькулятор'!$E$7:$E$13,MATCH($C707,'Гео-калькулятор'!$B$7:$B$13,0)),0)))</f>
        <v/>
      </c>
      <c r="R707" s="38" t="str">
        <f aca="false">IF($E707="","",IFERROR(Q707/H707,""))</f>
        <v/>
      </c>
      <c r="S707" s="30" t="str">
        <f aca="false">IF($E707="","",IFERROR(E707/Q707,"—"))</f>
        <v/>
      </c>
      <c r="T707" s="30" t="str">
        <f aca="false">IF($E707="","",Q707*IFERROR(INDEX('Гео-калькулятор'!$D$7:$D$13,MATCH($C707,'Гео-калькулятор'!$B$7:$B$13,0)),0))</f>
        <v/>
      </c>
      <c r="U707" s="40" t="str">
        <f aca="false">IF($E707="","",T707-E707)</f>
        <v/>
      </c>
      <c r="V707" s="41" t="str">
        <f aca="false">IF($E707="","",IFERROR(U707/E707,""))</f>
        <v/>
      </c>
      <c r="W707" s="10" t="str">
        <f aca="false">IF($E707="","",IF($I707&lt;&gt;"","факт","прогноз"))</f>
        <v/>
      </c>
      <c r="X707" s="1"/>
      <c r="Y707" s="1"/>
      <c r="Z707" s="1"/>
      <c r="AA707" s="1"/>
      <c r="AB707" s="1"/>
      <c r="AC707" s="1"/>
      <c r="AD707" s="1"/>
    </row>
    <row r="708" customFormat="false" ht="18" hidden="false" customHeight="true" outlineLevel="0" collapsed="false">
      <c r="A708" s="1"/>
      <c r="B708" s="35"/>
      <c r="C708" s="8"/>
      <c r="D708" s="26"/>
      <c r="E708" s="27"/>
      <c r="F708" s="36"/>
      <c r="G708" s="36"/>
      <c r="H708" s="36"/>
      <c r="I708" s="36"/>
      <c r="J708" s="37" t="str">
        <f aca="false">IF($E708="","",IFERROR(G708/F708,""))</f>
        <v/>
      </c>
      <c r="K708" s="30" t="str">
        <f aca="false">IF($E708="","",IFERROR(E708/G708,""))</f>
        <v/>
      </c>
      <c r="L708" s="30" t="str">
        <f aca="false">IF($E708="","",IFERROR(E708/F708*1000,""))</f>
        <v/>
      </c>
      <c r="M708" s="37" t="str">
        <f aca="false">IF($E708="","",IFERROR(H708/G708,""))</f>
        <v/>
      </c>
      <c r="N708" s="30" t="str">
        <f aca="false">IF($E708="","",IFERROR(E708/H708,"—"))</f>
        <v/>
      </c>
      <c r="O708" s="30" t="str">
        <f aca="false">IF($E708="","",IFERROR(INDEX('Гео-калькулятор'!$K$7:$K$13,MATCH($C708,'Гео-калькулятор'!$B$7:$B$13,0)),""))</f>
        <v/>
      </c>
      <c r="P708" s="38" t="str">
        <f aca="false">IF($E708="","",IFERROR(N708/O708,""))</f>
        <v/>
      </c>
      <c r="Q708" s="39" t="str">
        <f aca="false">IF($E708="","",IF($I708&lt;&gt;"",$I708,N($H708)*IFERROR(INDEX('Гео-калькулятор'!$E$7:$E$13,MATCH($C708,'Гео-калькулятор'!$B$7:$B$13,0)),0)))</f>
        <v/>
      </c>
      <c r="R708" s="38" t="str">
        <f aca="false">IF($E708="","",IFERROR(Q708/H708,""))</f>
        <v/>
      </c>
      <c r="S708" s="30" t="str">
        <f aca="false">IF($E708="","",IFERROR(E708/Q708,"—"))</f>
        <v/>
      </c>
      <c r="T708" s="30" t="str">
        <f aca="false">IF($E708="","",Q708*IFERROR(INDEX('Гео-калькулятор'!$D$7:$D$13,MATCH($C708,'Гео-калькулятор'!$B$7:$B$13,0)),0))</f>
        <v/>
      </c>
      <c r="U708" s="40" t="str">
        <f aca="false">IF($E708="","",T708-E708)</f>
        <v/>
      </c>
      <c r="V708" s="41" t="str">
        <f aca="false">IF($E708="","",IFERROR(U708/E708,""))</f>
        <v/>
      </c>
      <c r="W708" s="10" t="str">
        <f aca="false">IF($E708="","",IF($I708&lt;&gt;"","факт","прогноз"))</f>
        <v/>
      </c>
      <c r="X708" s="1"/>
      <c r="Y708" s="1"/>
      <c r="Z708" s="1"/>
      <c r="AA708" s="1"/>
      <c r="AB708" s="1"/>
      <c r="AC708" s="1"/>
      <c r="AD708" s="1"/>
    </row>
    <row r="709" customFormat="false" ht="18" hidden="false" customHeight="true" outlineLevel="0" collapsed="false">
      <c r="A709" s="1"/>
      <c r="B709" s="35"/>
      <c r="C709" s="8"/>
      <c r="D709" s="26"/>
      <c r="E709" s="27"/>
      <c r="F709" s="36"/>
      <c r="G709" s="36"/>
      <c r="H709" s="36"/>
      <c r="I709" s="36"/>
      <c r="J709" s="37" t="str">
        <f aca="false">IF($E709="","",IFERROR(G709/F709,""))</f>
        <v/>
      </c>
      <c r="K709" s="30" t="str">
        <f aca="false">IF($E709="","",IFERROR(E709/G709,""))</f>
        <v/>
      </c>
      <c r="L709" s="30" t="str">
        <f aca="false">IF($E709="","",IFERROR(E709/F709*1000,""))</f>
        <v/>
      </c>
      <c r="M709" s="37" t="str">
        <f aca="false">IF($E709="","",IFERROR(H709/G709,""))</f>
        <v/>
      </c>
      <c r="N709" s="30" t="str">
        <f aca="false">IF($E709="","",IFERROR(E709/H709,"—"))</f>
        <v/>
      </c>
      <c r="O709" s="30" t="str">
        <f aca="false">IF($E709="","",IFERROR(INDEX('Гео-калькулятор'!$K$7:$K$13,MATCH($C709,'Гео-калькулятор'!$B$7:$B$13,0)),""))</f>
        <v/>
      </c>
      <c r="P709" s="38" t="str">
        <f aca="false">IF($E709="","",IFERROR(N709/O709,""))</f>
        <v/>
      </c>
      <c r="Q709" s="39" t="str">
        <f aca="false">IF($E709="","",IF($I709&lt;&gt;"",$I709,N($H709)*IFERROR(INDEX('Гео-калькулятор'!$E$7:$E$13,MATCH($C709,'Гео-калькулятор'!$B$7:$B$13,0)),0)))</f>
        <v/>
      </c>
      <c r="R709" s="38" t="str">
        <f aca="false">IF($E709="","",IFERROR(Q709/H709,""))</f>
        <v/>
      </c>
      <c r="S709" s="30" t="str">
        <f aca="false">IF($E709="","",IFERROR(E709/Q709,"—"))</f>
        <v/>
      </c>
      <c r="T709" s="30" t="str">
        <f aca="false">IF($E709="","",Q709*IFERROR(INDEX('Гео-калькулятор'!$D$7:$D$13,MATCH($C709,'Гео-калькулятор'!$B$7:$B$13,0)),0))</f>
        <v/>
      </c>
      <c r="U709" s="40" t="str">
        <f aca="false">IF($E709="","",T709-E709)</f>
        <v/>
      </c>
      <c r="V709" s="41" t="str">
        <f aca="false">IF($E709="","",IFERROR(U709/E709,""))</f>
        <v/>
      </c>
      <c r="W709" s="10" t="str">
        <f aca="false">IF($E709="","",IF($I709&lt;&gt;"","факт","прогноз"))</f>
        <v/>
      </c>
      <c r="X709" s="1"/>
      <c r="Y709" s="1"/>
      <c r="Z709" s="1"/>
      <c r="AA709" s="1"/>
      <c r="AB709" s="1"/>
      <c r="AC709" s="1"/>
      <c r="AD709" s="1"/>
    </row>
    <row r="710" customFormat="false" ht="18" hidden="false" customHeight="true" outlineLevel="0" collapsed="false">
      <c r="A710" s="1"/>
      <c r="B710" s="35"/>
      <c r="C710" s="8"/>
      <c r="D710" s="26"/>
      <c r="E710" s="27"/>
      <c r="F710" s="36"/>
      <c r="G710" s="36"/>
      <c r="H710" s="36"/>
      <c r="I710" s="36"/>
      <c r="J710" s="37" t="str">
        <f aca="false">IF($E710="","",IFERROR(G710/F710,""))</f>
        <v/>
      </c>
      <c r="K710" s="30" t="str">
        <f aca="false">IF($E710="","",IFERROR(E710/G710,""))</f>
        <v/>
      </c>
      <c r="L710" s="30" t="str">
        <f aca="false">IF($E710="","",IFERROR(E710/F710*1000,""))</f>
        <v/>
      </c>
      <c r="M710" s="37" t="str">
        <f aca="false">IF($E710="","",IFERROR(H710/G710,""))</f>
        <v/>
      </c>
      <c r="N710" s="30" t="str">
        <f aca="false">IF($E710="","",IFERROR(E710/H710,"—"))</f>
        <v/>
      </c>
      <c r="O710" s="30" t="str">
        <f aca="false">IF($E710="","",IFERROR(INDEX('Гео-калькулятор'!$K$7:$K$13,MATCH($C710,'Гео-калькулятор'!$B$7:$B$13,0)),""))</f>
        <v/>
      </c>
      <c r="P710" s="38" t="str">
        <f aca="false">IF($E710="","",IFERROR(N710/O710,""))</f>
        <v/>
      </c>
      <c r="Q710" s="39" t="str">
        <f aca="false">IF($E710="","",IF($I710&lt;&gt;"",$I710,N($H710)*IFERROR(INDEX('Гео-калькулятор'!$E$7:$E$13,MATCH($C710,'Гео-калькулятор'!$B$7:$B$13,0)),0)))</f>
        <v/>
      </c>
      <c r="R710" s="38" t="str">
        <f aca="false">IF($E710="","",IFERROR(Q710/H710,""))</f>
        <v/>
      </c>
      <c r="S710" s="30" t="str">
        <f aca="false">IF($E710="","",IFERROR(E710/Q710,"—"))</f>
        <v/>
      </c>
      <c r="T710" s="30" t="str">
        <f aca="false">IF($E710="","",Q710*IFERROR(INDEX('Гео-калькулятор'!$D$7:$D$13,MATCH($C710,'Гео-калькулятор'!$B$7:$B$13,0)),0))</f>
        <v/>
      </c>
      <c r="U710" s="40" t="str">
        <f aca="false">IF($E710="","",T710-E710)</f>
        <v/>
      </c>
      <c r="V710" s="41" t="str">
        <f aca="false">IF($E710="","",IFERROR(U710/E710,""))</f>
        <v/>
      </c>
      <c r="W710" s="10" t="str">
        <f aca="false">IF($E710="","",IF($I710&lt;&gt;"","факт","прогноз"))</f>
        <v/>
      </c>
      <c r="X710" s="1"/>
      <c r="Y710" s="1"/>
      <c r="Z710" s="1"/>
      <c r="AA710" s="1"/>
      <c r="AB710" s="1"/>
      <c r="AC710" s="1"/>
      <c r="AD710" s="1"/>
    </row>
    <row r="711" customFormat="false" ht="18" hidden="false" customHeight="true" outlineLevel="0" collapsed="false">
      <c r="A711" s="1"/>
      <c r="B711" s="35"/>
      <c r="C711" s="8"/>
      <c r="D711" s="26"/>
      <c r="E711" s="27"/>
      <c r="F711" s="36"/>
      <c r="G711" s="36"/>
      <c r="H711" s="36"/>
      <c r="I711" s="36"/>
      <c r="J711" s="37" t="str">
        <f aca="false">IF($E711="","",IFERROR(G711/F711,""))</f>
        <v/>
      </c>
      <c r="K711" s="30" t="str">
        <f aca="false">IF($E711="","",IFERROR(E711/G711,""))</f>
        <v/>
      </c>
      <c r="L711" s="30" t="str">
        <f aca="false">IF($E711="","",IFERROR(E711/F711*1000,""))</f>
        <v/>
      </c>
      <c r="M711" s="37" t="str">
        <f aca="false">IF($E711="","",IFERROR(H711/G711,""))</f>
        <v/>
      </c>
      <c r="N711" s="30" t="str">
        <f aca="false">IF($E711="","",IFERROR(E711/H711,"—"))</f>
        <v/>
      </c>
      <c r="O711" s="30" t="str">
        <f aca="false">IF($E711="","",IFERROR(INDEX('Гео-калькулятор'!$K$7:$K$13,MATCH($C711,'Гео-калькулятор'!$B$7:$B$13,0)),""))</f>
        <v/>
      </c>
      <c r="P711" s="38" t="str">
        <f aca="false">IF($E711="","",IFERROR(N711/O711,""))</f>
        <v/>
      </c>
      <c r="Q711" s="39" t="str">
        <f aca="false">IF($E711="","",IF($I711&lt;&gt;"",$I711,N($H711)*IFERROR(INDEX('Гео-калькулятор'!$E$7:$E$13,MATCH($C711,'Гео-калькулятор'!$B$7:$B$13,0)),0)))</f>
        <v/>
      </c>
      <c r="R711" s="38" t="str">
        <f aca="false">IF($E711="","",IFERROR(Q711/H711,""))</f>
        <v/>
      </c>
      <c r="S711" s="30" t="str">
        <f aca="false">IF($E711="","",IFERROR(E711/Q711,"—"))</f>
        <v/>
      </c>
      <c r="T711" s="30" t="str">
        <f aca="false">IF($E711="","",Q711*IFERROR(INDEX('Гео-калькулятор'!$D$7:$D$13,MATCH($C711,'Гео-калькулятор'!$B$7:$B$13,0)),0))</f>
        <v/>
      </c>
      <c r="U711" s="40" t="str">
        <f aca="false">IF($E711="","",T711-E711)</f>
        <v/>
      </c>
      <c r="V711" s="41" t="str">
        <f aca="false">IF($E711="","",IFERROR(U711/E711,""))</f>
        <v/>
      </c>
      <c r="W711" s="10" t="str">
        <f aca="false">IF($E711="","",IF($I711&lt;&gt;"","факт","прогноз"))</f>
        <v/>
      </c>
      <c r="X711" s="1"/>
      <c r="Y711" s="1"/>
      <c r="Z711" s="1"/>
      <c r="AA711" s="1"/>
      <c r="AB711" s="1"/>
      <c r="AC711" s="1"/>
      <c r="AD711" s="1"/>
    </row>
    <row r="712" customFormat="false" ht="18" hidden="false" customHeight="true" outlineLevel="0" collapsed="false">
      <c r="A712" s="1"/>
      <c r="B712" s="35"/>
      <c r="C712" s="8"/>
      <c r="D712" s="26"/>
      <c r="E712" s="27"/>
      <c r="F712" s="36"/>
      <c r="G712" s="36"/>
      <c r="H712" s="36"/>
      <c r="I712" s="36"/>
      <c r="J712" s="37" t="str">
        <f aca="false">IF($E712="","",IFERROR(G712/F712,""))</f>
        <v/>
      </c>
      <c r="K712" s="30" t="str">
        <f aca="false">IF($E712="","",IFERROR(E712/G712,""))</f>
        <v/>
      </c>
      <c r="L712" s="30" t="str">
        <f aca="false">IF($E712="","",IFERROR(E712/F712*1000,""))</f>
        <v/>
      </c>
      <c r="M712" s="37" t="str">
        <f aca="false">IF($E712="","",IFERROR(H712/G712,""))</f>
        <v/>
      </c>
      <c r="N712" s="30" t="str">
        <f aca="false">IF($E712="","",IFERROR(E712/H712,"—"))</f>
        <v/>
      </c>
      <c r="O712" s="30" t="str">
        <f aca="false">IF($E712="","",IFERROR(INDEX('Гео-калькулятор'!$K$7:$K$13,MATCH($C712,'Гео-калькулятор'!$B$7:$B$13,0)),""))</f>
        <v/>
      </c>
      <c r="P712" s="38" t="str">
        <f aca="false">IF($E712="","",IFERROR(N712/O712,""))</f>
        <v/>
      </c>
      <c r="Q712" s="39" t="str">
        <f aca="false">IF($E712="","",IF($I712&lt;&gt;"",$I712,N($H712)*IFERROR(INDEX('Гео-калькулятор'!$E$7:$E$13,MATCH($C712,'Гео-калькулятор'!$B$7:$B$13,0)),0)))</f>
        <v/>
      </c>
      <c r="R712" s="38" t="str">
        <f aca="false">IF($E712="","",IFERROR(Q712/H712,""))</f>
        <v/>
      </c>
      <c r="S712" s="30" t="str">
        <f aca="false">IF($E712="","",IFERROR(E712/Q712,"—"))</f>
        <v/>
      </c>
      <c r="T712" s="30" t="str">
        <f aca="false">IF($E712="","",Q712*IFERROR(INDEX('Гео-калькулятор'!$D$7:$D$13,MATCH($C712,'Гео-калькулятор'!$B$7:$B$13,0)),0))</f>
        <v/>
      </c>
      <c r="U712" s="40" t="str">
        <f aca="false">IF($E712="","",T712-E712)</f>
        <v/>
      </c>
      <c r="V712" s="41" t="str">
        <f aca="false">IF($E712="","",IFERROR(U712/E712,""))</f>
        <v/>
      </c>
      <c r="W712" s="10" t="str">
        <f aca="false">IF($E712="","",IF($I712&lt;&gt;"","факт","прогноз"))</f>
        <v/>
      </c>
      <c r="X712" s="1"/>
      <c r="Y712" s="1"/>
      <c r="Z712" s="1"/>
      <c r="AA712" s="1"/>
      <c r="AB712" s="1"/>
      <c r="AC712" s="1"/>
      <c r="AD712" s="1"/>
    </row>
    <row r="713" customFormat="false" ht="18" hidden="false" customHeight="true" outlineLevel="0" collapsed="false">
      <c r="A713" s="1"/>
      <c r="B713" s="35"/>
      <c r="C713" s="8"/>
      <c r="D713" s="26"/>
      <c r="E713" s="27"/>
      <c r="F713" s="36"/>
      <c r="G713" s="36"/>
      <c r="H713" s="36"/>
      <c r="I713" s="36"/>
      <c r="J713" s="37" t="str">
        <f aca="false">IF($E713="","",IFERROR(G713/F713,""))</f>
        <v/>
      </c>
      <c r="K713" s="30" t="str">
        <f aca="false">IF($E713="","",IFERROR(E713/G713,""))</f>
        <v/>
      </c>
      <c r="L713" s="30" t="str">
        <f aca="false">IF($E713="","",IFERROR(E713/F713*1000,""))</f>
        <v/>
      </c>
      <c r="M713" s="37" t="str">
        <f aca="false">IF($E713="","",IFERROR(H713/G713,""))</f>
        <v/>
      </c>
      <c r="N713" s="30" t="str">
        <f aca="false">IF($E713="","",IFERROR(E713/H713,"—"))</f>
        <v/>
      </c>
      <c r="O713" s="30" t="str">
        <f aca="false">IF($E713="","",IFERROR(INDEX('Гео-калькулятор'!$K$7:$K$13,MATCH($C713,'Гео-калькулятор'!$B$7:$B$13,0)),""))</f>
        <v/>
      </c>
      <c r="P713" s="38" t="str">
        <f aca="false">IF($E713="","",IFERROR(N713/O713,""))</f>
        <v/>
      </c>
      <c r="Q713" s="39" t="str">
        <f aca="false">IF($E713="","",IF($I713&lt;&gt;"",$I713,N($H713)*IFERROR(INDEX('Гео-калькулятор'!$E$7:$E$13,MATCH($C713,'Гео-калькулятор'!$B$7:$B$13,0)),0)))</f>
        <v/>
      </c>
      <c r="R713" s="38" t="str">
        <f aca="false">IF($E713="","",IFERROR(Q713/H713,""))</f>
        <v/>
      </c>
      <c r="S713" s="30" t="str">
        <f aca="false">IF($E713="","",IFERROR(E713/Q713,"—"))</f>
        <v/>
      </c>
      <c r="T713" s="30" t="str">
        <f aca="false">IF($E713="","",Q713*IFERROR(INDEX('Гео-калькулятор'!$D$7:$D$13,MATCH($C713,'Гео-калькулятор'!$B$7:$B$13,0)),0))</f>
        <v/>
      </c>
      <c r="U713" s="40" t="str">
        <f aca="false">IF($E713="","",T713-E713)</f>
        <v/>
      </c>
      <c r="V713" s="41" t="str">
        <f aca="false">IF($E713="","",IFERROR(U713/E713,""))</f>
        <v/>
      </c>
      <c r="W713" s="10" t="str">
        <f aca="false">IF($E713="","",IF($I713&lt;&gt;"","факт","прогноз"))</f>
        <v/>
      </c>
      <c r="X713" s="1"/>
      <c r="Y713" s="1"/>
      <c r="Z713" s="1"/>
      <c r="AA713" s="1"/>
      <c r="AB713" s="1"/>
      <c r="AC713" s="1"/>
      <c r="AD713" s="1"/>
    </row>
    <row r="714" customFormat="false" ht="18" hidden="false" customHeight="true" outlineLevel="0" collapsed="false">
      <c r="A714" s="1"/>
      <c r="B714" s="35"/>
      <c r="C714" s="8"/>
      <c r="D714" s="26"/>
      <c r="E714" s="27"/>
      <c r="F714" s="36"/>
      <c r="G714" s="36"/>
      <c r="H714" s="36"/>
      <c r="I714" s="36"/>
      <c r="J714" s="37" t="str">
        <f aca="false">IF($E714="","",IFERROR(G714/F714,""))</f>
        <v/>
      </c>
      <c r="K714" s="30" t="str">
        <f aca="false">IF($E714="","",IFERROR(E714/G714,""))</f>
        <v/>
      </c>
      <c r="L714" s="30" t="str">
        <f aca="false">IF($E714="","",IFERROR(E714/F714*1000,""))</f>
        <v/>
      </c>
      <c r="M714" s="37" t="str">
        <f aca="false">IF($E714="","",IFERROR(H714/G714,""))</f>
        <v/>
      </c>
      <c r="N714" s="30" t="str">
        <f aca="false">IF($E714="","",IFERROR(E714/H714,"—"))</f>
        <v/>
      </c>
      <c r="O714" s="30" t="str">
        <f aca="false">IF($E714="","",IFERROR(INDEX('Гео-калькулятор'!$K$7:$K$13,MATCH($C714,'Гео-калькулятор'!$B$7:$B$13,0)),""))</f>
        <v/>
      </c>
      <c r="P714" s="38" t="str">
        <f aca="false">IF($E714="","",IFERROR(N714/O714,""))</f>
        <v/>
      </c>
      <c r="Q714" s="39" t="str">
        <f aca="false">IF($E714="","",IF($I714&lt;&gt;"",$I714,N($H714)*IFERROR(INDEX('Гео-калькулятор'!$E$7:$E$13,MATCH($C714,'Гео-калькулятор'!$B$7:$B$13,0)),0)))</f>
        <v/>
      </c>
      <c r="R714" s="38" t="str">
        <f aca="false">IF($E714="","",IFERROR(Q714/H714,""))</f>
        <v/>
      </c>
      <c r="S714" s="30" t="str">
        <f aca="false">IF($E714="","",IFERROR(E714/Q714,"—"))</f>
        <v/>
      </c>
      <c r="T714" s="30" t="str">
        <f aca="false">IF($E714="","",Q714*IFERROR(INDEX('Гео-калькулятор'!$D$7:$D$13,MATCH($C714,'Гео-калькулятор'!$B$7:$B$13,0)),0))</f>
        <v/>
      </c>
      <c r="U714" s="40" t="str">
        <f aca="false">IF($E714="","",T714-E714)</f>
        <v/>
      </c>
      <c r="V714" s="41" t="str">
        <f aca="false">IF($E714="","",IFERROR(U714/E714,""))</f>
        <v/>
      </c>
      <c r="W714" s="10" t="str">
        <f aca="false">IF($E714="","",IF($I714&lt;&gt;"","факт","прогноз"))</f>
        <v/>
      </c>
      <c r="X714" s="1"/>
      <c r="Y714" s="1"/>
      <c r="Z714" s="1"/>
      <c r="AA714" s="1"/>
      <c r="AB714" s="1"/>
      <c r="AC714" s="1"/>
      <c r="AD714" s="1"/>
    </row>
    <row r="715" customFormat="false" ht="18" hidden="false" customHeight="true" outlineLevel="0" collapsed="false">
      <c r="A715" s="1"/>
      <c r="B715" s="35"/>
      <c r="C715" s="8"/>
      <c r="D715" s="26"/>
      <c r="E715" s="27"/>
      <c r="F715" s="36"/>
      <c r="G715" s="36"/>
      <c r="H715" s="36"/>
      <c r="I715" s="36"/>
      <c r="J715" s="37" t="str">
        <f aca="false">IF($E715="","",IFERROR(G715/F715,""))</f>
        <v/>
      </c>
      <c r="K715" s="30" t="str">
        <f aca="false">IF($E715="","",IFERROR(E715/G715,""))</f>
        <v/>
      </c>
      <c r="L715" s="30" t="str">
        <f aca="false">IF($E715="","",IFERROR(E715/F715*1000,""))</f>
        <v/>
      </c>
      <c r="M715" s="37" t="str">
        <f aca="false">IF($E715="","",IFERROR(H715/G715,""))</f>
        <v/>
      </c>
      <c r="N715" s="30" t="str">
        <f aca="false">IF($E715="","",IFERROR(E715/H715,"—"))</f>
        <v/>
      </c>
      <c r="O715" s="30" t="str">
        <f aca="false">IF($E715="","",IFERROR(INDEX('Гео-калькулятор'!$K$7:$K$13,MATCH($C715,'Гео-калькулятор'!$B$7:$B$13,0)),""))</f>
        <v/>
      </c>
      <c r="P715" s="38" t="str">
        <f aca="false">IF($E715="","",IFERROR(N715/O715,""))</f>
        <v/>
      </c>
      <c r="Q715" s="39" t="str">
        <f aca="false">IF($E715="","",IF($I715&lt;&gt;"",$I715,N($H715)*IFERROR(INDEX('Гео-калькулятор'!$E$7:$E$13,MATCH($C715,'Гео-калькулятор'!$B$7:$B$13,0)),0)))</f>
        <v/>
      </c>
      <c r="R715" s="38" t="str">
        <f aca="false">IF($E715="","",IFERROR(Q715/H715,""))</f>
        <v/>
      </c>
      <c r="S715" s="30" t="str">
        <f aca="false">IF($E715="","",IFERROR(E715/Q715,"—"))</f>
        <v/>
      </c>
      <c r="T715" s="30" t="str">
        <f aca="false">IF($E715="","",Q715*IFERROR(INDEX('Гео-калькулятор'!$D$7:$D$13,MATCH($C715,'Гео-калькулятор'!$B$7:$B$13,0)),0))</f>
        <v/>
      </c>
      <c r="U715" s="40" t="str">
        <f aca="false">IF($E715="","",T715-E715)</f>
        <v/>
      </c>
      <c r="V715" s="41" t="str">
        <f aca="false">IF($E715="","",IFERROR(U715/E715,""))</f>
        <v/>
      </c>
      <c r="W715" s="10" t="str">
        <f aca="false">IF($E715="","",IF($I715&lt;&gt;"","факт","прогноз"))</f>
        <v/>
      </c>
      <c r="X715" s="1"/>
      <c r="Y715" s="1"/>
      <c r="Z715" s="1"/>
      <c r="AA715" s="1"/>
      <c r="AB715" s="1"/>
      <c r="AC715" s="1"/>
      <c r="AD715" s="1"/>
    </row>
    <row r="716" customFormat="false" ht="18" hidden="false" customHeight="true" outlineLevel="0" collapsed="false">
      <c r="A716" s="1"/>
      <c r="B716" s="35"/>
      <c r="C716" s="8"/>
      <c r="D716" s="26"/>
      <c r="E716" s="27"/>
      <c r="F716" s="36"/>
      <c r="G716" s="36"/>
      <c r="H716" s="36"/>
      <c r="I716" s="36"/>
      <c r="J716" s="37" t="str">
        <f aca="false">IF($E716="","",IFERROR(G716/F716,""))</f>
        <v/>
      </c>
      <c r="K716" s="30" t="str">
        <f aca="false">IF($E716="","",IFERROR(E716/G716,""))</f>
        <v/>
      </c>
      <c r="L716" s="30" t="str">
        <f aca="false">IF($E716="","",IFERROR(E716/F716*1000,""))</f>
        <v/>
      </c>
      <c r="M716" s="37" t="str">
        <f aca="false">IF($E716="","",IFERROR(H716/G716,""))</f>
        <v/>
      </c>
      <c r="N716" s="30" t="str">
        <f aca="false">IF($E716="","",IFERROR(E716/H716,"—"))</f>
        <v/>
      </c>
      <c r="O716" s="30" t="str">
        <f aca="false">IF($E716="","",IFERROR(INDEX('Гео-калькулятор'!$K$7:$K$13,MATCH($C716,'Гео-калькулятор'!$B$7:$B$13,0)),""))</f>
        <v/>
      </c>
      <c r="P716" s="38" t="str">
        <f aca="false">IF($E716="","",IFERROR(N716/O716,""))</f>
        <v/>
      </c>
      <c r="Q716" s="39" t="str">
        <f aca="false">IF($E716="","",IF($I716&lt;&gt;"",$I716,N($H716)*IFERROR(INDEX('Гео-калькулятор'!$E$7:$E$13,MATCH($C716,'Гео-калькулятор'!$B$7:$B$13,0)),0)))</f>
        <v/>
      </c>
      <c r="R716" s="38" t="str">
        <f aca="false">IF($E716="","",IFERROR(Q716/H716,""))</f>
        <v/>
      </c>
      <c r="S716" s="30" t="str">
        <f aca="false">IF($E716="","",IFERROR(E716/Q716,"—"))</f>
        <v/>
      </c>
      <c r="T716" s="30" t="str">
        <f aca="false">IF($E716="","",Q716*IFERROR(INDEX('Гео-калькулятор'!$D$7:$D$13,MATCH($C716,'Гео-калькулятор'!$B$7:$B$13,0)),0))</f>
        <v/>
      </c>
      <c r="U716" s="40" t="str">
        <f aca="false">IF($E716="","",T716-E716)</f>
        <v/>
      </c>
      <c r="V716" s="41" t="str">
        <f aca="false">IF($E716="","",IFERROR(U716/E716,""))</f>
        <v/>
      </c>
      <c r="W716" s="10" t="str">
        <f aca="false">IF($E716="","",IF($I716&lt;&gt;"","факт","прогноз"))</f>
        <v/>
      </c>
      <c r="X716" s="1"/>
      <c r="Y716" s="1"/>
      <c r="Z716" s="1"/>
      <c r="AA716" s="1"/>
      <c r="AB716" s="1"/>
      <c r="AC716" s="1"/>
      <c r="AD716" s="1"/>
    </row>
    <row r="717" customFormat="false" ht="18" hidden="false" customHeight="true" outlineLevel="0" collapsed="false">
      <c r="A717" s="1"/>
      <c r="B717" s="35"/>
      <c r="C717" s="8"/>
      <c r="D717" s="26"/>
      <c r="E717" s="27"/>
      <c r="F717" s="36"/>
      <c r="G717" s="36"/>
      <c r="H717" s="36"/>
      <c r="I717" s="36"/>
      <c r="J717" s="37" t="str">
        <f aca="false">IF($E717="","",IFERROR(G717/F717,""))</f>
        <v/>
      </c>
      <c r="K717" s="30" t="str">
        <f aca="false">IF($E717="","",IFERROR(E717/G717,""))</f>
        <v/>
      </c>
      <c r="L717" s="30" t="str">
        <f aca="false">IF($E717="","",IFERROR(E717/F717*1000,""))</f>
        <v/>
      </c>
      <c r="M717" s="37" t="str">
        <f aca="false">IF($E717="","",IFERROR(H717/G717,""))</f>
        <v/>
      </c>
      <c r="N717" s="30" t="str">
        <f aca="false">IF($E717="","",IFERROR(E717/H717,"—"))</f>
        <v/>
      </c>
      <c r="O717" s="30" t="str">
        <f aca="false">IF($E717="","",IFERROR(INDEX('Гео-калькулятор'!$K$7:$K$13,MATCH($C717,'Гео-калькулятор'!$B$7:$B$13,0)),""))</f>
        <v/>
      </c>
      <c r="P717" s="38" t="str">
        <f aca="false">IF($E717="","",IFERROR(N717/O717,""))</f>
        <v/>
      </c>
      <c r="Q717" s="39" t="str">
        <f aca="false">IF($E717="","",IF($I717&lt;&gt;"",$I717,N($H717)*IFERROR(INDEX('Гео-калькулятор'!$E$7:$E$13,MATCH($C717,'Гео-калькулятор'!$B$7:$B$13,0)),0)))</f>
        <v/>
      </c>
      <c r="R717" s="38" t="str">
        <f aca="false">IF($E717="","",IFERROR(Q717/H717,""))</f>
        <v/>
      </c>
      <c r="S717" s="30" t="str">
        <f aca="false">IF($E717="","",IFERROR(E717/Q717,"—"))</f>
        <v/>
      </c>
      <c r="T717" s="30" t="str">
        <f aca="false">IF($E717="","",Q717*IFERROR(INDEX('Гео-калькулятор'!$D$7:$D$13,MATCH($C717,'Гео-калькулятор'!$B$7:$B$13,0)),0))</f>
        <v/>
      </c>
      <c r="U717" s="40" t="str">
        <f aca="false">IF($E717="","",T717-E717)</f>
        <v/>
      </c>
      <c r="V717" s="41" t="str">
        <f aca="false">IF($E717="","",IFERROR(U717/E717,""))</f>
        <v/>
      </c>
      <c r="W717" s="10" t="str">
        <f aca="false">IF($E717="","",IF($I717&lt;&gt;"","факт","прогноз"))</f>
        <v/>
      </c>
      <c r="X717" s="1"/>
      <c r="Y717" s="1"/>
      <c r="Z717" s="1"/>
      <c r="AA717" s="1"/>
      <c r="AB717" s="1"/>
      <c r="AC717" s="1"/>
      <c r="AD717" s="1"/>
    </row>
    <row r="718" customFormat="false" ht="18" hidden="false" customHeight="true" outlineLevel="0" collapsed="false">
      <c r="A718" s="1"/>
      <c r="B718" s="35"/>
      <c r="C718" s="8"/>
      <c r="D718" s="26"/>
      <c r="E718" s="27"/>
      <c r="F718" s="36"/>
      <c r="G718" s="36"/>
      <c r="H718" s="36"/>
      <c r="I718" s="36"/>
      <c r="J718" s="37" t="str">
        <f aca="false">IF($E718="","",IFERROR(G718/F718,""))</f>
        <v/>
      </c>
      <c r="K718" s="30" t="str">
        <f aca="false">IF($E718="","",IFERROR(E718/G718,""))</f>
        <v/>
      </c>
      <c r="L718" s="30" t="str">
        <f aca="false">IF($E718="","",IFERROR(E718/F718*1000,""))</f>
        <v/>
      </c>
      <c r="M718" s="37" t="str">
        <f aca="false">IF($E718="","",IFERROR(H718/G718,""))</f>
        <v/>
      </c>
      <c r="N718" s="30" t="str">
        <f aca="false">IF($E718="","",IFERROR(E718/H718,"—"))</f>
        <v/>
      </c>
      <c r="O718" s="30" t="str">
        <f aca="false">IF($E718="","",IFERROR(INDEX('Гео-калькулятор'!$K$7:$K$13,MATCH($C718,'Гео-калькулятор'!$B$7:$B$13,0)),""))</f>
        <v/>
      </c>
      <c r="P718" s="38" t="str">
        <f aca="false">IF($E718="","",IFERROR(N718/O718,""))</f>
        <v/>
      </c>
      <c r="Q718" s="39" t="str">
        <f aca="false">IF($E718="","",IF($I718&lt;&gt;"",$I718,N($H718)*IFERROR(INDEX('Гео-калькулятор'!$E$7:$E$13,MATCH($C718,'Гео-калькулятор'!$B$7:$B$13,0)),0)))</f>
        <v/>
      </c>
      <c r="R718" s="38" t="str">
        <f aca="false">IF($E718="","",IFERROR(Q718/H718,""))</f>
        <v/>
      </c>
      <c r="S718" s="30" t="str">
        <f aca="false">IF($E718="","",IFERROR(E718/Q718,"—"))</f>
        <v/>
      </c>
      <c r="T718" s="30" t="str">
        <f aca="false">IF($E718="","",Q718*IFERROR(INDEX('Гео-калькулятор'!$D$7:$D$13,MATCH($C718,'Гео-калькулятор'!$B$7:$B$13,0)),0))</f>
        <v/>
      </c>
      <c r="U718" s="40" t="str">
        <f aca="false">IF($E718="","",T718-E718)</f>
        <v/>
      </c>
      <c r="V718" s="41" t="str">
        <f aca="false">IF($E718="","",IFERROR(U718/E718,""))</f>
        <v/>
      </c>
      <c r="W718" s="10" t="str">
        <f aca="false">IF($E718="","",IF($I718&lt;&gt;"","факт","прогноз"))</f>
        <v/>
      </c>
      <c r="X718" s="1"/>
      <c r="Y718" s="1"/>
      <c r="Z718" s="1"/>
      <c r="AA718" s="1"/>
      <c r="AB718" s="1"/>
      <c r="AC718" s="1"/>
      <c r="AD718" s="1"/>
    </row>
    <row r="719" customFormat="false" ht="18" hidden="false" customHeight="true" outlineLevel="0" collapsed="false">
      <c r="A719" s="1"/>
      <c r="B719" s="35"/>
      <c r="C719" s="8"/>
      <c r="D719" s="26"/>
      <c r="E719" s="27"/>
      <c r="F719" s="36"/>
      <c r="G719" s="36"/>
      <c r="H719" s="36"/>
      <c r="I719" s="36"/>
      <c r="J719" s="37" t="str">
        <f aca="false">IF($E719="","",IFERROR(G719/F719,""))</f>
        <v/>
      </c>
      <c r="K719" s="30" t="str">
        <f aca="false">IF($E719="","",IFERROR(E719/G719,""))</f>
        <v/>
      </c>
      <c r="L719" s="30" t="str">
        <f aca="false">IF($E719="","",IFERROR(E719/F719*1000,""))</f>
        <v/>
      </c>
      <c r="M719" s="37" t="str">
        <f aca="false">IF($E719="","",IFERROR(H719/G719,""))</f>
        <v/>
      </c>
      <c r="N719" s="30" t="str">
        <f aca="false">IF($E719="","",IFERROR(E719/H719,"—"))</f>
        <v/>
      </c>
      <c r="O719" s="30" t="str">
        <f aca="false">IF($E719="","",IFERROR(INDEX('Гео-калькулятор'!$K$7:$K$13,MATCH($C719,'Гео-калькулятор'!$B$7:$B$13,0)),""))</f>
        <v/>
      </c>
      <c r="P719" s="38" t="str">
        <f aca="false">IF($E719="","",IFERROR(N719/O719,""))</f>
        <v/>
      </c>
      <c r="Q719" s="39" t="str">
        <f aca="false">IF($E719="","",IF($I719&lt;&gt;"",$I719,N($H719)*IFERROR(INDEX('Гео-калькулятор'!$E$7:$E$13,MATCH($C719,'Гео-калькулятор'!$B$7:$B$13,0)),0)))</f>
        <v/>
      </c>
      <c r="R719" s="38" t="str">
        <f aca="false">IF($E719="","",IFERROR(Q719/H719,""))</f>
        <v/>
      </c>
      <c r="S719" s="30" t="str">
        <f aca="false">IF($E719="","",IFERROR(E719/Q719,"—"))</f>
        <v/>
      </c>
      <c r="T719" s="30" t="str">
        <f aca="false">IF($E719="","",Q719*IFERROR(INDEX('Гео-калькулятор'!$D$7:$D$13,MATCH($C719,'Гео-калькулятор'!$B$7:$B$13,0)),0))</f>
        <v/>
      </c>
      <c r="U719" s="40" t="str">
        <f aca="false">IF($E719="","",T719-E719)</f>
        <v/>
      </c>
      <c r="V719" s="41" t="str">
        <f aca="false">IF($E719="","",IFERROR(U719/E719,""))</f>
        <v/>
      </c>
      <c r="W719" s="10" t="str">
        <f aca="false">IF($E719="","",IF($I719&lt;&gt;"","факт","прогноз"))</f>
        <v/>
      </c>
      <c r="X719" s="1"/>
      <c r="Y719" s="1"/>
      <c r="Z719" s="1"/>
      <c r="AA719" s="1"/>
      <c r="AB719" s="1"/>
      <c r="AC719" s="1"/>
      <c r="AD719" s="1"/>
    </row>
    <row r="720" customFormat="false" ht="18" hidden="false" customHeight="true" outlineLevel="0" collapsed="false">
      <c r="A720" s="1"/>
      <c r="B720" s="35"/>
      <c r="C720" s="8"/>
      <c r="D720" s="26"/>
      <c r="E720" s="27"/>
      <c r="F720" s="36"/>
      <c r="G720" s="36"/>
      <c r="H720" s="36"/>
      <c r="I720" s="36"/>
      <c r="J720" s="37" t="str">
        <f aca="false">IF($E720="","",IFERROR(G720/F720,""))</f>
        <v/>
      </c>
      <c r="K720" s="30" t="str">
        <f aca="false">IF($E720="","",IFERROR(E720/G720,""))</f>
        <v/>
      </c>
      <c r="L720" s="30" t="str">
        <f aca="false">IF($E720="","",IFERROR(E720/F720*1000,""))</f>
        <v/>
      </c>
      <c r="M720" s="37" t="str">
        <f aca="false">IF($E720="","",IFERROR(H720/G720,""))</f>
        <v/>
      </c>
      <c r="N720" s="30" t="str">
        <f aca="false">IF($E720="","",IFERROR(E720/H720,"—"))</f>
        <v/>
      </c>
      <c r="O720" s="30" t="str">
        <f aca="false">IF($E720="","",IFERROR(INDEX('Гео-калькулятор'!$K$7:$K$13,MATCH($C720,'Гео-калькулятор'!$B$7:$B$13,0)),""))</f>
        <v/>
      </c>
      <c r="P720" s="38" t="str">
        <f aca="false">IF($E720="","",IFERROR(N720/O720,""))</f>
        <v/>
      </c>
      <c r="Q720" s="39" t="str">
        <f aca="false">IF($E720="","",IF($I720&lt;&gt;"",$I720,N($H720)*IFERROR(INDEX('Гео-калькулятор'!$E$7:$E$13,MATCH($C720,'Гео-калькулятор'!$B$7:$B$13,0)),0)))</f>
        <v/>
      </c>
      <c r="R720" s="38" t="str">
        <f aca="false">IF($E720="","",IFERROR(Q720/H720,""))</f>
        <v/>
      </c>
      <c r="S720" s="30" t="str">
        <f aca="false">IF($E720="","",IFERROR(E720/Q720,"—"))</f>
        <v/>
      </c>
      <c r="T720" s="30" t="str">
        <f aca="false">IF($E720="","",Q720*IFERROR(INDEX('Гео-калькулятор'!$D$7:$D$13,MATCH($C720,'Гео-калькулятор'!$B$7:$B$13,0)),0))</f>
        <v/>
      </c>
      <c r="U720" s="40" t="str">
        <f aca="false">IF($E720="","",T720-E720)</f>
        <v/>
      </c>
      <c r="V720" s="41" t="str">
        <f aca="false">IF($E720="","",IFERROR(U720/E720,""))</f>
        <v/>
      </c>
      <c r="W720" s="10" t="str">
        <f aca="false">IF($E720="","",IF($I720&lt;&gt;"","факт","прогноз"))</f>
        <v/>
      </c>
      <c r="X720" s="1"/>
      <c r="Y720" s="1"/>
      <c r="Z720" s="1"/>
      <c r="AA720" s="1"/>
      <c r="AB720" s="1"/>
      <c r="AC720" s="1"/>
      <c r="AD720" s="1"/>
    </row>
    <row r="721" customFormat="false" ht="18" hidden="false" customHeight="true" outlineLevel="0" collapsed="false">
      <c r="A721" s="1"/>
      <c r="B721" s="35"/>
      <c r="C721" s="8"/>
      <c r="D721" s="26"/>
      <c r="E721" s="27"/>
      <c r="F721" s="36"/>
      <c r="G721" s="36"/>
      <c r="H721" s="36"/>
      <c r="I721" s="36"/>
      <c r="J721" s="37" t="str">
        <f aca="false">IF($E721="","",IFERROR(G721/F721,""))</f>
        <v/>
      </c>
      <c r="K721" s="30" t="str">
        <f aca="false">IF($E721="","",IFERROR(E721/G721,""))</f>
        <v/>
      </c>
      <c r="L721" s="30" t="str">
        <f aca="false">IF($E721="","",IFERROR(E721/F721*1000,""))</f>
        <v/>
      </c>
      <c r="M721" s="37" t="str">
        <f aca="false">IF($E721="","",IFERROR(H721/G721,""))</f>
        <v/>
      </c>
      <c r="N721" s="30" t="str">
        <f aca="false">IF($E721="","",IFERROR(E721/H721,"—"))</f>
        <v/>
      </c>
      <c r="O721" s="30" t="str">
        <f aca="false">IF($E721="","",IFERROR(INDEX('Гео-калькулятор'!$K$7:$K$13,MATCH($C721,'Гео-калькулятор'!$B$7:$B$13,0)),""))</f>
        <v/>
      </c>
      <c r="P721" s="38" t="str">
        <f aca="false">IF($E721="","",IFERROR(N721/O721,""))</f>
        <v/>
      </c>
      <c r="Q721" s="39" t="str">
        <f aca="false">IF($E721="","",IF($I721&lt;&gt;"",$I721,N($H721)*IFERROR(INDEX('Гео-калькулятор'!$E$7:$E$13,MATCH($C721,'Гео-калькулятор'!$B$7:$B$13,0)),0)))</f>
        <v/>
      </c>
      <c r="R721" s="38" t="str">
        <f aca="false">IF($E721="","",IFERROR(Q721/H721,""))</f>
        <v/>
      </c>
      <c r="S721" s="30" t="str">
        <f aca="false">IF($E721="","",IFERROR(E721/Q721,"—"))</f>
        <v/>
      </c>
      <c r="T721" s="30" t="str">
        <f aca="false">IF($E721="","",Q721*IFERROR(INDEX('Гео-калькулятор'!$D$7:$D$13,MATCH($C721,'Гео-калькулятор'!$B$7:$B$13,0)),0))</f>
        <v/>
      </c>
      <c r="U721" s="40" t="str">
        <f aca="false">IF($E721="","",T721-E721)</f>
        <v/>
      </c>
      <c r="V721" s="41" t="str">
        <f aca="false">IF($E721="","",IFERROR(U721/E721,""))</f>
        <v/>
      </c>
      <c r="W721" s="10" t="str">
        <f aca="false">IF($E721="","",IF($I721&lt;&gt;"","факт","прогноз"))</f>
        <v/>
      </c>
      <c r="X721" s="1"/>
      <c r="Y721" s="1"/>
      <c r="Z721" s="1"/>
      <c r="AA721" s="1"/>
      <c r="AB721" s="1"/>
      <c r="AC721" s="1"/>
      <c r="AD721" s="1"/>
    </row>
    <row r="722" customFormat="false" ht="18" hidden="false" customHeight="true" outlineLevel="0" collapsed="false">
      <c r="A722" s="1"/>
      <c r="B722" s="35"/>
      <c r="C722" s="8"/>
      <c r="D722" s="26"/>
      <c r="E722" s="27"/>
      <c r="F722" s="36"/>
      <c r="G722" s="36"/>
      <c r="H722" s="36"/>
      <c r="I722" s="36"/>
      <c r="J722" s="37" t="str">
        <f aca="false">IF($E722="","",IFERROR(G722/F722,""))</f>
        <v/>
      </c>
      <c r="K722" s="30" t="str">
        <f aca="false">IF($E722="","",IFERROR(E722/G722,""))</f>
        <v/>
      </c>
      <c r="L722" s="30" t="str">
        <f aca="false">IF($E722="","",IFERROR(E722/F722*1000,""))</f>
        <v/>
      </c>
      <c r="M722" s="37" t="str">
        <f aca="false">IF($E722="","",IFERROR(H722/G722,""))</f>
        <v/>
      </c>
      <c r="N722" s="30" t="str">
        <f aca="false">IF($E722="","",IFERROR(E722/H722,"—"))</f>
        <v/>
      </c>
      <c r="O722" s="30" t="str">
        <f aca="false">IF($E722="","",IFERROR(INDEX('Гео-калькулятор'!$K$7:$K$13,MATCH($C722,'Гео-калькулятор'!$B$7:$B$13,0)),""))</f>
        <v/>
      </c>
      <c r="P722" s="38" t="str">
        <f aca="false">IF($E722="","",IFERROR(N722/O722,""))</f>
        <v/>
      </c>
      <c r="Q722" s="39" t="str">
        <f aca="false">IF($E722="","",IF($I722&lt;&gt;"",$I722,N($H722)*IFERROR(INDEX('Гео-калькулятор'!$E$7:$E$13,MATCH($C722,'Гео-калькулятор'!$B$7:$B$13,0)),0)))</f>
        <v/>
      </c>
      <c r="R722" s="38" t="str">
        <f aca="false">IF($E722="","",IFERROR(Q722/H722,""))</f>
        <v/>
      </c>
      <c r="S722" s="30" t="str">
        <f aca="false">IF($E722="","",IFERROR(E722/Q722,"—"))</f>
        <v/>
      </c>
      <c r="T722" s="30" t="str">
        <f aca="false">IF($E722="","",Q722*IFERROR(INDEX('Гео-калькулятор'!$D$7:$D$13,MATCH($C722,'Гео-калькулятор'!$B$7:$B$13,0)),0))</f>
        <v/>
      </c>
      <c r="U722" s="40" t="str">
        <f aca="false">IF($E722="","",T722-E722)</f>
        <v/>
      </c>
      <c r="V722" s="41" t="str">
        <f aca="false">IF($E722="","",IFERROR(U722/E722,""))</f>
        <v/>
      </c>
      <c r="W722" s="10" t="str">
        <f aca="false">IF($E722="","",IF($I722&lt;&gt;"","факт","прогноз"))</f>
        <v/>
      </c>
      <c r="X722" s="1"/>
      <c r="Y722" s="1"/>
      <c r="Z722" s="1"/>
      <c r="AA722" s="1"/>
      <c r="AB722" s="1"/>
      <c r="AC722" s="1"/>
      <c r="AD722" s="1"/>
    </row>
    <row r="723" customFormat="false" ht="18" hidden="false" customHeight="true" outlineLevel="0" collapsed="false">
      <c r="A723" s="1"/>
      <c r="B723" s="35"/>
      <c r="C723" s="8"/>
      <c r="D723" s="26"/>
      <c r="E723" s="27"/>
      <c r="F723" s="36"/>
      <c r="G723" s="36"/>
      <c r="H723" s="36"/>
      <c r="I723" s="36"/>
      <c r="J723" s="37" t="str">
        <f aca="false">IF($E723="","",IFERROR(G723/F723,""))</f>
        <v/>
      </c>
      <c r="K723" s="30" t="str">
        <f aca="false">IF($E723="","",IFERROR(E723/G723,""))</f>
        <v/>
      </c>
      <c r="L723" s="30" t="str">
        <f aca="false">IF($E723="","",IFERROR(E723/F723*1000,""))</f>
        <v/>
      </c>
      <c r="M723" s="37" t="str">
        <f aca="false">IF($E723="","",IFERROR(H723/G723,""))</f>
        <v/>
      </c>
      <c r="N723" s="30" t="str">
        <f aca="false">IF($E723="","",IFERROR(E723/H723,"—"))</f>
        <v/>
      </c>
      <c r="O723" s="30" t="str">
        <f aca="false">IF($E723="","",IFERROR(INDEX('Гео-калькулятор'!$K$7:$K$13,MATCH($C723,'Гео-калькулятор'!$B$7:$B$13,0)),""))</f>
        <v/>
      </c>
      <c r="P723" s="38" t="str">
        <f aca="false">IF($E723="","",IFERROR(N723/O723,""))</f>
        <v/>
      </c>
      <c r="Q723" s="39" t="str">
        <f aca="false">IF($E723="","",IF($I723&lt;&gt;"",$I723,N($H723)*IFERROR(INDEX('Гео-калькулятор'!$E$7:$E$13,MATCH($C723,'Гео-калькулятор'!$B$7:$B$13,0)),0)))</f>
        <v/>
      </c>
      <c r="R723" s="38" t="str">
        <f aca="false">IF($E723="","",IFERROR(Q723/H723,""))</f>
        <v/>
      </c>
      <c r="S723" s="30" t="str">
        <f aca="false">IF($E723="","",IFERROR(E723/Q723,"—"))</f>
        <v/>
      </c>
      <c r="T723" s="30" t="str">
        <f aca="false">IF($E723="","",Q723*IFERROR(INDEX('Гео-калькулятор'!$D$7:$D$13,MATCH($C723,'Гео-калькулятор'!$B$7:$B$13,0)),0))</f>
        <v/>
      </c>
      <c r="U723" s="40" t="str">
        <f aca="false">IF($E723="","",T723-E723)</f>
        <v/>
      </c>
      <c r="V723" s="41" t="str">
        <f aca="false">IF($E723="","",IFERROR(U723/E723,""))</f>
        <v/>
      </c>
      <c r="W723" s="10" t="str">
        <f aca="false">IF($E723="","",IF($I723&lt;&gt;"","факт","прогноз"))</f>
        <v/>
      </c>
      <c r="X723" s="1"/>
      <c r="Y723" s="1"/>
      <c r="Z723" s="1"/>
      <c r="AA723" s="1"/>
      <c r="AB723" s="1"/>
      <c r="AC723" s="1"/>
      <c r="AD723" s="1"/>
    </row>
    <row r="724" customFormat="false" ht="18" hidden="false" customHeight="true" outlineLevel="0" collapsed="false">
      <c r="A724" s="1"/>
      <c r="B724" s="35"/>
      <c r="C724" s="8"/>
      <c r="D724" s="26"/>
      <c r="E724" s="27"/>
      <c r="F724" s="36"/>
      <c r="G724" s="36"/>
      <c r="H724" s="36"/>
      <c r="I724" s="36"/>
      <c r="J724" s="37" t="str">
        <f aca="false">IF($E724="","",IFERROR(G724/F724,""))</f>
        <v/>
      </c>
      <c r="K724" s="30" t="str">
        <f aca="false">IF($E724="","",IFERROR(E724/G724,""))</f>
        <v/>
      </c>
      <c r="L724" s="30" t="str">
        <f aca="false">IF($E724="","",IFERROR(E724/F724*1000,""))</f>
        <v/>
      </c>
      <c r="M724" s="37" t="str">
        <f aca="false">IF($E724="","",IFERROR(H724/G724,""))</f>
        <v/>
      </c>
      <c r="N724" s="30" t="str">
        <f aca="false">IF($E724="","",IFERROR(E724/H724,"—"))</f>
        <v/>
      </c>
      <c r="O724" s="30" t="str">
        <f aca="false">IF($E724="","",IFERROR(INDEX('Гео-калькулятор'!$K$7:$K$13,MATCH($C724,'Гео-калькулятор'!$B$7:$B$13,0)),""))</f>
        <v/>
      </c>
      <c r="P724" s="38" t="str">
        <f aca="false">IF($E724="","",IFERROR(N724/O724,""))</f>
        <v/>
      </c>
      <c r="Q724" s="39" t="str">
        <f aca="false">IF($E724="","",IF($I724&lt;&gt;"",$I724,N($H724)*IFERROR(INDEX('Гео-калькулятор'!$E$7:$E$13,MATCH($C724,'Гео-калькулятор'!$B$7:$B$13,0)),0)))</f>
        <v/>
      </c>
      <c r="R724" s="38" t="str">
        <f aca="false">IF($E724="","",IFERROR(Q724/H724,""))</f>
        <v/>
      </c>
      <c r="S724" s="30" t="str">
        <f aca="false">IF($E724="","",IFERROR(E724/Q724,"—"))</f>
        <v/>
      </c>
      <c r="T724" s="30" t="str">
        <f aca="false">IF($E724="","",Q724*IFERROR(INDEX('Гео-калькулятор'!$D$7:$D$13,MATCH($C724,'Гео-калькулятор'!$B$7:$B$13,0)),0))</f>
        <v/>
      </c>
      <c r="U724" s="40" t="str">
        <f aca="false">IF($E724="","",T724-E724)</f>
        <v/>
      </c>
      <c r="V724" s="41" t="str">
        <f aca="false">IF($E724="","",IFERROR(U724/E724,""))</f>
        <v/>
      </c>
      <c r="W724" s="10" t="str">
        <f aca="false">IF($E724="","",IF($I724&lt;&gt;"","факт","прогноз"))</f>
        <v/>
      </c>
      <c r="X724" s="1"/>
      <c r="Y724" s="1"/>
      <c r="Z724" s="1"/>
      <c r="AA724" s="1"/>
      <c r="AB724" s="1"/>
      <c r="AC724" s="1"/>
      <c r="AD724" s="1"/>
    </row>
    <row r="725" customFormat="false" ht="18" hidden="false" customHeight="true" outlineLevel="0" collapsed="false">
      <c r="A725" s="1"/>
      <c r="B725" s="35"/>
      <c r="C725" s="8"/>
      <c r="D725" s="26"/>
      <c r="E725" s="27"/>
      <c r="F725" s="36"/>
      <c r="G725" s="36"/>
      <c r="H725" s="36"/>
      <c r="I725" s="36"/>
      <c r="J725" s="37" t="str">
        <f aca="false">IF($E725="","",IFERROR(G725/F725,""))</f>
        <v/>
      </c>
      <c r="K725" s="30" t="str">
        <f aca="false">IF($E725="","",IFERROR(E725/G725,""))</f>
        <v/>
      </c>
      <c r="L725" s="30" t="str">
        <f aca="false">IF($E725="","",IFERROR(E725/F725*1000,""))</f>
        <v/>
      </c>
      <c r="M725" s="37" t="str">
        <f aca="false">IF($E725="","",IFERROR(H725/G725,""))</f>
        <v/>
      </c>
      <c r="N725" s="30" t="str">
        <f aca="false">IF($E725="","",IFERROR(E725/H725,"—"))</f>
        <v/>
      </c>
      <c r="O725" s="30" t="str">
        <f aca="false">IF($E725="","",IFERROR(INDEX('Гео-калькулятор'!$K$7:$K$13,MATCH($C725,'Гео-калькулятор'!$B$7:$B$13,0)),""))</f>
        <v/>
      </c>
      <c r="P725" s="38" t="str">
        <f aca="false">IF($E725="","",IFERROR(N725/O725,""))</f>
        <v/>
      </c>
      <c r="Q725" s="39" t="str">
        <f aca="false">IF($E725="","",IF($I725&lt;&gt;"",$I725,N($H725)*IFERROR(INDEX('Гео-калькулятор'!$E$7:$E$13,MATCH($C725,'Гео-калькулятор'!$B$7:$B$13,0)),0)))</f>
        <v/>
      </c>
      <c r="R725" s="38" t="str">
        <f aca="false">IF($E725="","",IFERROR(Q725/H725,""))</f>
        <v/>
      </c>
      <c r="S725" s="30" t="str">
        <f aca="false">IF($E725="","",IFERROR(E725/Q725,"—"))</f>
        <v/>
      </c>
      <c r="T725" s="30" t="str">
        <f aca="false">IF($E725="","",Q725*IFERROR(INDEX('Гео-калькулятор'!$D$7:$D$13,MATCH($C725,'Гео-калькулятор'!$B$7:$B$13,0)),0))</f>
        <v/>
      </c>
      <c r="U725" s="40" t="str">
        <f aca="false">IF($E725="","",T725-E725)</f>
        <v/>
      </c>
      <c r="V725" s="41" t="str">
        <f aca="false">IF($E725="","",IFERROR(U725/E725,""))</f>
        <v/>
      </c>
      <c r="W725" s="10" t="str">
        <f aca="false">IF($E725="","",IF($I725&lt;&gt;"","факт","прогноз"))</f>
        <v/>
      </c>
      <c r="X725" s="1"/>
      <c r="Y725" s="1"/>
      <c r="Z725" s="1"/>
      <c r="AA725" s="1"/>
      <c r="AB725" s="1"/>
      <c r="AC725" s="1"/>
      <c r="AD725" s="1"/>
    </row>
    <row r="726" customFormat="false" ht="18" hidden="false" customHeight="true" outlineLevel="0" collapsed="false">
      <c r="A726" s="1"/>
      <c r="B726" s="35"/>
      <c r="C726" s="8"/>
      <c r="D726" s="26"/>
      <c r="E726" s="27"/>
      <c r="F726" s="36"/>
      <c r="G726" s="36"/>
      <c r="H726" s="36"/>
      <c r="I726" s="36"/>
      <c r="J726" s="37" t="str">
        <f aca="false">IF($E726="","",IFERROR(G726/F726,""))</f>
        <v/>
      </c>
      <c r="K726" s="30" t="str">
        <f aca="false">IF($E726="","",IFERROR(E726/G726,""))</f>
        <v/>
      </c>
      <c r="L726" s="30" t="str">
        <f aca="false">IF($E726="","",IFERROR(E726/F726*1000,""))</f>
        <v/>
      </c>
      <c r="M726" s="37" t="str">
        <f aca="false">IF($E726="","",IFERROR(H726/G726,""))</f>
        <v/>
      </c>
      <c r="N726" s="30" t="str">
        <f aca="false">IF($E726="","",IFERROR(E726/H726,"—"))</f>
        <v/>
      </c>
      <c r="O726" s="30" t="str">
        <f aca="false">IF($E726="","",IFERROR(INDEX('Гео-калькулятор'!$K$7:$K$13,MATCH($C726,'Гео-калькулятор'!$B$7:$B$13,0)),""))</f>
        <v/>
      </c>
      <c r="P726" s="38" t="str">
        <f aca="false">IF($E726="","",IFERROR(N726/O726,""))</f>
        <v/>
      </c>
      <c r="Q726" s="39" t="str">
        <f aca="false">IF($E726="","",IF($I726&lt;&gt;"",$I726,N($H726)*IFERROR(INDEX('Гео-калькулятор'!$E$7:$E$13,MATCH($C726,'Гео-калькулятор'!$B$7:$B$13,0)),0)))</f>
        <v/>
      </c>
      <c r="R726" s="38" t="str">
        <f aca="false">IF($E726="","",IFERROR(Q726/H726,""))</f>
        <v/>
      </c>
      <c r="S726" s="30" t="str">
        <f aca="false">IF($E726="","",IFERROR(E726/Q726,"—"))</f>
        <v/>
      </c>
      <c r="T726" s="30" t="str">
        <f aca="false">IF($E726="","",Q726*IFERROR(INDEX('Гео-калькулятор'!$D$7:$D$13,MATCH($C726,'Гео-калькулятор'!$B$7:$B$13,0)),0))</f>
        <v/>
      </c>
      <c r="U726" s="40" t="str">
        <f aca="false">IF($E726="","",T726-E726)</f>
        <v/>
      </c>
      <c r="V726" s="41" t="str">
        <f aca="false">IF($E726="","",IFERROR(U726/E726,""))</f>
        <v/>
      </c>
      <c r="W726" s="10" t="str">
        <f aca="false">IF($E726="","",IF($I726&lt;&gt;"","факт","прогноз"))</f>
        <v/>
      </c>
      <c r="X726" s="1"/>
      <c r="Y726" s="1"/>
      <c r="Z726" s="1"/>
      <c r="AA726" s="1"/>
      <c r="AB726" s="1"/>
      <c r="AC726" s="1"/>
      <c r="AD726" s="1"/>
    </row>
    <row r="727" customFormat="false" ht="18" hidden="false" customHeight="true" outlineLevel="0" collapsed="false">
      <c r="A727" s="1"/>
      <c r="B727" s="35"/>
      <c r="C727" s="8"/>
      <c r="D727" s="26"/>
      <c r="E727" s="27"/>
      <c r="F727" s="36"/>
      <c r="G727" s="36"/>
      <c r="H727" s="36"/>
      <c r="I727" s="36"/>
      <c r="J727" s="37" t="str">
        <f aca="false">IF($E727="","",IFERROR(G727/F727,""))</f>
        <v/>
      </c>
      <c r="K727" s="30" t="str">
        <f aca="false">IF($E727="","",IFERROR(E727/G727,""))</f>
        <v/>
      </c>
      <c r="L727" s="30" t="str">
        <f aca="false">IF($E727="","",IFERROR(E727/F727*1000,""))</f>
        <v/>
      </c>
      <c r="M727" s="37" t="str">
        <f aca="false">IF($E727="","",IFERROR(H727/G727,""))</f>
        <v/>
      </c>
      <c r="N727" s="30" t="str">
        <f aca="false">IF($E727="","",IFERROR(E727/H727,"—"))</f>
        <v/>
      </c>
      <c r="O727" s="30" t="str">
        <f aca="false">IF($E727="","",IFERROR(INDEX('Гео-калькулятор'!$K$7:$K$13,MATCH($C727,'Гео-калькулятор'!$B$7:$B$13,0)),""))</f>
        <v/>
      </c>
      <c r="P727" s="38" t="str">
        <f aca="false">IF($E727="","",IFERROR(N727/O727,""))</f>
        <v/>
      </c>
      <c r="Q727" s="39" t="str">
        <f aca="false">IF($E727="","",IF($I727&lt;&gt;"",$I727,N($H727)*IFERROR(INDEX('Гео-калькулятор'!$E$7:$E$13,MATCH($C727,'Гео-калькулятор'!$B$7:$B$13,0)),0)))</f>
        <v/>
      </c>
      <c r="R727" s="38" t="str">
        <f aca="false">IF($E727="","",IFERROR(Q727/H727,""))</f>
        <v/>
      </c>
      <c r="S727" s="30" t="str">
        <f aca="false">IF($E727="","",IFERROR(E727/Q727,"—"))</f>
        <v/>
      </c>
      <c r="T727" s="30" t="str">
        <f aca="false">IF($E727="","",Q727*IFERROR(INDEX('Гео-калькулятор'!$D$7:$D$13,MATCH($C727,'Гео-калькулятор'!$B$7:$B$13,0)),0))</f>
        <v/>
      </c>
      <c r="U727" s="40" t="str">
        <f aca="false">IF($E727="","",T727-E727)</f>
        <v/>
      </c>
      <c r="V727" s="41" t="str">
        <f aca="false">IF($E727="","",IFERROR(U727/E727,""))</f>
        <v/>
      </c>
      <c r="W727" s="10" t="str">
        <f aca="false">IF($E727="","",IF($I727&lt;&gt;"","факт","прогноз"))</f>
        <v/>
      </c>
      <c r="X727" s="1"/>
      <c r="Y727" s="1"/>
      <c r="Z727" s="1"/>
      <c r="AA727" s="1"/>
      <c r="AB727" s="1"/>
      <c r="AC727" s="1"/>
      <c r="AD727" s="1"/>
    </row>
    <row r="728" customFormat="false" ht="18" hidden="false" customHeight="true" outlineLevel="0" collapsed="false">
      <c r="A728" s="1"/>
      <c r="B728" s="35"/>
      <c r="C728" s="8"/>
      <c r="D728" s="26"/>
      <c r="E728" s="27"/>
      <c r="F728" s="36"/>
      <c r="G728" s="36"/>
      <c r="H728" s="36"/>
      <c r="I728" s="36"/>
      <c r="J728" s="37" t="str">
        <f aca="false">IF($E728="","",IFERROR(G728/F728,""))</f>
        <v/>
      </c>
      <c r="K728" s="30" t="str">
        <f aca="false">IF($E728="","",IFERROR(E728/G728,""))</f>
        <v/>
      </c>
      <c r="L728" s="30" t="str">
        <f aca="false">IF($E728="","",IFERROR(E728/F728*1000,""))</f>
        <v/>
      </c>
      <c r="M728" s="37" t="str">
        <f aca="false">IF($E728="","",IFERROR(H728/G728,""))</f>
        <v/>
      </c>
      <c r="N728" s="30" t="str">
        <f aca="false">IF($E728="","",IFERROR(E728/H728,"—"))</f>
        <v/>
      </c>
      <c r="O728" s="30" t="str">
        <f aca="false">IF($E728="","",IFERROR(INDEX('Гео-калькулятор'!$K$7:$K$13,MATCH($C728,'Гео-калькулятор'!$B$7:$B$13,0)),""))</f>
        <v/>
      </c>
      <c r="P728" s="38" t="str">
        <f aca="false">IF($E728="","",IFERROR(N728/O728,""))</f>
        <v/>
      </c>
      <c r="Q728" s="39" t="str">
        <f aca="false">IF($E728="","",IF($I728&lt;&gt;"",$I728,N($H728)*IFERROR(INDEX('Гео-калькулятор'!$E$7:$E$13,MATCH($C728,'Гео-калькулятор'!$B$7:$B$13,0)),0)))</f>
        <v/>
      </c>
      <c r="R728" s="38" t="str">
        <f aca="false">IF($E728="","",IFERROR(Q728/H728,""))</f>
        <v/>
      </c>
      <c r="S728" s="30" t="str">
        <f aca="false">IF($E728="","",IFERROR(E728/Q728,"—"))</f>
        <v/>
      </c>
      <c r="T728" s="30" t="str">
        <f aca="false">IF($E728="","",Q728*IFERROR(INDEX('Гео-калькулятор'!$D$7:$D$13,MATCH($C728,'Гео-калькулятор'!$B$7:$B$13,0)),0))</f>
        <v/>
      </c>
      <c r="U728" s="40" t="str">
        <f aca="false">IF($E728="","",T728-E728)</f>
        <v/>
      </c>
      <c r="V728" s="41" t="str">
        <f aca="false">IF($E728="","",IFERROR(U728/E728,""))</f>
        <v/>
      </c>
      <c r="W728" s="10" t="str">
        <f aca="false">IF($E728="","",IF($I728&lt;&gt;"","факт","прогноз"))</f>
        <v/>
      </c>
      <c r="X728" s="1"/>
      <c r="Y728" s="1"/>
      <c r="Z728" s="1"/>
      <c r="AA728" s="1"/>
      <c r="AB728" s="1"/>
      <c r="AC728" s="1"/>
      <c r="AD728" s="1"/>
    </row>
    <row r="729" customFormat="false" ht="18" hidden="false" customHeight="true" outlineLevel="0" collapsed="false">
      <c r="A729" s="1"/>
      <c r="B729" s="35"/>
      <c r="C729" s="8"/>
      <c r="D729" s="26"/>
      <c r="E729" s="27"/>
      <c r="F729" s="36"/>
      <c r="G729" s="36"/>
      <c r="H729" s="36"/>
      <c r="I729" s="36"/>
      <c r="J729" s="37" t="str">
        <f aca="false">IF($E729="","",IFERROR(G729/F729,""))</f>
        <v/>
      </c>
      <c r="K729" s="30" t="str">
        <f aca="false">IF($E729="","",IFERROR(E729/G729,""))</f>
        <v/>
      </c>
      <c r="L729" s="30" t="str">
        <f aca="false">IF($E729="","",IFERROR(E729/F729*1000,""))</f>
        <v/>
      </c>
      <c r="M729" s="37" t="str">
        <f aca="false">IF($E729="","",IFERROR(H729/G729,""))</f>
        <v/>
      </c>
      <c r="N729" s="30" t="str">
        <f aca="false">IF($E729="","",IFERROR(E729/H729,"—"))</f>
        <v/>
      </c>
      <c r="O729" s="30" t="str">
        <f aca="false">IF($E729="","",IFERROR(INDEX('Гео-калькулятор'!$K$7:$K$13,MATCH($C729,'Гео-калькулятор'!$B$7:$B$13,0)),""))</f>
        <v/>
      </c>
      <c r="P729" s="38" t="str">
        <f aca="false">IF($E729="","",IFERROR(N729/O729,""))</f>
        <v/>
      </c>
      <c r="Q729" s="39" t="str">
        <f aca="false">IF($E729="","",IF($I729&lt;&gt;"",$I729,N($H729)*IFERROR(INDEX('Гео-калькулятор'!$E$7:$E$13,MATCH($C729,'Гео-калькулятор'!$B$7:$B$13,0)),0)))</f>
        <v/>
      </c>
      <c r="R729" s="38" t="str">
        <f aca="false">IF($E729="","",IFERROR(Q729/H729,""))</f>
        <v/>
      </c>
      <c r="S729" s="30" t="str">
        <f aca="false">IF($E729="","",IFERROR(E729/Q729,"—"))</f>
        <v/>
      </c>
      <c r="T729" s="30" t="str">
        <f aca="false">IF($E729="","",Q729*IFERROR(INDEX('Гео-калькулятор'!$D$7:$D$13,MATCH($C729,'Гео-калькулятор'!$B$7:$B$13,0)),0))</f>
        <v/>
      </c>
      <c r="U729" s="40" t="str">
        <f aca="false">IF($E729="","",T729-E729)</f>
        <v/>
      </c>
      <c r="V729" s="41" t="str">
        <f aca="false">IF($E729="","",IFERROR(U729/E729,""))</f>
        <v/>
      </c>
      <c r="W729" s="10" t="str">
        <f aca="false">IF($E729="","",IF($I729&lt;&gt;"","факт","прогноз"))</f>
        <v/>
      </c>
      <c r="X729" s="1"/>
      <c r="Y729" s="1"/>
      <c r="Z729" s="1"/>
      <c r="AA729" s="1"/>
      <c r="AB729" s="1"/>
      <c r="AC729" s="1"/>
      <c r="AD729" s="1"/>
    </row>
    <row r="730" customFormat="false" ht="18" hidden="false" customHeight="true" outlineLevel="0" collapsed="false">
      <c r="A730" s="1"/>
      <c r="B730" s="35"/>
      <c r="C730" s="8"/>
      <c r="D730" s="26"/>
      <c r="E730" s="27"/>
      <c r="F730" s="36"/>
      <c r="G730" s="36"/>
      <c r="H730" s="36"/>
      <c r="I730" s="36"/>
      <c r="J730" s="37" t="str">
        <f aca="false">IF($E730="","",IFERROR(G730/F730,""))</f>
        <v/>
      </c>
      <c r="K730" s="30" t="str">
        <f aca="false">IF($E730="","",IFERROR(E730/G730,""))</f>
        <v/>
      </c>
      <c r="L730" s="30" t="str">
        <f aca="false">IF($E730="","",IFERROR(E730/F730*1000,""))</f>
        <v/>
      </c>
      <c r="M730" s="37" t="str">
        <f aca="false">IF($E730="","",IFERROR(H730/G730,""))</f>
        <v/>
      </c>
      <c r="N730" s="30" t="str">
        <f aca="false">IF($E730="","",IFERROR(E730/H730,"—"))</f>
        <v/>
      </c>
      <c r="O730" s="30" t="str">
        <f aca="false">IF($E730="","",IFERROR(INDEX('Гео-калькулятор'!$K$7:$K$13,MATCH($C730,'Гео-калькулятор'!$B$7:$B$13,0)),""))</f>
        <v/>
      </c>
      <c r="P730" s="38" t="str">
        <f aca="false">IF($E730="","",IFERROR(N730/O730,""))</f>
        <v/>
      </c>
      <c r="Q730" s="39" t="str">
        <f aca="false">IF($E730="","",IF($I730&lt;&gt;"",$I730,N($H730)*IFERROR(INDEX('Гео-калькулятор'!$E$7:$E$13,MATCH($C730,'Гео-калькулятор'!$B$7:$B$13,0)),0)))</f>
        <v/>
      </c>
      <c r="R730" s="38" t="str">
        <f aca="false">IF($E730="","",IFERROR(Q730/H730,""))</f>
        <v/>
      </c>
      <c r="S730" s="30" t="str">
        <f aca="false">IF($E730="","",IFERROR(E730/Q730,"—"))</f>
        <v/>
      </c>
      <c r="T730" s="30" t="str">
        <f aca="false">IF($E730="","",Q730*IFERROR(INDEX('Гео-калькулятор'!$D$7:$D$13,MATCH($C730,'Гео-калькулятор'!$B$7:$B$13,0)),0))</f>
        <v/>
      </c>
      <c r="U730" s="40" t="str">
        <f aca="false">IF($E730="","",T730-E730)</f>
        <v/>
      </c>
      <c r="V730" s="41" t="str">
        <f aca="false">IF($E730="","",IFERROR(U730/E730,""))</f>
        <v/>
      </c>
      <c r="W730" s="10" t="str">
        <f aca="false">IF($E730="","",IF($I730&lt;&gt;"","факт","прогноз"))</f>
        <v/>
      </c>
      <c r="X730" s="1"/>
      <c r="Y730" s="1"/>
      <c r="Z730" s="1"/>
      <c r="AA730" s="1"/>
      <c r="AB730" s="1"/>
      <c r="AC730" s="1"/>
      <c r="AD730" s="1"/>
    </row>
    <row r="731" customFormat="false" ht="18" hidden="false" customHeight="true" outlineLevel="0" collapsed="false">
      <c r="A731" s="1"/>
      <c r="B731" s="35"/>
      <c r="C731" s="8"/>
      <c r="D731" s="26"/>
      <c r="E731" s="27"/>
      <c r="F731" s="36"/>
      <c r="G731" s="36"/>
      <c r="H731" s="36"/>
      <c r="I731" s="36"/>
      <c r="J731" s="37" t="str">
        <f aca="false">IF($E731="","",IFERROR(G731/F731,""))</f>
        <v/>
      </c>
      <c r="K731" s="30" t="str">
        <f aca="false">IF($E731="","",IFERROR(E731/G731,""))</f>
        <v/>
      </c>
      <c r="L731" s="30" t="str">
        <f aca="false">IF($E731="","",IFERROR(E731/F731*1000,""))</f>
        <v/>
      </c>
      <c r="M731" s="37" t="str">
        <f aca="false">IF($E731="","",IFERROR(H731/G731,""))</f>
        <v/>
      </c>
      <c r="N731" s="30" t="str">
        <f aca="false">IF($E731="","",IFERROR(E731/H731,"—"))</f>
        <v/>
      </c>
      <c r="O731" s="30" t="str">
        <f aca="false">IF($E731="","",IFERROR(INDEX('Гео-калькулятор'!$K$7:$K$13,MATCH($C731,'Гео-калькулятор'!$B$7:$B$13,0)),""))</f>
        <v/>
      </c>
      <c r="P731" s="38" t="str">
        <f aca="false">IF($E731="","",IFERROR(N731/O731,""))</f>
        <v/>
      </c>
      <c r="Q731" s="39" t="str">
        <f aca="false">IF($E731="","",IF($I731&lt;&gt;"",$I731,N($H731)*IFERROR(INDEX('Гео-калькулятор'!$E$7:$E$13,MATCH($C731,'Гео-калькулятор'!$B$7:$B$13,0)),0)))</f>
        <v/>
      </c>
      <c r="R731" s="38" t="str">
        <f aca="false">IF($E731="","",IFERROR(Q731/H731,""))</f>
        <v/>
      </c>
      <c r="S731" s="30" t="str">
        <f aca="false">IF($E731="","",IFERROR(E731/Q731,"—"))</f>
        <v/>
      </c>
      <c r="T731" s="30" t="str">
        <f aca="false">IF($E731="","",Q731*IFERROR(INDEX('Гео-калькулятор'!$D$7:$D$13,MATCH($C731,'Гео-калькулятор'!$B$7:$B$13,0)),0))</f>
        <v/>
      </c>
      <c r="U731" s="40" t="str">
        <f aca="false">IF($E731="","",T731-E731)</f>
        <v/>
      </c>
      <c r="V731" s="41" t="str">
        <f aca="false">IF($E731="","",IFERROR(U731/E731,""))</f>
        <v/>
      </c>
      <c r="W731" s="10" t="str">
        <f aca="false">IF($E731="","",IF($I731&lt;&gt;"","факт","прогноз"))</f>
        <v/>
      </c>
      <c r="X731" s="1"/>
      <c r="Y731" s="1"/>
      <c r="Z731" s="1"/>
      <c r="AA731" s="1"/>
      <c r="AB731" s="1"/>
      <c r="AC731" s="1"/>
      <c r="AD731" s="1"/>
    </row>
    <row r="732" customFormat="false" ht="18" hidden="false" customHeight="true" outlineLevel="0" collapsed="false">
      <c r="A732" s="1"/>
      <c r="B732" s="35"/>
      <c r="C732" s="8"/>
      <c r="D732" s="26"/>
      <c r="E732" s="27"/>
      <c r="F732" s="36"/>
      <c r="G732" s="36"/>
      <c r="H732" s="36"/>
      <c r="I732" s="36"/>
      <c r="J732" s="37" t="str">
        <f aca="false">IF($E732="","",IFERROR(G732/F732,""))</f>
        <v/>
      </c>
      <c r="K732" s="30" t="str">
        <f aca="false">IF($E732="","",IFERROR(E732/G732,""))</f>
        <v/>
      </c>
      <c r="L732" s="30" t="str">
        <f aca="false">IF($E732="","",IFERROR(E732/F732*1000,""))</f>
        <v/>
      </c>
      <c r="M732" s="37" t="str">
        <f aca="false">IF($E732="","",IFERROR(H732/G732,""))</f>
        <v/>
      </c>
      <c r="N732" s="30" t="str">
        <f aca="false">IF($E732="","",IFERROR(E732/H732,"—"))</f>
        <v/>
      </c>
      <c r="O732" s="30" t="str">
        <f aca="false">IF($E732="","",IFERROR(INDEX('Гео-калькулятор'!$K$7:$K$13,MATCH($C732,'Гео-калькулятор'!$B$7:$B$13,0)),""))</f>
        <v/>
      </c>
      <c r="P732" s="38" t="str">
        <f aca="false">IF($E732="","",IFERROR(N732/O732,""))</f>
        <v/>
      </c>
      <c r="Q732" s="39" t="str">
        <f aca="false">IF($E732="","",IF($I732&lt;&gt;"",$I732,N($H732)*IFERROR(INDEX('Гео-калькулятор'!$E$7:$E$13,MATCH($C732,'Гео-калькулятор'!$B$7:$B$13,0)),0)))</f>
        <v/>
      </c>
      <c r="R732" s="38" t="str">
        <f aca="false">IF($E732="","",IFERROR(Q732/H732,""))</f>
        <v/>
      </c>
      <c r="S732" s="30" t="str">
        <f aca="false">IF($E732="","",IFERROR(E732/Q732,"—"))</f>
        <v/>
      </c>
      <c r="T732" s="30" t="str">
        <f aca="false">IF($E732="","",Q732*IFERROR(INDEX('Гео-калькулятор'!$D$7:$D$13,MATCH($C732,'Гео-калькулятор'!$B$7:$B$13,0)),0))</f>
        <v/>
      </c>
      <c r="U732" s="40" t="str">
        <f aca="false">IF($E732="","",T732-E732)</f>
        <v/>
      </c>
      <c r="V732" s="41" t="str">
        <f aca="false">IF($E732="","",IFERROR(U732/E732,""))</f>
        <v/>
      </c>
      <c r="W732" s="10" t="str">
        <f aca="false">IF($E732="","",IF($I732&lt;&gt;"","факт","прогноз"))</f>
        <v/>
      </c>
      <c r="X732" s="1"/>
      <c r="Y732" s="1"/>
      <c r="Z732" s="1"/>
      <c r="AA732" s="1"/>
      <c r="AB732" s="1"/>
      <c r="AC732" s="1"/>
      <c r="AD732" s="1"/>
    </row>
    <row r="733" customFormat="false" ht="18" hidden="false" customHeight="true" outlineLevel="0" collapsed="false">
      <c r="A733" s="1"/>
      <c r="B733" s="35"/>
      <c r="C733" s="8"/>
      <c r="D733" s="26"/>
      <c r="E733" s="27"/>
      <c r="F733" s="36"/>
      <c r="G733" s="36"/>
      <c r="H733" s="36"/>
      <c r="I733" s="36"/>
      <c r="J733" s="37" t="str">
        <f aca="false">IF($E733="","",IFERROR(G733/F733,""))</f>
        <v/>
      </c>
      <c r="K733" s="30" t="str">
        <f aca="false">IF($E733="","",IFERROR(E733/G733,""))</f>
        <v/>
      </c>
      <c r="L733" s="30" t="str">
        <f aca="false">IF($E733="","",IFERROR(E733/F733*1000,""))</f>
        <v/>
      </c>
      <c r="M733" s="37" t="str">
        <f aca="false">IF($E733="","",IFERROR(H733/G733,""))</f>
        <v/>
      </c>
      <c r="N733" s="30" t="str">
        <f aca="false">IF($E733="","",IFERROR(E733/H733,"—"))</f>
        <v/>
      </c>
      <c r="O733" s="30" t="str">
        <f aca="false">IF($E733="","",IFERROR(INDEX('Гео-калькулятор'!$K$7:$K$13,MATCH($C733,'Гео-калькулятор'!$B$7:$B$13,0)),""))</f>
        <v/>
      </c>
      <c r="P733" s="38" t="str">
        <f aca="false">IF($E733="","",IFERROR(N733/O733,""))</f>
        <v/>
      </c>
      <c r="Q733" s="39" t="str">
        <f aca="false">IF($E733="","",IF($I733&lt;&gt;"",$I733,N($H733)*IFERROR(INDEX('Гео-калькулятор'!$E$7:$E$13,MATCH($C733,'Гео-калькулятор'!$B$7:$B$13,0)),0)))</f>
        <v/>
      </c>
      <c r="R733" s="38" t="str">
        <f aca="false">IF($E733="","",IFERROR(Q733/H733,""))</f>
        <v/>
      </c>
      <c r="S733" s="30" t="str">
        <f aca="false">IF($E733="","",IFERROR(E733/Q733,"—"))</f>
        <v/>
      </c>
      <c r="T733" s="30" t="str">
        <f aca="false">IF($E733="","",Q733*IFERROR(INDEX('Гео-калькулятор'!$D$7:$D$13,MATCH($C733,'Гео-калькулятор'!$B$7:$B$13,0)),0))</f>
        <v/>
      </c>
      <c r="U733" s="40" t="str">
        <f aca="false">IF($E733="","",T733-E733)</f>
        <v/>
      </c>
      <c r="V733" s="41" t="str">
        <f aca="false">IF($E733="","",IFERROR(U733/E733,""))</f>
        <v/>
      </c>
      <c r="W733" s="10" t="str">
        <f aca="false">IF($E733="","",IF($I733&lt;&gt;"","факт","прогноз"))</f>
        <v/>
      </c>
      <c r="X733" s="1"/>
      <c r="Y733" s="1"/>
      <c r="Z733" s="1"/>
      <c r="AA733" s="1"/>
      <c r="AB733" s="1"/>
      <c r="AC733" s="1"/>
      <c r="AD733" s="1"/>
    </row>
    <row r="734" customFormat="false" ht="18" hidden="false" customHeight="true" outlineLevel="0" collapsed="false">
      <c r="A734" s="1"/>
      <c r="B734" s="35"/>
      <c r="C734" s="8"/>
      <c r="D734" s="26"/>
      <c r="E734" s="27"/>
      <c r="F734" s="36"/>
      <c r="G734" s="36"/>
      <c r="H734" s="36"/>
      <c r="I734" s="36"/>
      <c r="J734" s="37" t="str">
        <f aca="false">IF($E734="","",IFERROR(G734/F734,""))</f>
        <v/>
      </c>
      <c r="K734" s="30" t="str">
        <f aca="false">IF($E734="","",IFERROR(E734/G734,""))</f>
        <v/>
      </c>
      <c r="L734" s="30" t="str">
        <f aca="false">IF($E734="","",IFERROR(E734/F734*1000,""))</f>
        <v/>
      </c>
      <c r="M734" s="37" t="str">
        <f aca="false">IF($E734="","",IFERROR(H734/G734,""))</f>
        <v/>
      </c>
      <c r="N734" s="30" t="str">
        <f aca="false">IF($E734="","",IFERROR(E734/H734,"—"))</f>
        <v/>
      </c>
      <c r="O734" s="30" t="str">
        <f aca="false">IF($E734="","",IFERROR(INDEX('Гео-калькулятор'!$K$7:$K$13,MATCH($C734,'Гео-калькулятор'!$B$7:$B$13,0)),""))</f>
        <v/>
      </c>
      <c r="P734" s="38" t="str">
        <f aca="false">IF($E734="","",IFERROR(N734/O734,""))</f>
        <v/>
      </c>
      <c r="Q734" s="39" t="str">
        <f aca="false">IF($E734="","",IF($I734&lt;&gt;"",$I734,N($H734)*IFERROR(INDEX('Гео-калькулятор'!$E$7:$E$13,MATCH($C734,'Гео-калькулятор'!$B$7:$B$13,0)),0)))</f>
        <v/>
      </c>
      <c r="R734" s="38" t="str">
        <f aca="false">IF($E734="","",IFERROR(Q734/H734,""))</f>
        <v/>
      </c>
      <c r="S734" s="30" t="str">
        <f aca="false">IF($E734="","",IFERROR(E734/Q734,"—"))</f>
        <v/>
      </c>
      <c r="T734" s="30" t="str">
        <f aca="false">IF($E734="","",Q734*IFERROR(INDEX('Гео-калькулятор'!$D$7:$D$13,MATCH($C734,'Гео-калькулятор'!$B$7:$B$13,0)),0))</f>
        <v/>
      </c>
      <c r="U734" s="40" t="str">
        <f aca="false">IF($E734="","",T734-E734)</f>
        <v/>
      </c>
      <c r="V734" s="41" t="str">
        <f aca="false">IF($E734="","",IFERROR(U734/E734,""))</f>
        <v/>
      </c>
      <c r="W734" s="10" t="str">
        <f aca="false">IF($E734="","",IF($I734&lt;&gt;"","факт","прогноз"))</f>
        <v/>
      </c>
      <c r="X734" s="1"/>
      <c r="Y734" s="1"/>
      <c r="Z734" s="1"/>
      <c r="AA734" s="1"/>
      <c r="AB734" s="1"/>
      <c r="AC734" s="1"/>
      <c r="AD734" s="1"/>
    </row>
    <row r="735" customFormat="false" ht="18" hidden="false" customHeight="true" outlineLevel="0" collapsed="false">
      <c r="A735" s="1"/>
      <c r="B735" s="35"/>
      <c r="C735" s="8"/>
      <c r="D735" s="26"/>
      <c r="E735" s="27"/>
      <c r="F735" s="36"/>
      <c r="G735" s="36"/>
      <c r="H735" s="36"/>
      <c r="I735" s="36"/>
      <c r="J735" s="37" t="str">
        <f aca="false">IF($E735="","",IFERROR(G735/F735,""))</f>
        <v/>
      </c>
      <c r="K735" s="30" t="str">
        <f aca="false">IF($E735="","",IFERROR(E735/G735,""))</f>
        <v/>
      </c>
      <c r="L735" s="30" t="str">
        <f aca="false">IF($E735="","",IFERROR(E735/F735*1000,""))</f>
        <v/>
      </c>
      <c r="M735" s="37" t="str">
        <f aca="false">IF($E735="","",IFERROR(H735/G735,""))</f>
        <v/>
      </c>
      <c r="N735" s="30" t="str">
        <f aca="false">IF($E735="","",IFERROR(E735/H735,"—"))</f>
        <v/>
      </c>
      <c r="O735" s="30" t="str">
        <f aca="false">IF($E735="","",IFERROR(INDEX('Гео-калькулятор'!$K$7:$K$13,MATCH($C735,'Гео-калькулятор'!$B$7:$B$13,0)),""))</f>
        <v/>
      </c>
      <c r="P735" s="38" t="str">
        <f aca="false">IF($E735="","",IFERROR(N735/O735,""))</f>
        <v/>
      </c>
      <c r="Q735" s="39" t="str">
        <f aca="false">IF($E735="","",IF($I735&lt;&gt;"",$I735,N($H735)*IFERROR(INDEX('Гео-калькулятор'!$E$7:$E$13,MATCH($C735,'Гео-калькулятор'!$B$7:$B$13,0)),0)))</f>
        <v/>
      </c>
      <c r="R735" s="38" t="str">
        <f aca="false">IF($E735="","",IFERROR(Q735/H735,""))</f>
        <v/>
      </c>
      <c r="S735" s="30" t="str">
        <f aca="false">IF($E735="","",IFERROR(E735/Q735,"—"))</f>
        <v/>
      </c>
      <c r="T735" s="30" t="str">
        <f aca="false">IF($E735="","",Q735*IFERROR(INDEX('Гео-калькулятор'!$D$7:$D$13,MATCH($C735,'Гео-калькулятор'!$B$7:$B$13,0)),0))</f>
        <v/>
      </c>
      <c r="U735" s="40" t="str">
        <f aca="false">IF($E735="","",T735-E735)</f>
        <v/>
      </c>
      <c r="V735" s="41" t="str">
        <f aca="false">IF($E735="","",IFERROR(U735/E735,""))</f>
        <v/>
      </c>
      <c r="W735" s="10" t="str">
        <f aca="false">IF($E735="","",IF($I735&lt;&gt;"","факт","прогноз"))</f>
        <v/>
      </c>
      <c r="X735" s="1"/>
      <c r="Y735" s="1"/>
      <c r="Z735" s="1"/>
      <c r="AA735" s="1"/>
      <c r="AB735" s="1"/>
      <c r="AC735" s="1"/>
      <c r="AD735" s="1"/>
    </row>
    <row r="736" customFormat="false" ht="18" hidden="false" customHeight="true" outlineLevel="0" collapsed="false">
      <c r="A736" s="1"/>
      <c r="B736" s="35"/>
      <c r="C736" s="8"/>
      <c r="D736" s="26"/>
      <c r="E736" s="27"/>
      <c r="F736" s="36"/>
      <c r="G736" s="36"/>
      <c r="H736" s="36"/>
      <c r="I736" s="36"/>
      <c r="J736" s="37" t="str">
        <f aca="false">IF($E736="","",IFERROR(G736/F736,""))</f>
        <v/>
      </c>
      <c r="K736" s="30" t="str">
        <f aca="false">IF($E736="","",IFERROR(E736/G736,""))</f>
        <v/>
      </c>
      <c r="L736" s="30" t="str">
        <f aca="false">IF($E736="","",IFERROR(E736/F736*1000,""))</f>
        <v/>
      </c>
      <c r="M736" s="37" t="str">
        <f aca="false">IF($E736="","",IFERROR(H736/G736,""))</f>
        <v/>
      </c>
      <c r="N736" s="30" t="str">
        <f aca="false">IF($E736="","",IFERROR(E736/H736,"—"))</f>
        <v/>
      </c>
      <c r="O736" s="30" t="str">
        <f aca="false">IF($E736="","",IFERROR(INDEX('Гео-калькулятор'!$K$7:$K$13,MATCH($C736,'Гео-калькулятор'!$B$7:$B$13,0)),""))</f>
        <v/>
      </c>
      <c r="P736" s="38" t="str">
        <f aca="false">IF($E736="","",IFERROR(N736/O736,""))</f>
        <v/>
      </c>
      <c r="Q736" s="39" t="str">
        <f aca="false">IF($E736="","",IF($I736&lt;&gt;"",$I736,N($H736)*IFERROR(INDEX('Гео-калькулятор'!$E$7:$E$13,MATCH($C736,'Гео-калькулятор'!$B$7:$B$13,0)),0)))</f>
        <v/>
      </c>
      <c r="R736" s="38" t="str">
        <f aca="false">IF($E736="","",IFERROR(Q736/H736,""))</f>
        <v/>
      </c>
      <c r="S736" s="30" t="str">
        <f aca="false">IF($E736="","",IFERROR(E736/Q736,"—"))</f>
        <v/>
      </c>
      <c r="T736" s="30" t="str">
        <f aca="false">IF($E736="","",Q736*IFERROR(INDEX('Гео-калькулятор'!$D$7:$D$13,MATCH($C736,'Гео-калькулятор'!$B$7:$B$13,0)),0))</f>
        <v/>
      </c>
      <c r="U736" s="40" t="str">
        <f aca="false">IF($E736="","",T736-E736)</f>
        <v/>
      </c>
      <c r="V736" s="41" t="str">
        <f aca="false">IF($E736="","",IFERROR(U736/E736,""))</f>
        <v/>
      </c>
      <c r="W736" s="10" t="str">
        <f aca="false">IF($E736="","",IF($I736&lt;&gt;"","факт","прогноз"))</f>
        <v/>
      </c>
      <c r="X736" s="1"/>
      <c r="Y736" s="1"/>
      <c r="Z736" s="1"/>
      <c r="AA736" s="1"/>
      <c r="AB736" s="1"/>
      <c r="AC736" s="1"/>
      <c r="AD736" s="1"/>
    </row>
    <row r="737" customFormat="false" ht="18" hidden="false" customHeight="true" outlineLevel="0" collapsed="false">
      <c r="A737" s="1"/>
      <c r="B737" s="35"/>
      <c r="C737" s="8"/>
      <c r="D737" s="26"/>
      <c r="E737" s="27"/>
      <c r="F737" s="36"/>
      <c r="G737" s="36"/>
      <c r="H737" s="36"/>
      <c r="I737" s="36"/>
      <c r="J737" s="37" t="str">
        <f aca="false">IF($E737="","",IFERROR(G737/F737,""))</f>
        <v/>
      </c>
      <c r="K737" s="30" t="str">
        <f aca="false">IF($E737="","",IFERROR(E737/G737,""))</f>
        <v/>
      </c>
      <c r="L737" s="30" t="str">
        <f aca="false">IF($E737="","",IFERROR(E737/F737*1000,""))</f>
        <v/>
      </c>
      <c r="M737" s="37" t="str">
        <f aca="false">IF($E737="","",IFERROR(H737/G737,""))</f>
        <v/>
      </c>
      <c r="N737" s="30" t="str">
        <f aca="false">IF($E737="","",IFERROR(E737/H737,"—"))</f>
        <v/>
      </c>
      <c r="O737" s="30" t="str">
        <f aca="false">IF($E737="","",IFERROR(INDEX('Гео-калькулятор'!$K$7:$K$13,MATCH($C737,'Гео-калькулятор'!$B$7:$B$13,0)),""))</f>
        <v/>
      </c>
      <c r="P737" s="38" t="str">
        <f aca="false">IF($E737="","",IFERROR(N737/O737,""))</f>
        <v/>
      </c>
      <c r="Q737" s="39" t="str">
        <f aca="false">IF($E737="","",IF($I737&lt;&gt;"",$I737,N($H737)*IFERROR(INDEX('Гео-калькулятор'!$E$7:$E$13,MATCH($C737,'Гео-калькулятор'!$B$7:$B$13,0)),0)))</f>
        <v/>
      </c>
      <c r="R737" s="38" t="str">
        <f aca="false">IF($E737="","",IFERROR(Q737/H737,""))</f>
        <v/>
      </c>
      <c r="S737" s="30" t="str">
        <f aca="false">IF($E737="","",IFERROR(E737/Q737,"—"))</f>
        <v/>
      </c>
      <c r="T737" s="30" t="str">
        <f aca="false">IF($E737="","",Q737*IFERROR(INDEX('Гео-калькулятор'!$D$7:$D$13,MATCH($C737,'Гео-калькулятор'!$B$7:$B$13,0)),0))</f>
        <v/>
      </c>
      <c r="U737" s="40" t="str">
        <f aca="false">IF($E737="","",T737-E737)</f>
        <v/>
      </c>
      <c r="V737" s="41" t="str">
        <f aca="false">IF($E737="","",IFERROR(U737/E737,""))</f>
        <v/>
      </c>
      <c r="W737" s="10" t="str">
        <f aca="false">IF($E737="","",IF($I737&lt;&gt;"","факт","прогноз"))</f>
        <v/>
      </c>
      <c r="X737" s="1"/>
      <c r="Y737" s="1"/>
      <c r="Z737" s="1"/>
      <c r="AA737" s="1"/>
      <c r="AB737" s="1"/>
      <c r="AC737" s="1"/>
      <c r="AD737" s="1"/>
    </row>
    <row r="738" customFormat="false" ht="18" hidden="false" customHeight="true" outlineLevel="0" collapsed="false">
      <c r="A738" s="1"/>
      <c r="B738" s="35"/>
      <c r="C738" s="8"/>
      <c r="D738" s="26"/>
      <c r="E738" s="27"/>
      <c r="F738" s="36"/>
      <c r="G738" s="36"/>
      <c r="H738" s="36"/>
      <c r="I738" s="36"/>
      <c r="J738" s="37" t="str">
        <f aca="false">IF($E738="","",IFERROR(G738/F738,""))</f>
        <v/>
      </c>
      <c r="K738" s="30" t="str">
        <f aca="false">IF($E738="","",IFERROR(E738/G738,""))</f>
        <v/>
      </c>
      <c r="L738" s="30" t="str">
        <f aca="false">IF($E738="","",IFERROR(E738/F738*1000,""))</f>
        <v/>
      </c>
      <c r="M738" s="37" t="str">
        <f aca="false">IF($E738="","",IFERROR(H738/G738,""))</f>
        <v/>
      </c>
      <c r="N738" s="30" t="str">
        <f aca="false">IF($E738="","",IFERROR(E738/H738,"—"))</f>
        <v/>
      </c>
      <c r="O738" s="30" t="str">
        <f aca="false">IF($E738="","",IFERROR(INDEX('Гео-калькулятор'!$K$7:$K$13,MATCH($C738,'Гео-калькулятор'!$B$7:$B$13,0)),""))</f>
        <v/>
      </c>
      <c r="P738" s="38" t="str">
        <f aca="false">IF($E738="","",IFERROR(N738/O738,""))</f>
        <v/>
      </c>
      <c r="Q738" s="39" t="str">
        <f aca="false">IF($E738="","",IF($I738&lt;&gt;"",$I738,N($H738)*IFERROR(INDEX('Гео-калькулятор'!$E$7:$E$13,MATCH($C738,'Гео-калькулятор'!$B$7:$B$13,0)),0)))</f>
        <v/>
      </c>
      <c r="R738" s="38" t="str">
        <f aca="false">IF($E738="","",IFERROR(Q738/H738,""))</f>
        <v/>
      </c>
      <c r="S738" s="30" t="str">
        <f aca="false">IF($E738="","",IFERROR(E738/Q738,"—"))</f>
        <v/>
      </c>
      <c r="T738" s="30" t="str">
        <f aca="false">IF($E738="","",Q738*IFERROR(INDEX('Гео-калькулятор'!$D$7:$D$13,MATCH($C738,'Гео-калькулятор'!$B$7:$B$13,0)),0))</f>
        <v/>
      </c>
      <c r="U738" s="40" t="str">
        <f aca="false">IF($E738="","",T738-E738)</f>
        <v/>
      </c>
      <c r="V738" s="41" t="str">
        <f aca="false">IF($E738="","",IFERROR(U738/E738,""))</f>
        <v/>
      </c>
      <c r="W738" s="10" t="str">
        <f aca="false">IF($E738="","",IF($I738&lt;&gt;"","факт","прогноз"))</f>
        <v/>
      </c>
      <c r="X738" s="1"/>
      <c r="Y738" s="1"/>
      <c r="Z738" s="1"/>
      <c r="AA738" s="1"/>
      <c r="AB738" s="1"/>
      <c r="AC738" s="1"/>
      <c r="AD738" s="1"/>
    </row>
    <row r="739" customFormat="false" ht="18" hidden="false" customHeight="true" outlineLevel="0" collapsed="false">
      <c r="A739" s="1"/>
      <c r="B739" s="35"/>
      <c r="C739" s="8"/>
      <c r="D739" s="26"/>
      <c r="E739" s="27"/>
      <c r="F739" s="36"/>
      <c r="G739" s="36"/>
      <c r="H739" s="36"/>
      <c r="I739" s="36"/>
      <c r="J739" s="37" t="str">
        <f aca="false">IF($E739="","",IFERROR(G739/F739,""))</f>
        <v/>
      </c>
      <c r="K739" s="30" t="str">
        <f aca="false">IF($E739="","",IFERROR(E739/G739,""))</f>
        <v/>
      </c>
      <c r="L739" s="30" t="str">
        <f aca="false">IF($E739="","",IFERROR(E739/F739*1000,""))</f>
        <v/>
      </c>
      <c r="M739" s="37" t="str">
        <f aca="false">IF($E739="","",IFERROR(H739/G739,""))</f>
        <v/>
      </c>
      <c r="N739" s="30" t="str">
        <f aca="false">IF($E739="","",IFERROR(E739/H739,"—"))</f>
        <v/>
      </c>
      <c r="O739" s="30" t="str">
        <f aca="false">IF($E739="","",IFERROR(INDEX('Гео-калькулятор'!$K$7:$K$13,MATCH($C739,'Гео-калькулятор'!$B$7:$B$13,0)),""))</f>
        <v/>
      </c>
      <c r="P739" s="38" t="str">
        <f aca="false">IF($E739="","",IFERROR(N739/O739,""))</f>
        <v/>
      </c>
      <c r="Q739" s="39" t="str">
        <f aca="false">IF($E739="","",IF($I739&lt;&gt;"",$I739,N($H739)*IFERROR(INDEX('Гео-калькулятор'!$E$7:$E$13,MATCH($C739,'Гео-калькулятор'!$B$7:$B$13,0)),0)))</f>
        <v/>
      </c>
      <c r="R739" s="38" t="str">
        <f aca="false">IF($E739="","",IFERROR(Q739/H739,""))</f>
        <v/>
      </c>
      <c r="S739" s="30" t="str">
        <f aca="false">IF($E739="","",IFERROR(E739/Q739,"—"))</f>
        <v/>
      </c>
      <c r="T739" s="30" t="str">
        <f aca="false">IF($E739="","",Q739*IFERROR(INDEX('Гео-калькулятор'!$D$7:$D$13,MATCH($C739,'Гео-калькулятор'!$B$7:$B$13,0)),0))</f>
        <v/>
      </c>
      <c r="U739" s="40" t="str">
        <f aca="false">IF($E739="","",T739-E739)</f>
        <v/>
      </c>
      <c r="V739" s="41" t="str">
        <f aca="false">IF($E739="","",IFERROR(U739/E739,""))</f>
        <v/>
      </c>
      <c r="W739" s="10" t="str">
        <f aca="false">IF($E739="","",IF($I739&lt;&gt;"","факт","прогноз"))</f>
        <v/>
      </c>
      <c r="X739" s="1"/>
      <c r="Y739" s="1"/>
      <c r="Z739" s="1"/>
      <c r="AA739" s="1"/>
      <c r="AB739" s="1"/>
      <c r="AC739" s="1"/>
      <c r="AD739" s="1"/>
    </row>
    <row r="740" customFormat="false" ht="18" hidden="false" customHeight="true" outlineLevel="0" collapsed="false">
      <c r="A740" s="1"/>
      <c r="B740" s="35"/>
      <c r="C740" s="8"/>
      <c r="D740" s="26"/>
      <c r="E740" s="27"/>
      <c r="F740" s="36"/>
      <c r="G740" s="36"/>
      <c r="H740" s="36"/>
      <c r="I740" s="36"/>
      <c r="J740" s="37" t="str">
        <f aca="false">IF($E740="","",IFERROR(G740/F740,""))</f>
        <v/>
      </c>
      <c r="K740" s="30" t="str">
        <f aca="false">IF($E740="","",IFERROR(E740/G740,""))</f>
        <v/>
      </c>
      <c r="L740" s="30" t="str">
        <f aca="false">IF($E740="","",IFERROR(E740/F740*1000,""))</f>
        <v/>
      </c>
      <c r="M740" s="37" t="str">
        <f aca="false">IF($E740="","",IFERROR(H740/G740,""))</f>
        <v/>
      </c>
      <c r="N740" s="30" t="str">
        <f aca="false">IF($E740="","",IFERROR(E740/H740,"—"))</f>
        <v/>
      </c>
      <c r="O740" s="30" t="str">
        <f aca="false">IF($E740="","",IFERROR(INDEX('Гео-калькулятор'!$K$7:$K$13,MATCH($C740,'Гео-калькулятор'!$B$7:$B$13,0)),""))</f>
        <v/>
      </c>
      <c r="P740" s="38" t="str">
        <f aca="false">IF($E740="","",IFERROR(N740/O740,""))</f>
        <v/>
      </c>
      <c r="Q740" s="39" t="str">
        <f aca="false">IF($E740="","",IF($I740&lt;&gt;"",$I740,N($H740)*IFERROR(INDEX('Гео-калькулятор'!$E$7:$E$13,MATCH($C740,'Гео-калькулятор'!$B$7:$B$13,0)),0)))</f>
        <v/>
      </c>
      <c r="R740" s="38" t="str">
        <f aca="false">IF($E740="","",IFERROR(Q740/H740,""))</f>
        <v/>
      </c>
      <c r="S740" s="30" t="str">
        <f aca="false">IF($E740="","",IFERROR(E740/Q740,"—"))</f>
        <v/>
      </c>
      <c r="T740" s="30" t="str">
        <f aca="false">IF($E740="","",Q740*IFERROR(INDEX('Гео-калькулятор'!$D$7:$D$13,MATCH($C740,'Гео-калькулятор'!$B$7:$B$13,0)),0))</f>
        <v/>
      </c>
      <c r="U740" s="40" t="str">
        <f aca="false">IF($E740="","",T740-E740)</f>
        <v/>
      </c>
      <c r="V740" s="41" t="str">
        <f aca="false">IF($E740="","",IFERROR(U740/E740,""))</f>
        <v/>
      </c>
      <c r="W740" s="10" t="str">
        <f aca="false">IF($E740="","",IF($I740&lt;&gt;"","факт","прогноз"))</f>
        <v/>
      </c>
      <c r="X740" s="1"/>
      <c r="Y740" s="1"/>
      <c r="Z740" s="1"/>
      <c r="AA740" s="1"/>
      <c r="AB740" s="1"/>
      <c r="AC740" s="1"/>
      <c r="AD740" s="1"/>
    </row>
    <row r="741" customFormat="false" ht="18" hidden="false" customHeight="true" outlineLevel="0" collapsed="false">
      <c r="A741" s="1"/>
      <c r="B741" s="35"/>
      <c r="C741" s="8"/>
      <c r="D741" s="26"/>
      <c r="E741" s="27"/>
      <c r="F741" s="36"/>
      <c r="G741" s="36"/>
      <c r="H741" s="36"/>
      <c r="I741" s="36"/>
      <c r="J741" s="37" t="str">
        <f aca="false">IF($E741="","",IFERROR(G741/F741,""))</f>
        <v/>
      </c>
      <c r="K741" s="30" t="str">
        <f aca="false">IF($E741="","",IFERROR(E741/G741,""))</f>
        <v/>
      </c>
      <c r="L741" s="30" t="str">
        <f aca="false">IF($E741="","",IFERROR(E741/F741*1000,""))</f>
        <v/>
      </c>
      <c r="M741" s="37" t="str">
        <f aca="false">IF($E741="","",IFERROR(H741/G741,""))</f>
        <v/>
      </c>
      <c r="N741" s="30" t="str">
        <f aca="false">IF($E741="","",IFERROR(E741/H741,"—"))</f>
        <v/>
      </c>
      <c r="O741" s="30" t="str">
        <f aca="false">IF($E741="","",IFERROR(INDEX('Гео-калькулятор'!$K$7:$K$13,MATCH($C741,'Гео-калькулятор'!$B$7:$B$13,0)),""))</f>
        <v/>
      </c>
      <c r="P741" s="38" t="str">
        <f aca="false">IF($E741="","",IFERROR(N741/O741,""))</f>
        <v/>
      </c>
      <c r="Q741" s="39" t="str">
        <f aca="false">IF($E741="","",IF($I741&lt;&gt;"",$I741,N($H741)*IFERROR(INDEX('Гео-калькулятор'!$E$7:$E$13,MATCH($C741,'Гео-калькулятор'!$B$7:$B$13,0)),0)))</f>
        <v/>
      </c>
      <c r="R741" s="38" t="str">
        <f aca="false">IF($E741="","",IFERROR(Q741/H741,""))</f>
        <v/>
      </c>
      <c r="S741" s="30" t="str">
        <f aca="false">IF($E741="","",IFERROR(E741/Q741,"—"))</f>
        <v/>
      </c>
      <c r="T741" s="30" t="str">
        <f aca="false">IF($E741="","",Q741*IFERROR(INDEX('Гео-калькулятор'!$D$7:$D$13,MATCH($C741,'Гео-калькулятор'!$B$7:$B$13,0)),0))</f>
        <v/>
      </c>
      <c r="U741" s="40" t="str">
        <f aca="false">IF($E741="","",T741-E741)</f>
        <v/>
      </c>
      <c r="V741" s="41" t="str">
        <f aca="false">IF($E741="","",IFERROR(U741/E741,""))</f>
        <v/>
      </c>
      <c r="W741" s="10" t="str">
        <f aca="false">IF($E741="","",IF($I741&lt;&gt;"","факт","прогноз"))</f>
        <v/>
      </c>
      <c r="X741" s="1"/>
      <c r="Y741" s="1"/>
      <c r="Z741" s="1"/>
      <c r="AA741" s="1"/>
      <c r="AB741" s="1"/>
      <c r="AC741" s="1"/>
      <c r="AD741" s="1"/>
    </row>
    <row r="742" customFormat="false" ht="18" hidden="false" customHeight="true" outlineLevel="0" collapsed="false">
      <c r="A742" s="1"/>
      <c r="B742" s="35"/>
      <c r="C742" s="8"/>
      <c r="D742" s="26"/>
      <c r="E742" s="27"/>
      <c r="F742" s="36"/>
      <c r="G742" s="36"/>
      <c r="H742" s="36"/>
      <c r="I742" s="36"/>
      <c r="J742" s="37" t="str">
        <f aca="false">IF($E742="","",IFERROR(G742/F742,""))</f>
        <v/>
      </c>
      <c r="K742" s="30" t="str">
        <f aca="false">IF($E742="","",IFERROR(E742/G742,""))</f>
        <v/>
      </c>
      <c r="L742" s="30" t="str">
        <f aca="false">IF($E742="","",IFERROR(E742/F742*1000,""))</f>
        <v/>
      </c>
      <c r="M742" s="37" t="str">
        <f aca="false">IF($E742="","",IFERROR(H742/G742,""))</f>
        <v/>
      </c>
      <c r="N742" s="30" t="str">
        <f aca="false">IF($E742="","",IFERROR(E742/H742,"—"))</f>
        <v/>
      </c>
      <c r="O742" s="30" t="str">
        <f aca="false">IF($E742="","",IFERROR(INDEX('Гео-калькулятор'!$K$7:$K$13,MATCH($C742,'Гео-калькулятор'!$B$7:$B$13,0)),""))</f>
        <v/>
      </c>
      <c r="P742" s="38" t="str">
        <f aca="false">IF($E742="","",IFERROR(N742/O742,""))</f>
        <v/>
      </c>
      <c r="Q742" s="39" t="str">
        <f aca="false">IF($E742="","",IF($I742&lt;&gt;"",$I742,N($H742)*IFERROR(INDEX('Гео-калькулятор'!$E$7:$E$13,MATCH($C742,'Гео-калькулятор'!$B$7:$B$13,0)),0)))</f>
        <v/>
      </c>
      <c r="R742" s="38" t="str">
        <f aca="false">IF($E742="","",IFERROR(Q742/H742,""))</f>
        <v/>
      </c>
      <c r="S742" s="30" t="str">
        <f aca="false">IF($E742="","",IFERROR(E742/Q742,"—"))</f>
        <v/>
      </c>
      <c r="T742" s="30" t="str">
        <f aca="false">IF($E742="","",Q742*IFERROR(INDEX('Гео-калькулятор'!$D$7:$D$13,MATCH($C742,'Гео-калькулятор'!$B$7:$B$13,0)),0))</f>
        <v/>
      </c>
      <c r="U742" s="40" t="str">
        <f aca="false">IF($E742="","",T742-E742)</f>
        <v/>
      </c>
      <c r="V742" s="41" t="str">
        <f aca="false">IF($E742="","",IFERROR(U742/E742,""))</f>
        <v/>
      </c>
      <c r="W742" s="10" t="str">
        <f aca="false">IF($E742="","",IF($I742&lt;&gt;"","факт","прогноз"))</f>
        <v/>
      </c>
      <c r="X742" s="1"/>
      <c r="Y742" s="1"/>
      <c r="Z742" s="1"/>
      <c r="AA742" s="1"/>
      <c r="AB742" s="1"/>
      <c r="AC742" s="1"/>
      <c r="AD742" s="1"/>
    </row>
    <row r="743" customFormat="false" ht="18" hidden="false" customHeight="true" outlineLevel="0" collapsed="false">
      <c r="A743" s="1"/>
      <c r="B743" s="35"/>
      <c r="C743" s="8"/>
      <c r="D743" s="26"/>
      <c r="E743" s="27"/>
      <c r="F743" s="36"/>
      <c r="G743" s="36"/>
      <c r="H743" s="36"/>
      <c r="I743" s="36"/>
      <c r="J743" s="37" t="str">
        <f aca="false">IF($E743="","",IFERROR(G743/F743,""))</f>
        <v/>
      </c>
      <c r="K743" s="30" t="str">
        <f aca="false">IF($E743="","",IFERROR(E743/G743,""))</f>
        <v/>
      </c>
      <c r="L743" s="30" t="str">
        <f aca="false">IF($E743="","",IFERROR(E743/F743*1000,""))</f>
        <v/>
      </c>
      <c r="M743" s="37" t="str">
        <f aca="false">IF($E743="","",IFERROR(H743/G743,""))</f>
        <v/>
      </c>
      <c r="N743" s="30" t="str">
        <f aca="false">IF($E743="","",IFERROR(E743/H743,"—"))</f>
        <v/>
      </c>
      <c r="O743" s="30" t="str">
        <f aca="false">IF($E743="","",IFERROR(INDEX('Гео-калькулятор'!$K$7:$K$13,MATCH($C743,'Гео-калькулятор'!$B$7:$B$13,0)),""))</f>
        <v/>
      </c>
      <c r="P743" s="38" t="str">
        <f aca="false">IF($E743="","",IFERROR(N743/O743,""))</f>
        <v/>
      </c>
      <c r="Q743" s="39" t="str">
        <f aca="false">IF($E743="","",IF($I743&lt;&gt;"",$I743,N($H743)*IFERROR(INDEX('Гео-калькулятор'!$E$7:$E$13,MATCH($C743,'Гео-калькулятор'!$B$7:$B$13,0)),0)))</f>
        <v/>
      </c>
      <c r="R743" s="38" t="str">
        <f aca="false">IF($E743="","",IFERROR(Q743/H743,""))</f>
        <v/>
      </c>
      <c r="S743" s="30" t="str">
        <f aca="false">IF($E743="","",IFERROR(E743/Q743,"—"))</f>
        <v/>
      </c>
      <c r="T743" s="30" t="str">
        <f aca="false">IF($E743="","",Q743*IFERROR(INDEX('Гео-калькулятор'!$D$7:$D$13,MATCH($C743,'Гео-калькулятор'!$B$7:$B$13,0)),0))</f>
        <v/>
      </c>
      <c r="U743" s="40" t="str">
        <f aca="false">IF($E743="","",T743-E743)</f>
        <v/>
      </c>
      <c r="V743" s="41" t="str">
        <f aca="false">IF($E743="","",IFERROR(U743/E743,""))</f>
        <v/>
      </c>
      <c r="W743" s="10" t="str">
        <f aca="false">IF($E743="","",IF($I743&lt;&gt;"","факт","прогноз"))</f>
        <v/>
      </c>
      <c r="X743" s="1"/>
      <c r="Y743" s="1"/>
      <c r="Z743" s="1"/>
      <c r="AA743" s="1"/>
      <c r="AB743" s="1"/>
      <c r="AC743" s="1"/>
      <c r="AD743" s="1"/>
    </row>
    <row r="744" customFormat="false" ht="18" hidden="false" customHeight="true" outlineLevel="0" collapsed="false">
      <c r="A744" s="1"/>
      <c r="B744" s="35"/>
      <c r="C744" s="8"/>
      <c r="D744" s="26"/>
      <c r="E744" s="27"/>
      <c r="F744" s="36"/>
      <c r="G744" s="36"/>
      <c r="H744" s="36"/>
      <c r="I744" s="36"/>
      <c r="J744" s="37" t="str">
        <f aca="false">IF($E744="","",IFERROR(G744/F744,""))</f>
        <v/>
      </c>
      <c r="K744" s="30" t="str">
        <f aca="false">IF($E744="","",IFERROR(E744/G744,""))</f>
        <v/>
      </c>
      <c r="L744" s="30" t="str">
        <f aca="false">IF($E744="","",IFERROR(E744/F744*1000,""))</f>
        <v/>
      </c>
      <c r="M744" s="37" t="str">
        <f aca="false">IF($E744="","",IFERROR(H744/G744,""))</f>
        <v/>
      </c>
      <c r="N744" s="30" t="str">
        <f aca="false">IF($E744="","",IFERROR(E744/H744,"—"))</f>
        <v/>
      </c>
      <c r="O744" s="30" t="str">
        <f aca="false">IF($E744="","",IFERROR(INDEX('Гео-калькулятор'!$K$7:$K$13,MATCH($C744,'Гео-калькулятор'!$B$7:$B$13,0)),""))</f>
        <v/>
      </c>
      <c r="P744" s="38" t="str">
        <f aca="false">IF($E744="","",IFERROR(N744/O744,""))</f>
        <v/>
      </c>
      <c r="Q744" s="39" t="str">
        <f aca="false">IF($E744="","",IF($I744&lt;&gt;"",$I744,N($H744)*IFERROR(INDEX('Гео-калькулятор'!$E$7:$E$13,MATCH($C744,'Гео-калькулятор'!$B$7:$B$13,0)),0)))</f>
        <v/>
      </c>
      <c r="R744" s="38" t="str">
        <f aca="false">IF($E744="","",IFERROR(Q744/H744,""))</f>
        <v/>
      </c>
      <c r="S744" s="30" t="str">
        <f aca="false">IF($E744="","",IFERROR(E744/Q744,"—"))</f>
        <v/>
      </c>
      <c r="T744" s="30" t="str">
        <f aca="false">IF($E744="","",Q744*IFERROR(INDEX('Гео-калькулятор'!$D$7:$D$13,MATCH($C744,'Гео-калькулятор'!$B$7:$B$13,0)),0))</f>
        <v/>
      </c>
      <c r="U744" s="40" t="str">
        <f aca="false">IF($E744="","",T744-E744)</f>
        <v/>
      </c>
      <c r="V744" s="41" t="str">
        <f aca="false">IF($E744="","",IFERROR(U744/E744,""))</f>
        <v/>
      </c>
      <c r="W744" s="10" t="str">
        <f aca="false">IF($E744="","",IF($I744&lt;&gt;"","факт","прогноз"))</f>
        <v/>
      </c>
      <c r="X744" s="1"/>
      <c r="Y744" s="1"/>
      <c r="Z744" s="1"/>
      <c r="AA744" s="1"/>
      <c r="AB744" s="1"/>
      <c r="AC744" s="1"/>
      <c r="AD744" s="1"/>
    </row>
    <row r="745" customFormat="false" ht="18" hidden="false" customHeight="true" outlineLevel="0" collapsed="false">
      <c r="A745" s="1"/>
      <c r="B745" s="35"/>
      <c r="C745" s="8"/>
      <c r="D745" s="26"/>
      <c r="E745" s="27"/>
      <c r="F745" s="36"/>
      <c r="G745" s="36"/>
      <c r="H745" s="36"/>
      <c r="I745" s="36"/>
      <c r="J745" s="37" t="str">
        <f aca="false">IF($E745="","",IFERROR(G745/F745,""))</f>
        <v/>
      </c>
      <c r="K745" s="30" t="str">
        <f aca="false">IF($E745="","",IFERROR(E745/G745,""))</f>
        <v/>
      </c>
      <c r="L745" s="30" t="str">
        <f aca="false">IF($E745="","",IFERROR(E745/F745*1000,""))</f>
        <v/>
      </c>
      <c r="M745" s="37" t="str">
        <f aca="false">IF($E745="","",IFERROR(H745/G745,""))</f>
        <v/>
      </c>
      <c r="N745" s="30" t="str">
        <f aca="false">IF($E745="","",IFERROR(E745/H745,"—"))</f>
        <v/>
      </c>
      <c r="O745" s="30" t="str">
        <f aca="false">IF($E745="","",IFERROR(INDEX('Гео-калькулятор'!$K$7:$K$13,MATCH($C745,'Гео-калькулятор'!$B$7:$B$13,0)),""))</f>
        <v/>
      </c>
      <c r="P745" s="38" t="str">
        <f aca="false">IF($E745="","",IFERROR(N745/O745,""))</f>
        <v/>
      </c>
      <c r="Q745" s="39" t="str">
        <f aca="false">IF($E745="","",IF($I745&lt;&gt;"",$I745,N($H745)*IFERROR(INDEX('Гео-калькулятор'!$E$7:$E$13,MATCH($C745,'Гео-калькулятор'!$B$7:$B$13,0)),0)))</f>
        <v/>
      </c>
      <c r="R745" s="38" t="str">
        <f aca="false">IF($E745="","",IFERROR(Q745/H745,""))</f>
        <v/>
      </c>
      <c r="S745" s="30" t="str">
        <f aca="false">IF($E745="","",IFERROR(E745/Q745,"—"))</f>
        <v/>
      </c>
      <c r="T745" s="30" t="str">
        <f aca="false">IF($E745="","",Q745*IFERROR(INDEX('Гео-калькулятор'!$D$7:$D$13,MATCH($C745,'Гео-калькулятор'!$B$7:$B$13,0)),0))</f>
        <v/>
      </c>
      <c r="U745" s="40" t="str">
        <f aca="false">IF($E745="","",T745-E745)</f>
        <v/>
      </c>
      <c r="V745" s="41" t="str">
        <f aca="false">IF($E745="","",IFERROR(U745/E745,""))</f>
        <v/>
      </c>
      <c r="W745" s="10" t="str">
        <f aca="false">IF($E745="","",IF($I745&lt;&gt;"","факт","прогноз"))</f>
        <v/>
      </c>
      <c r="X745" s="1"/>
      <c r="Y745" s="1"/>
      <c r="Z745" s="1"/>
      <c r="AA745" s="1"/>
      <c r="AB745" s="1"/>
      <c r="AC745" s="1"/>
      <c r="AD745" s="1"/>
    </row>
    <row r="746" customFormat="false" ht="18" hidden="false" customHeight="true" outlineLevel="0" collapsed="false">
      <c r="A746" s="1"/>
      <c r="B746" s="35"/>
      <c r="C746" s="8"/>
      <c r="D746" s="26"/>
      <c r="E746" s="27"/>
      <c r="F746" s="36"/>
      <c r="G746" s="36"/>
      <c r="H746" s="36"/>
      <c r="I746" s="36"/>
      <c r="J746" s="37" t="str">
        <f aca="false">IF($E746="","",IFERROR(G746/F746,""))</f>
        <v/>
      </c>
      <c r="K746" s="30" t="str">
        <f aca="false">IF($E746="","",IFERROR(E746/G746,""))</f>
        <v/>
      </c>
      <c r="L746" s="30" t="str">
        <f aca="false">IF($E746="","",IFERROR(E746/F746*1000,""))</f>
        <v/>
      </c>
      <c r="M746" s="37" t="str">
        <f aca="false">IF($E746="","",IFERROR(H746/G746,""))</f>
        <v/>
      </c>
      <c r="N746" s="30" t="str">
        <f aca="false">IF($E746="","",IFERROR(E746/H746,"—"))</f>
        <v/>
      </c>
      <c r="O746" s="30" t="str">
        <f aca="false">IF($E746="","",IFERROR(INDEX('Гео-калькулятор'!$K$7:$K$13,MATCH($C746,'Гео-калькулятор'!$B$7:$B$13,0)),""))</f>
        <v/>
      </c>
      <c r="P746" s="38" t="str">
        <f aca="false">IF($E746="","",IFERROR(N746/O746,""))</f>
        <v/>
      </c>
      <c r="Q746" s="39" t="str">
        <f aca="false">IF($E746="","",IF($I746&lt;&gt;"",$I746,N($H746)*IFERROR(INDEX('Гео-калькулятор'!$E$7:$E$13,MATCH($C746,'Гео-калькулятор'!$B$7:$B$13,0)),0)))</f>
        <v/>
      </c>
      <c r="R746" s="38" t="str">
        <f aca="false">IF($E746="","",IFERROR(Q746/H746,""))</f>
        <v/>
      </c>
      <c r="S746" s="30" t="str">
        <f aca="false">IF($E746="","",IFERROR(E746/Q746,"—"))</f>
        <v/>
      </c>
      <c r="T746" s="30" t="str">
        <f aca="false">IF($E746="","",Q746*IFERROR(INDEX('Гео-калькулятор'!$D$7:$D$13,MATCH($C746,'Гео-калькулятор'!$B$7:$B$13,0)),0))</f>
        <v/>
      </c>
      <c r="U746" s="40" t="str">
        <f aca="false">IF($E746="","",T746-E746)</f>
        <v/>
      </c>
      <c r="V746" s="41" t="str">
        <f aca="false">IF($E746="","",IFERROR(U746/E746,""))</f>
        <v/>
      </c>
      <c r="W746" s="10" t="str">
        <f aca="false">IF($E746="","",IF($I746&lt;&gt;"","факт","прогноз"))</f>
        <v/>
      </c>
      <c r="X746" s="1"/>
      <c r="Y746" s="1"/>
      <c r="Z746" s="1"/>
      <c r="AA746" s="1"/>
      <c r="AB746" s="1"/>
      <c r="AC746" s="1"/>
      <c r="AD746" s="1"/>
    </row>
    <row r="747" customFormat="false" ht="18" hidden="false" customHeight="true" outlineLevel="0" collapsed="false">
      <c r="A747" s="1"/>
      <c r="B747" s="35"/>
      <c r="C747" s="8"/>
      <c r="D747" s="26"/>
      <c r="E747" s="27"/>
      <c r="F747" s="36"/>
      <c r="G747" s="36"/>
      <c r="H747" s="36"/>
      <c r="I747" s="36"/>
      <c r="J747" s="37" t="str">
        <f aca="false">IF($E747="","",IFERROR(G747/F747,""))</f>
        <v/>
      </c>
      <c r="K747" s="30" t="str">
        <f aca="false">IF($E747="","",IFERROR(E747/G747,""))</f>
        <v/>
      </c>
      <c r="L747" s="30" t="str">
        <f aca="false">IF($E747="","",IFERROR(E747/F747*1000,""))</f>
        <v/>
      </c>
      <c r="M747" s="37" t="str">
        <f aca="false">IF($E747="","",IFERROR(H747/G747,""))</f>
        <v/>
      </c>
      <c r="N747" s="30" t="str">
        <f aca="false">IF($E747="","",IFERROR(E747/H747,"—"))</f>
        <v/>
      </c>
      <c r="O747" s="30" t="str">
        <f aca="false">IF($E747="","",IFERROR(INDEX('Гео-калькулятор'!$K$7:$K$13,MATCH($C747,'Гео-калькулятор'!$B$7:$B$13,0)),""))</f>
        <v/>
      </c>
      <c r="P747" s="38" t="str">
        <f aca="false">IF($E747="","",IFERROR(N747/O747,""))</f>
        <v/>
      </c>
      <c r="Q747" s="39" t="str">
        <f aca="false">IF($E747="","",IF($I747&lt;&gt;"",$I747,N($H747)*IFERROR(INDEX('Гео-калькулятор'!$E$7:$E$13,MATCH($C747,'Гео-калькулятор'!$B$7:$B$13,0)),0)))</f>
        <v/>
      </c>
      <c r="R747" s="38" t="str">
        <f aca="false">IF($E747="","",IFERROR(Q747/H747,""))</f>
        <v/>
      </c>
      <c r="S747" s="30" t="str">
        <f aca="false">IF($E747="","",IFERROR(E747/Q747,"—"))</f>
        <v/>
      </c>
      <c r="T747" s="30" t="str">
        <f aca="false">IF($E747="","",Q747*IFERROR(INDEX('Гео-калькулятор'!$D$7:$D$13,MATCH($C747,'Гео-калькулятор'!$B$7:$B$13,0)),0))</f>
        <v/>
      </c>
      <c r="U747" s="40" t="str">
        <f aca="false">IF($E747="","",T747-E747)</f>
        <v/>
      </c>
      <c r="V747" s="41" t="str">
        <f aca="false">IF($E747="","",IFERROR(U747/E747,""))</f>
        <v/>
      </c>
      <c r="W747" s="10" t="str">
        <f aca="false">IF($E747="","",IF($I747&lt;&gt;"","факт","прогноз"))</f>
        <v/>
      </c>
      <c r="X747" s="1"/>
      <c r="Y747" s="1"/>
      <c r="Z747" s="1"/>
      <c r="AA747" s="1"/>
      <c r="AB747" s="1"/>
      <c r="AC747" s="1"/>
      <c r="AD747" s="1"/>
    </row>
    <row r="748" customFormat="false" ht="18" hidden="false" customHeight="true" outlineLevel="0" collapsed="false">
      <c r="A748" s="1"/>
      <c r="B748" s="35"/>
      <c r="C748" s="8"/>
      <c r="D748" s="26"/>
      <c r="E748" s="27"/>
      <c r="F748" s="36"/>
      <c r="G748" s="36"/>
      <c r="H748" s="36"/>
      <c r="I748" s="36"/>
      <c r="J748" s="37" t="str">
        <f aca="false">IF($E748="","",IFERROR(G748/F748,""))</f>
        <v/>
      </c>
      <c r="K748" s="30" t="str">
        <f aca="false">IF($E748="","",IFERROR(E748/G748,""))</f>
        <v/>
      </c>
      <c r="L748" s="30" t="str">
        <f aca="false">IF($E748="","",IFERROR(E748/F748*1000,""))</f>
        <v/>
      </c>
      <c r="M748" s="37" t="str">
        <f aca="false">IF($E748="","",IFERROR(H748/G748,""))</f>
        <v/>
      </c>
      <c r="N748" s="30" t="str">
        <f aca="false">IF($E748="","",IFERROR(E748/H748,"—"))</f>
        <v/>
      </c>
      <c r="O748" s="30" t="str">
        <f aca="false">IF($E748="","",IFERROR(INDEX('Гео-калькулятор'!$K$7:$K$13,MATCH($C748,'Гео-калькулятор'!$B$7:$B$13,0)),""))</f>
        <v/>
      </c>
      <c r="P748" s="38" t="str">
        <f aca="false">IF($E748="","",IFERROR(N748/O748,""))</f>
        <v/>
      </c>
      <c r="Q748" s="39" t="str">
        <f aca="false">IF($E748="","",IF($I748&lt;&gt;"",$I748,N($H748)*IFERROR(INDEX('Гео-калькулятор'!$E$7:$E$13,MATCH($C748,'Гео-калькулятор'!$B$7:$B$13,0)),0)))</f>
        <v/>
      </c>
      <c r="R748" s="38" t="str">
        <f aca="false">IF($E748="","",IFERROR(Q748/H748,""))</f>
        <v/>
      </c>
      <c r="S748" s="30" t="str">
        <f aca="false">IF($E748="","",IFERROR(E748/Q748,"—"))</f>
        <v/>
      </c>
      <c r="T748" s="30" t="str">
        <f aca="false">IF($E748="","",Q748*IFERROR(INDEX('Гео-калькулятор'!$D$7:$D$13,MATCH($C748,'Гео-калькулятор'!$B$7:$B$13,0)),0))</f>
        <v/>
      </c>
      <c r="U748" s="40" t="str">
        <f aca="false">IF($E748="","",T748-E748)</f>
        <v/>
      </c>
      <c r="V748" s="41" t="str">
        <f aca="false">IF($E748="","",IFERROR(U748/E748,""))</f>
        <v/>
      </c>
      <c r="W748" s="10" t="str">
        <f aca="false">IF($E748="","",IF($I748&lt;&gt;"","факт","прогноз"))</f>
        <v/>
      </c>
      <c r="X748" s="1"/>
      <c r="Y748" s="1"/>
      <c r="Z748" s="1"/>
      <c r="AA748" s="1"/>
      <c r="AB748" s="1"/>
      <c r="AC748" s="1"/>
      <c r="AD748" s="1"/>
    </row>
    <row r="749" customFormat="false" ht="18" hidden="false" customHeight="true" outlineLevel="0" collapsed="false">
      <c r="A749" s="1"/>
      <c r="B749" s="35"/>
      <c r="C749" s="8"/>
      <c r="D749" s="26"/>
      <c r="E749" s="27"/>
      <c r="F749" s="36"/>
      <c r="G749" s="36"/>
      <c r="H749" s="36"/>
      <c r="I749" s="36"/>
      <c r="J749" s="37" t="str">
        <f aca="false">IF($E749="","",IFERROR(G749/F749,""))</f>
        <v/>
      </c>
      <c r="K749" s="30" t="str">
        <f aca="false">IF($E749="","",IFERROR(E749/G749,""))</f>
        <v/>
      </c>
      <c r="L749" s="30" t="str">
        <f aca="false">IF($E749="","",IFERROR(E749/F749*1000,""))</f>
        <v/>
      </c>
      <c r="M749" s="37" t="str">
        <f aca="false">IF($E749="","",IFERROR(H749/G749,""))</f>
        <v/>
      </c>
      <c r="N749" s="30" t="str">
        <f aca="false">IF($E749="","",IFERROR(E749/H749,"—"))</f>
        <v/>
      </c>
      <c r="O749" s="30" t="str">
        <f aca="false">IF($E749="","",IFERROR(INDEX('Гео-калькулятор'!$K$7:$K$13,MATCH($C749,'Гео-калькулятор'!$B$7:$B$13,0)),""))</f>
        <v/>
      </c>
      <c r="P749" s="38" t="str">
        <f aca="false">IF($E749="","",IFERROR(N749/O749,""))</f>
        <v/>
      </c>
      <c r="Q749" s="39" t="str">
        <f aca="false">IF($E749="","",IF($I749&lt;&gt;"",$I749,N($H749)*IFERROR(INDEX('Гео-калькулятор'!$E$7:$E$13,MATCH($C749,'Гео-калькулятор'!$B$7:$B$13,0)),0)))</f>
        <v/>
      </c>
      <c r="R749" s="38" t="str">
        <f aca="false">IF($E749="","",IFERROR(Q749/H749,""))</f>
        <v/>
      </c>
      <c r="S749" s="30" t="str">
        <f aca="false">IF($E749="","",IFERROR(E749/Q749,"—"))</f>
        <v/>
      </c>
      <c r="T749" s="30" t="str">
        <f aca="false">IF($E749="","",Q749*IFERROR(INDEX('Гео-калькулятор'!$D$7:$D$13,MATCH($C749,'Гео-калькулятор'!$B$7:$B$13,0)),0))</f>
        <v/>
      </c>
      <c r="U749" s="40" t="str">
        <f aca="false">IF($E749="","",T749-E749)</f>
        <v/>
      </c>
      <c r="V749" s="41" t="str">
        <f aca="false">IF($E749="","",IFERROR(U749/E749,""))</f>
        <v/>
      </c>
      <c r="W749" s="10" t="str">
        <f aca="false">IF($E749="","",IF($I749&lt;&gt;"","факт","прогноз"))</f>
        <v/>
      </c>
      <c r="X749" s="1"/>
      <c r="Y749" s="1"/>
      <c r="Z749" s="1"/>
      <c r="AA749" s="1"/>
      <c r="AB749" s="1"/>
      <c r="AC749" s="1"/>
      <c r="AD749" s="1"/>
    </row>
    <row r="750" customFormat="false" ht="18" hidden="false" customHeight="true" outlineLevel="0" collapsed="false">
      <c r="A750" s="1"/>
      <c r="B750" s="35"/>
      <c r="C750" s="8"/>
      <c r="D750" s="26"/>
      <c r="E750" s="27"/>
      <c r="F750" s="36"/>
      <c r="G750" s="36"/>
      <c r="H750" s="36"/>
      <c r="I750" s="36"/>
      <c r="J750" s="37" t="str">
        <f aca="false">IF($E750="","",IFERROR(G750/F750,""))</f>
        <v/>
      </c>
      <c r="K750" s="30" t="str">
        <f aca="false">IF($E750="","",IFERROR(E750/G750,""))</f>
        <v/>
      </c>
      <c r="L750" s="30" t="str">
        <f aca="false">IF($E750="","",IFERROR(E750/F750*1000,""))</f>
        <v/>
      </c>
      <c r="M750" s="37" t="str">
        <f aca="false">IF($E750="","",IFERROR(H750/G750,""))</f>
        <v/>
      </c>
      <c r="N750" s="30" t="str">
        <f aca="false">IF($E750="","",IFERROR(E750/H750,"—"))</f>
        <v/>
      </c>
      <c r="O750" s="30" t="str">
        <f aca="false">IF($E750="","",IFERROR(INDEX('Гео-калькулятор'!$K$7:$K$13,MATCH($C750,'Гео-калькулятор'!$B$7:$B$13,0)),""))</f>
        <v/>
      </c>
      <c r="P750" s="38" t="str">
        <f aca="false">IF($E750="","",IFERROR(N750/O750,""))</f>
        <v/>
      </c>
      <c r="Q750" s="39" t="str">
        <f aca="false">IF($E750="","",IF($I750&lt;&gt;"",$I750,N($H750)*IFERROR(INDEX('Гео-калькулятор'!$E$7:$E$13,MATCH($C750,'Гео-калькулятор'!$B$7:$B$13,0)),0)))</f>
        <v/>
      </c>
      <c r="R750" s="38" t="str">
        <f aca="false">IF($E750="","",IFERROR(Q750/H750,""))</f>
        <v/>
      </c>
      <c r="S750" s="30" t="str">
        <f aca="false">IF($E750="","",IFERROR(E750/Q750,"—"))</f>
        <v/>
      </c>
      <c r="T750" s="30" t="str">
        <f aca="false">IF($E750="","",Q750*IFERROR(INDEX('Гео-калькулятор'!$D$7:$D$13,MATCH($C750,'Гео-калькулятор'!$B$7:$B$13,0)),0))</f>
        <v/>
      </c>
      <c r="U750" s="40" t="str">
        <f aca="false">IF($E750="","",T750-E750)</f>
        <v/>
      </c>
      <c r="V750" s="41" t="str">
        <f aca="false">IF($E750="","",IFERROR(U750/E750,""))</f>
        <v/>
      </c>
      <c r="W750" s="10" t="str">
        <f aca="false">IF($E750="","",IF($I750&lt;&gt;"","факт","прогноз"))</f>
        <v/>
      </c>
      <c r="X750" s="1"/>
      <c r="Y750" s="1"/>
      <c r="Z750" s="1"/>
      <c r="AA750" s="1"/>
      <c r="AB750" s="1"/>
      <c r="AC750" s="1"/>
      <c r="AD750" s="1"/>
    </row>
    <row r="751" customFormat="false" ht="18" hidden="false" customHeight="true" outlineLevel="0" collapsed="false">
      <c r="A751" s="1"/>
      <c r="B751" s="35"/>
      <c r="C751" s="8"/>
      <c r="D751" s="26"/>
      <c r="E751" s="27"/>
      <c r="F751" s="36"/>
      <c r="G751" s="36"/>
      <c r="H751" s="36"/>
      <c r="I751" s="36"/>
      <c r="J751" s="37" t="str">
        <f aca="false">IF($E751="","",IFERROR(G751/F751,""))</f>
        <v/>
      </c>
      <c r="K751" s="30" t="str">
        <f aca="false">IF($E751="","",IFERROR(E751/G751,""))</f>
        <v/>
      </c>
      <c r="L751" s="30" t="str">
        <f aca="false">IF($E751="","",IFERROR(E751/F751*1000,""))</f>
        <v/>
      </c>
      <c r="M751" s="37" t="str">
        <f aca="false">IF($E751="","",IFERROR(H751/G751,""))</f>
        <v/>
      </c>
      <c r="N751" s="30" t="str">
        <f aca="false">IF($E751="","",IFERROR(E751/H751,"—"))</f>
        <v/>
      </c>
      <c r="O751" s="30" t="str">
        <f aca="false">IF($E751="","",IFERROR(INDEX('Гео-калькулятор'!$K$7:$K$13,MATCH($C751,'Гео-калькулятор'!$B$7:$B$13,0)),""))</f>
        <v/>
      </c>
      <c r="P751" s="38" t="str">
        <f aca="false">IF($E751="","",IFERROR(N751/O751,""))</f>
        <v/>
      </c>
      <c r="Q751" s="39" t="str">
        <f aca="false">IF($E751="","",IF($I751&lt;&gt;"",$I751,N($H751)*IFERROR(INDEX('Гео-калькулятор'!$E$7:$E$13,MATCH($C751,'Гео-калькулятор'!$B$7:$B$13,0)),0)))</f>
        <v/>
      </c>
      <c r="R751" s="38" t="str">
        <f aca="false">IF($E751="","",IFERROR(Q751/H751,""))</f>
        <v/>
      </c>
      <c r="S751" s="30" t="str">
        <f aca="false">IF($E751="","",IFERROR(E751/Q751,"—"))</f>
        <v/>
      </c>
      <c r="T751" s="30" t="str">
        <f aca="false">IF($E751="","",Q751*IFERROR(INDEX('Гео-калькулятор'!$D$7:$D$13,MATCH($C751,'Гео-калькулятор'!$B$7:$B$13,0)),0))</f>
        <v/>
      </c>
      <c r="U751" s="40" t="str">
        <f aca="false">IF($E751="","",T751-E751)</f>
        <v/>
      </c>
      <c r="V751" s="41" t="str">
        <f aca="false">IF($E751="","",IFERROR(U751/E751,""))</f>
        <v/>
      </c>
      <c r="W751" s="10" t="str">
        <f aca="false">IF($E751="","",IF($I751&lt;&gt;"","факт","прогноз"))</f>
        <v/>
      </c>
      <c r="X751" s="1"/>
      <c r="Y751" s="1"/>
      <c r="Z751" s="1"/>
      <c r="AA751" s="1"/>
      <c r="AB751" s="1"/>
      <c r="AC751" s="1"/>
      <c r="AD751" s="1"/>
    </row>
    <row r="752" customFormat="false" ht="18" hidden="false" customHeight="true" outlineLevel="0" collapsed="false">
      <c r="A752" s="1"/>
      <c r="B752" s="35"/>
      <c r="C752" s="8"/>
      <c r="D752" s="26"/>
      <c r="E752" s="27"/>
      <c r="F752" s="36"/>
      <c r="G752" s="36"/>
      <c r="H752" s="36"/>
      <c r="I752" s="36"/>
      <c r="J752" s="37" t="str">
        <f aca="false">IF($E752="","",IFERROR(G752/F752,""))</f>
        <v/>
      </c>
      <c r="K752" s="30" t="str">
        <f aca="false">IF($E752="","",IFERROR(E752/G752,""))</f>
        <v/>
      </c>
      <c r="L752" s="30" t="str">
        <f aca="false">IF($E752="","",IFERROR(E752/F752*1000,""))</f>
        <v/>
      </c>
      <c r="M752" s="37" t="str">
        <f aca="false">IF($E752="","",IFERROR(H752/G752,""))</f>
        <v/>
      </c>
      <c r="N752" s="30" t="str">
        <f aca="false">IF($E752="","",IFERROR(E752/H752,"—"))</f>
        <v/>
      </c>
      <c r="O752" s="30" t="str">
        <f aca="false">IF($E752="","",IFERROR(INDEX('Гео-калькулятор'!$K$7:$K$13,MATCH($C752,'Гео-калькулятор'!$B$7:$B$13,0)),""))</f>
        <v/>
      </c>
      <c r="P752" s="38" t="str">
        <f aca="false">IF($E752="","",IFERROR(N752/O752,""))</f>
        <v/>
      </c>
      <c r="Q752" s="39" t="str">
        <f aca="false">IF($E752="","",IF($I752&lt;&gt;"",$I752,N($H752)*IFERROR(INDEX('Гео-калькулятор'!$E$7:$E$13,MATCH($C752,'Гео-калькулятор'!$B$7:$B$13,0)),0)))</f>
        <v/>
      </c>
      <c r="R752" s="38" t="str">
        <f aca="false">IF($E752="","",IFERROR(Q752/H752,""))</f>
        <v/>
      </c>
      <c r="S752" s="30" t="str">
        <f aca="false">IF($E752="","",IFERROR(E752/Q752,"—"))</f>
        <v/>
      </c>
      <c r="T752" s="30" t="str">
        <f aca="false">IF($E752="","",Q752*IFERROR(INDEX('Гео-калькулятор'!$D$7:$D$13,MATCH($C752,'Гео-калькулятор'!$B$7:$B$13,0)),0))</f>
        <v/>
      </c>
      <c r="U752" s="40" t="str">
        <f aca="false">IF($E752="","",T752-E752)</f>
        <v/>
      </c>
      <c r="V752" s="41" t="str">
        <f aca="false">IF($E752="","",IFERROR(U752/E752,""))</f>
        <v/>
      </c>
      <c r="W752" s="10" t="str">
        <f aca="false">IF($E752="","",IF($I752&lt;&gt;"","факт","прогноз"))</f>
        <v/>
      </c>
      <c r="X752" s="1"/>
      <c r="Y752" s="1"/>
      <c r="Z752" s="1"/>
      <c r="AA752" s="1"/>
      <c r="AB752" s="1"/>
      <c r="AC752" s="1"/>
      <c r="AD752" s="1"/>
    </row>
    <row r="753" customFormat="false" ht="18" hidden="false" customHeight="true" outlineLevel="0" collapsed="false">
      <c r="A753" s="1"/>
      <c r="B753" s="35"/>
      <c r="C753" s="8"/>
      <c r="D753" s="26"/>
      <c r="E753" s="27"/>
      <c r="F753" s="36"/>
      <c r="G753" s="36"/>
      <c r="H753" s="36"/>
      <c r="I753" s="36"/>
      <c r="J753" s="37" t="str">
        <f aca="false">IF($E753="","",IFERROR(G753/F753,""))</f>
        <v/>
      </c>
      <c r="K753" s="30" t="str">
        <f aca="false">IF($E753="","",IFERROR(E753/G753,""))</f>
        <v/>
      </c>
      <c r="L753" s="30" t="str">
        <f aca="false">IF($E753="","",IFERROR(E753/F753*1000,""))</f>
        <v/>
      </c>
      <c r="M753" s="37" t="str">
        <f aca="false">IF($E753="","",IFERROR(H753/G753,""))</f>
        <v/>
      </c>
      <c r="N753" s="30" t="str">
        <f aca="false">IF($E753="","",IFERROR(E753/H753,"—"))</f>
        <v/>
      </c>
      <c r="O753" s="30" t="str">
        <f aca="false">IF($E753="","",IFERROR(INDEX('Гео-калькулятор'!$K$7:$K$13,MATCH($C753,'Гео-калькулятор'!$B$7:$B$13,0)),""))</f>
        <v/>
      </c>
      <c r="P753" s="38" t="str">
        <f aca="false">IF($E753="","",IFERROR(N753/O753,""))</f>
        <v/>
      </c>
      <c r="Q753" s="39" t="str">
        <f aca="false">IF($E753="","",IF($I753&lt;&gt;"",$I753,N($H753)*IFERROR(INDEX('Гео-калькулятор'!$E$7:$E$13,MATCH($C753,'Гео-калькулятор'!$B$7:$B$13,0)),0)))</f>
        <v/>
      </c>
      <c r="R753" s="38" t="str">
        <f aca="false">IF($E753="","",IFERROR(Q753/H753,""))</f>
        <v/>
      </c>
      <c r="S753" s="30" t="str">
        <f aca="false">IF($E753="","",IFERROR(E753/Q753,"—"))</f>
        <v/>
      </c>
      <c r="T753" s="30" t="str">
        <f aca="false">IF($E753="","",Q753*IFERROR(INDEX('Гео-калькулятор'!$D$7:$D$13,MATCH($C753,'Гео-калькулятор'!$B$7:$B$13,0)),0))</f>
        <v/>
      </c>
      <c r="U753" s="40" t="str">
        <f aca="false">IF($E753="","",T753-E753)</f>
        <v/>
      </c>
      <c r="V753" s="41" t="str">
        <f aca="false">IF($E753="","",IFERROR(U753/E753,""))</f>
        <v/>
      </c>
      <c r="W753" s="10" t="str">
        <f aca="false">IF($E753="","",IF($I753&lt;&gt;"","факт","прогноз"))</f>
        <v/>
      </c>
      <c r="X753" s="1"/>
      <c r="Y753" s="1"/>
      <c r="Z753" s="1"/>
      <c r="AA753" s="1"/>
      <c r="AB753" s="1"/>
      <c r="AC753" s="1"/>
      <c r="AD753" s="1"/>
    </row>
    <row r="754" customFormat="false" ht="18" hidden="false" customHeight="true" outlineLevel="0" collapsed="false">
      <c r="A754" s="1"/>
      <c r="B754" s="35"/>
      <c r="C754" s="8"/>
      <c r="D754" s="26"/>
      <c r="E754" s="27"/>
      <c r="F754" s="36"/>
      <c r="G754" s="36"/>
      <c r="H754" s="36"/>
      <c r="I754" s="36"/>
      <c r="J754" s="37" t="str">
        <f aca="false">IF($E754="","",IFERROR(G754/F754,""))</f>
        <v/>
      </c>
      <c r="K754" s="30" t="str">
        <f aca="false">IF($E754="","",IFERROR(E754/G754,""))</f>
        <v/>
      </c>
      <c r="L754" s="30" t="str">
        <f aca="false">IF($E754="","",IFERROR(E754/F754*1000,""))</f>
        <v/>
      </c>
      <c r="M754" s="37" t="str">
        <f aca="false">IF($E754="","",IFERROR(H754/G754,""))</f>
        <v/>
      </c>
      <c r="N754" s="30" t="str">
        <f aca="false">IF($E754="","",IFERROR(E754/H754,"—"))</f>
        <v/>
      </c>
      <c r="O754" s="30" t="str">
        <f aca="false">IF($E754="","",IFERROR(INDEX('Гео-калькулятор'!$K$7:$K$13,MATCH($C754,'Гео-калькулятор'!$B$7:$B$13,0)),""))</f>
        <v/>
      </c>
      <c r="P754" s="38" t="str">
        <f aca="false">IF($E754="","",IFERROR(N754/O754,""))</f>
        <v/>
      </c>
      <c r="Q754" s="39" t="str">
        <f aca="false">IF($E754="","",IF($I754&lt;&gt;"",$I754,N($H754)*IFERROR(INDEX('Гео-калькулятор'!$E$7:$E$13,MATCH($C754,'Гео-калькулятор'!$B$7:$B$13,0)),0)))</f>
        <v/>
      </c>
      <c r="R754" s="38" t="str">
        <f aca="false">IF($E754="","",IFERROR(Q754/H754,""))</f>
        <v/>
      </c>
      <c r="S754" s="30" t="str">
        <f aca="false">IF($E754="","",IFERROR(E754/Q754,"—"))</f>
        <v/>
      </c>
      <c r="T754" s="30" t="str">
        <f aca="false">IF($E754="","",Q754*IFERROR(INDEX('Гео-калькулятор'!$D$7:$D$13,MATCH($C754,'Гео-калькулятор'!$B$7:$B$13,0)),0))</f>
        <v/>
      </c>
      <c r="U754" s="40" t="str">
        <f aca="false">IF($E754="","",T754-E754)</f>
        <v/>
      </c>
      <c r="V754" s="41" t="str">
        <f aca="false">IF($E754="","",IFERROR(U754/E754,""))</f>
        <v/>
      </c>
      <c r="W754" s="10" t="str">
        <f aca="false">IF($E754="","",IF($I754&lt;&gt;"","факт","прогноз"))</f>
        <v/>
      </c>
      <c r="X754" s="1"/>
      <c r="Y754" s="1"/>
      <c r="Z754" s="1"/>
      <c r="AA754" s="1"/>
      <c r="AB754" s="1"/>
      <c r="AC754" s="1"/>
      <c r="AD754" s="1"/>
    </row>
    <row r="755" customFormat="false" ht="18" hidden="false" customHeight="true" outlineLevel="0" collapsed="false">
      <c r="A755" s="1"/>
      <c r="B755" s="35"/>
      <c r="C755" s="8"/>
      <c r="D755" s="26"/>
      <c r="E755" s="27"/>
      <c r="F755" s="36"/>
      <c r="G755" s="36"/>
      <c r="H755" s="36"/>
      <c r="I755" s="36"/>
      <c r="J755" s="37" t="str">
        <f aca="false">IF($E755="","",IFERROR(G755/F755,""))</f>
        <v/>
      </c>
      <c r="K755" s="30" t="str">
        <f aca="false">IF($E755="","",IFERROR(E755/G755,""))</f>
        <v/>
      </c>
      <c r="L755" s="30" t="str">
        <f aca="false">IF($E755="","",IFERROR(E755/F755*1000,""))</f>
        <v/>
      </c>
      <c r="M755" s="37" t="str">
        <f aca="false">IF($E755="","",IFERROR(H755/G755,""))</f>
        <v/>
      </c>
      <c r="N755" s="30" t="str">
        <f aca="false">IF($E755="","",IFERROR(E755/H755,"—"))</f>
        <v/>
      </c>
      <c r="O755" s="30" t="str">
        <f aca="false">IF($E755="","",IFERROR(INDEX('Гео-калькулятор'!$K$7:$K$13,MATCH($C755,'Гео-калькулятор'!$B$7:$B$13,0)),""))</f>
        <v/>
      </c>
      <c r="P755" s="38" t="str">
        <f aca="false">IF($E755="","",IFERROR(N755/O755,""))</f>
        <v/>
      </c>
      <c r="Q755" s="39" t="str">
        <f aca="false">IF($E755="","",IF($I755&lt;&gt;"",$I755,N($H755)*IFERROR(INDEX('Гео-калькулятор'!$E$7:$E$13,MATCH($C755,'Гео-калькулятор'!$B$7:$B$13,0)),0)))</f>
        <v/>
      </c>
      <c r="R755" s="38" t="str">
        <f aca="false">IF($E755="","",IFERROR(Q755/H755,""))</f>
        <v/>
      </c>
      <c r="S755" s="30" t="str">
        <f aca="false">IF($E755="","",IFERROR(E755/Q755,"—"))</f>
        <v/>
      </c>
      <c r="T755" s="30" t="str">
        <f aca="false">IF($E755="","",Q755*IFERROR(INDEX('Гео-калькулятор'!$D$7:$D$13,MATCH($C755,'Гео-калькулятор'!$B$7:$B$13,0)),0))</f>
        <v/>
      </c>
      <c r="U755" s="40" t="str">
        <f aca="false">IF($E755="","",T755-E755)</f>
        <v/>
      </c>
      <c r="V755" s="41" t="str">
        <f aca="false">IF($E755="","",IFERROR(U755/E755,""))</f>
        <v/>
      </c>
      <c r="W755" s="10" t="str">
        <f aca="false">IF($E755="","",IF($I755&lt;&gt;"","факт","прогноз"))</f>
        <v/>
      </c>
      <c r="X755" s="1"/>
      <c r="Y755" s="1"/>
      <c r="Z755" s="1"/>
      <c r="AA755" s="1"/>
      <c r="AB755" s="1"/>
      <c r="AC755" s="1"/>
      <c r="AD755" s="1"/>
    </row>
    <row r="756" customFormat="false" ht="18" hidden="false" customHeight="true" outlineLevel="0" collapsed="false">
      <c r="A756" s="1"/>
      <c r="B756" s="35"/>
      <c r="C756" s="8"/>
      <c r="D756" s="26"/>
      <c r="E756" s="27"/>
      <c r="F756" s="36"/>
      <c r="G756" s="36"/>
      <c r="H756" s="36"/>
      <c r="I756" s="36"/>
      <c r="J756" s="37" t="str">
        <f aca="false">IF($E756="","",IFERROR(G756/F756,""))</f>
        <v/>
      </c>
      <c r="K756" s="30" t="str">
        <f aca="false">IF($E756="","",IFERROR(E756/G756,""))</f>
        <v/>
      </c>
      <c r="L756" s="30" t="str">
        <f aca="false">IF($E756="","",IFERROR(E756/F756*1000,""))</f>
        <v/>
      </c>
      <c r="M756" s="37" t="str">
        <f aca="false">IF($E756="","",IFERROR(H756/G756,""))</f>
        <v/>
      </c>
      <c r="N756" s="30" t="str">
        <f aca="false">IF($E756="","",IFERROR(E756/H756,"—"))</f>
        <v/>
      </c>
      <c r="O756" s="30" t="str">
        <f aca="false">IF($E756="","",IFERROR(INDEX('Гео-калькулятор'!$K$7:$K$13,MATCH($C756,'Гео-калькулятор'!$B$7:$B$13,0)),""))</f>
        <v/>
      </c>
      <c r="P756" s="38" t="str">
        <f aca="false">IF($E756="","",IFERROR(N756/O756,""))</f>
        <v/>
      </c>
      <c r="Q756" s="39" t="str">
        <f aca="false">IF($E756="","",IF($I756&lt;&gt;"",$I756,N($H756)*IFERROR(INDEX('Гео-калькулятор'!$E$7:$E$13,MATCH($C756,'Гео-калькулятор'!$B$7:$B$13,0)),0)))</f>
        <v/>
      </c>
      <c r="R756" s="38" t="str">
        <f aca="false">IF($E756="","",IFERROR(Q756/H756,""))</f>
        <v/>
      </c>
      <c r="S756" s="30" t="str">
        <f aca="false">IF($E756="","",IFERROR(E756/Q756,"—"))</f>
        <v/>
      </c>
      <c r="T756" s="30" t="str">
        <f aca="false">IF($E756="","",Q756*IFERROR(INDEX('Гео-калькулятор'!$D$7:$D$13,MATCH($C756,'Гео-калькулятор'!$B$7:$B$13,0)),0))</f>
        <v/>
      </c>
      <c r="U756" s="40" t="str">
        <f aca="false">IF($E756="","",T756-E756)</f>
        <v/>
      </c>
      <c r="V756" s="41" t="str">
        <f aca="false">IF($E756="","",IFERROR(U756/E756,""))</f>
        <v/>
      </c>
      <c r="W756" s="10" t="str">
        <f aca="false">IF($E756="","",IF($I756&lt;&gt;"","факт","прогноз"))</f>
        <v/>
      </c>
      <c r="X756" s="1"/>
      <c r="Y756" s="1"/>
      <c r="Z756" s="1"/>
      <c r="AA756" s="1"/>
      <c r="AB756" s="1"/>
      <c r="AC756" s="1"/>
      <c r="AD756" s="1"/>
    </row>
    <row r="757" customFormat="false" ht="18" hidden="false" customHeight="true" outlineLevel="0" collapsed="false">
      <c r="A757" s="1"/>
      <c r="B757" s="35"/>
      <c r="C757" s="8"/>
      <c r="D757" s="26"/>
      <c r="E757" s="27"/>
      <c r="F757" s="36"/>
      <c r="G757" s="36"/>
      <c r="H757" s="36"/>
      <c r="I757" s="36"/>
      <c r="J757" s="37" t="str">
        <f aca="false">IF($E757="","",IFERROR(G757/F757,""))</f>
        <v/>
      </c>
      <c r="K757" s="30" t="str">
        <f aca="false">IF($E757="","",IFERROR(E757/G757,""))</f>
        <v/>
      </c>
      <c r="L757" s="30" t="str">
        <f aca="false">IF($E757="","",IFERROR(E757/F757*1000,""))</f>
        <v/>
      </c>
      <c r="M757" s="37" t="str">
        <f aca="false">IF($E757="","",IFERROR(H757/G757,""))</f>
        <v/>
      </c>
      <c r="N757" s="30" t="str">
        <f aca="false">IF($E757="","",IFERROR(E757/H757,"—"))</f>
        <v/>
      </c>
      <c r="O757" s="30" t="str">
        <f aca="false">IF($E757="","",IFERROR(INDEX('Гео-калькулятор'!$K$7:$K$13,MATCH($C757,'Гео-калькулятор'!$B$7:$B$13,0)),""))</f>
        <v/>
      </c>
      <c r="P757" s="38" t="str">
        <f aca="false">IF($E757="","",IFERROR(N757/O757,""))</f>
        <v/>
      </c>
      <c r="Q757" s="39" t="str">
        <f aca="false">IF($E757="","",IF($I757&lt;&gt;"",$I757,N($H757)*IFERROR(INDEX('Гео-калькулятор'!$E$7:$E$13,MATCH($C757,'Гео-калькулятор'!$B$7:$B$13,0)),0)))</f>
        <v/>
      </c>
      <c r="R757" s="38" t="str">
        <f aca="false">IF($E757="","",IFERROR(Q757/H757,""))</f>
        <v/>
      </c>
      <c r="S757" s="30" t="str">
        <f aca="false">IF($E757="","",IFERROR(E757/Q757,"—"))</f>
        <v/>
      </c>
      <c r="T757" s="30" t="str">
        <f aca="false">IF($E757="","",Q757*IFERROR(INDEX('Гео-калькулятор'!$D$7:$D$13,MATCH($C757,'Гео-калькулятор'!$B$7:$B$13,0)),0))</f>
        <v/>
      </c>
      <c r="U757" s="40" t="str">
        <f aca="false">IF($E757="","",T757-E757)</f>
        <v/>
      </c>
      <c r="V757" s="41" t="str">
        <f aca="false">IF($E757="","",IFERROR(U757/E757,""))</f>
        <v/>
      </c>
      <c r="W757" s="10" t="str">
        <f aca="false">IF($E757="","",IF($I757&lt;&gt;"","факт","прогноз"))</f>
        <v/>
      </c>
      <c r="X757" s="1"/>
      <c r="Y757" s="1"/>
      <c r="Z757" s="1"/>
      <c r="AA757" s="1"/>
      <c r="AB757" s="1"/>
      <c r="AC757" s="1"/>
      <c r="AD757" s="1"/>
    </row>
    <row r="758" customFormat="false" ht="18" hidden="false" customHeight="true" outlineLevel="0" collapsed="false">
      <c r="A758" s="1"/>
      <c r="B758" s="35"/>
      <c r="C758" s="8"/>
      <c r="D758" s="26"/>
      <c r="E758" s="27"/>
      <c r="F758" s="36"/>
      <c r="G758" s="36"/>
      <c r="H758" s="36"/>
      <c r="I758" s="36"/>
      <c r="J758" s="37" t="str">
        <f aca="false">IF($E758="","",IFERROR(G758/F758,""))</f>
        <v/>
      </c>
      <c r="K758" s="30" t="str">
        <f aca="false">IF($E758="","",IFERROR(E758/G758,""))</f>
        <v/>
      </c>
      <c r="L758" s="30" t="str">
        <f aca="false">IF($E758="","",IFERROR(E758/F758*1000,""))</f>
        <v/>
      </c>
      <c r="M758" s="37" t="str">
        <f aca="false">IF($E758="","",IFERROR(H758/G758,""))</f>
        <v/>
      </c>
      <c r="N758" s="30" t="str">
        <f aca="false">IF($E758="","",IFERROR(E758/H758,"—"))</f>
        <v/>
      </c>
      <c r="O758" s="30" t="str">
        <f aca="false">IF($E758="","",IFERROR(INDEX('Гео-калькулятор'!$K$7:$K$13,MATCH($C758,'Гео-калькулятор'!$B$7:$B$13,0)),""))</f>
        <v/>
      </c>
      <c r="P758" s="38" t="str">
        <f aca="false">IF($E758="","",IFERROR(N758/O758,""))</f>
        <v/>
      </c>
      <c r="Q758" s="39" t="str">
        <f aca="false">IF($E758="","",IF($I758&lt;&gt;"",$I758,N($H758)*IFERROR(INDEX('Гео-калькулятор'!$E$7:$E$13,MATCH($C758,'Гео-калькулятор'!$B$7:$B$13,0)),0)))</f>
        <v/>
      </c>
      <c r="R758" s="38" t="str">
        <f aca="false">IF($E758="","",IFERROR(Q758/H758,""))</f>
        <v/>
      </c>
      <c r="S758" s="30" t="str">
        <f aca="false">IF($E758="","",IFERROR(E758/Q758,"—"))</f>
        <v/>
      </c>
      <c r="T758" s="30" t="str">
        <f aca="false">IF($E758="","",Q758*IFERROR(INDEX('Гео-калькулятор'!$D$7:$D$13,MATCH($C758,'Гео-калькулятор'!$B$7:$B$13,0)),0))</f>
        <v/>
      </c>
      <c r="U758" s="40" t="str">
        <f aca="false">IF($E758="","",T758-E758)</f>
        <v/>
      </c>
      <c r="V758" s="41" t="str">
        <f aca="false">IF($E758="","",IFERROR(U758/E758,""))</f>
        <v/>
      </c>
      <c r="W758" s="10" t="str">
        <f aca="false">IF($E758="","",IF($I758&lt;&gt;"","факт","прогноз"))</f>
        <v/>
      </c>
      <c r="X758" s="1"/>
      <c r="Y758" s="1"/>
      <c r="Z758" s="1"/>
      <c r="AA758" s="1"/>
      <c r="AB758" s="1"/>
      <c r="AC758" s="1"/>
      <c r="AD758" s="1"/>
    </row>
    <row r="759" customFormat="false" ht="18" hidden="false" customHeight="true" outlineLevel="0" collapsed="false">
      <c r="A759" s="1"/>
      <c r="B759" s="35"/>
      <c r="C759" s="8"/>
      <c r="D759" s="26"/>
      <c r="E759" s="27"/>
      <c r="F759" s="36"/>
      <c r="G759" s="36"/>
      <c r="H759" s="36"/>
      <c r="I759" s="36"/>
      <c r="J759" s="37" t="str">
        <f aca="false">IF($E759="","",IFERROR(G759/F759,""))</f>
        <v/>
      </c>
      <c r="K759" s="30" t="str">
        <f aca="false">IF($E759="","",IFERROR(E759/G759,""))</f>
        <v/>
      </c>
      <c r="L759" s="30" t="str">
        <f aca="false">IF($E759="","",IFERROR(E759/F759*1000,""))</f>
        <v/>
      </c>
      <c r="M759" s="37" t="str">
        <f aca="false">IF($E759="","",IFERROR(H759/G759,""))</f>
        <v/>
      </c>
      <c r="N759" s="30" t="str">
        <f aca="false">IF($E759="","",IFERROR(E759/H759,"—"))</f>
        <v/>
      </c>
      <c r="O759" s="30" t="str">
        <f aca="false">IF($E759="","",IFERROR(INDEX('Гео-калькулятор'!$K$7:$K$13,MATCH($C759,'Гео-калькулятор'!$B$7:$B$13,0)),""))</f>
        <v/>
      </c>
      <c r="P759" s="38" t="str">
        <f aca="false">IF($E759="","",IFERROR(N759/O759,""))</f>
        <v/>
      </c>
      <c r="Q759" s="39" t="str">
        <f aca="false">IF($E759="","",IF($I759&lt;&gt;"",$I759,N($H759)*IFERROR(INDEX('Гео-калькулятор'!$E$7:$E$13,MATCH($C759,'Гео-калькулятор'!$B$7:$B$13,0)),0)))</f>
        <v/>
      </c>
      <c r="R759" s="38" t="str">
        <f aca="false">IF($E759="","",IFERROR(Q759/H759,""))</f>
        <v/>
      </c>
      <c r="S759" s="30" t="str">
        <f aca="false">IF($E759="","",IFERROR(E759/Q759,"—"))</f>
        <v/>
      </c>
      <c r="T759" s="30" t="str">
        <f aca="false">IF($E759="","",Q759*IFERROR(INDEX('Гео-калькулятор'!$D$7:$D$13,MATCH($C759,'Гео-калькулятор'!$B$7:$B$13,0)),0))</f>
        <v/>
      </c>
      <c r="U759" s="40" t="str">
        <f aca="false">IF($E759="","",T759-E759)</f>
        <v/>
      </c>
      <c r="V759" s="41" t="str">
        <f aca="false">IF($E759="","",IFERROR(U759/E759,""))</f>
        <v/>
      </c>
      <c r="W759" s="10" t="str">
        <f aca="false">IF($E759="","",IF($I759&lt;&gt;"","факт","прогноз"))</f>
        <v/>
      </c>
      <c r="X759" s="1"/>
      <c r="Y759" s="1"/>
      <c r="Z759" s="1"/>
      <c r="AA759" s="1"/>
      <c r="AB759" s="1"/>
      <c r="AC759" s="1"/>
      <c r="AD759" s="1"/>
    </row>
    <row r="760" customFormat="false" ht="18" hidden="false" customHeight="true" outlineLevel="0" collapsed="false">
      <c r="A760" s="1"/>
      <c r="B760" s="35"/>
      <c r="C760" s="8"/>
      <c r="D760" s="26"/>
      <c r="E760" s="27"/>
      <c r="F760" s="36"/>
      <c r="G760" s="36"/>
      <c r="H760" s="36"/>
      <c r="I760" s="36"/>
      <c r="J760" s="37" t="str">
        <f aca="false">IF($E760="","",IFERROR(G760/F760,""))</f>
        <v/>
      </c>
      <c r="K760" s="30" t="str">
        <f aca="false">IF($E760="","",IFERROR(E760/G760,""))</f>
        <v/>
      </c>
      <c r="L760" s="30" t="str">
        <f aca="false">IF($E760="","",IFERROR(E760/F760*1000,""))</f>
        <v/>
      </c>
      <c r="M760" s="37" t="str">
        <f aca="false">IF($E760="","",IFERROR(H760/G760,""))</f>
        <v/>
      </c>
      <c r="N760" s="30" t="str">
        <f aca="false">IF($E760="","",IFERROR(E760/H760,"—"))</f>
        <v/>
      </c>
      <c r="O760" s="30" t="str">
        <f aca="false">IF($E760="","",IFERROR(INDEX('Гео-калькулятор'!$K$7:$K$13,MATCH($C760,'Гео-калькулятор'!$B$7:$B$13,0)),""))</f>
        <v/>
      </c>
      <c r="P760" s="38" t="str">
        <f aca="false">IF($E760="","",IFERROR(N760/O760,""))</f>
        <v/>
      </c>
      <c r="Q760" s="39" t="str">
        <f aca="false">IF($E760="","",IF($I760&lt;&gt;"",$I760,N($H760)*IFERROR(INDEX('Гео-калькулятор'!$E$7:$E$13,MATCH($C760,'Гео-калькулятор'!$B$7:$B$13,0)),0)))</f>
        <v/>
      </c>
      <c r="R760" s="38" t="str">
        <f aca="false">IF($E760="","",IFERROR(Q760/H760,""))</f>
        <v/>
      </c>
      <c r="S760" s="30" t="str">
        <f aca="false">IF($E760="","",IFERROR(E760/Q760,"—"))</f>
        <v/>
      </c>
      <c r="T760" s="30" t="str">
        <f aca="false">IF($E760="","",Q760*IFERROR(INDEX('Гео-калькулятор'!$D$7:$D$13,MATCH($C760,'Гео-калькулятор'!$B$7:$B$13,0)),0))</f>
        <v/>
      </c>
      <c r="U760" s="40" t="str">
        <f aca="false">IF($E760="","",T760-E760)</f>
        <v/>
      </c>
      <c r="V760" s="41" t="str">
        <f aca="false">IF($E760="","",IFERROR(U760/E760,""))</f>
        <v/>
      </c>
      <c r="W760" s="10" t="str">
        <f aca="false">IF($E760="","",IF($I760&lt;&gt;"","факт","прогноз"))</f>
        <v/>
      </c>
      <c r="X760" s="1"/>
      <c r="Y760" s="1"/>
      <c r="Z760" s="1"/>
      <c r="AA760" s="1"/>
      <c r="AB760" s="1"/>
      <c r="AC760" s="1"/>
      <c r="AD760" s="1"/>
    </row>
    <row r="761" customFormat="false" ht="18" hidden="false" customHeight="true" outlineLevel="0" collapsed="false">
      <c r="A761" s="1"/>
      <c r="B761" s="35"/>
      <c r="C761" s="8"/>
      <c r="D761" s="26"/>
      <c r="E761" s="27"/>
      <c r="F761" s="36"/>
      <c r="G761" s="36"/>
      <c r="H761" s="36"/>
      <c r="I761" s="36"/>
      <c r="J761" s="37" t="str">
        <f aca="false">IF($E761="","",IFERROR(G761/F761,""))</f>
        <v/>
      </c>
      <c r="K761" s="30" t="str">
        <f aca="false">IF($E761="","",IFERROR(E761/G761,""))</f>
        <v/>
      </c>
      <c r="L761" s="30" t="str">
        <f aca="false">IF($E761="","",IFERROR(E761/F761*1000,""))</f>
        <v/>
      </c>
      <c r="M761" s="37" t="str">
        <f aca="false">IF($E761="","",IFERROR(H761/G761,""))</f>
        <v/>
      </c>
      <c r="N761" s="30" t="str">
        <f aca="false">IF($E761="","",IFERROR(E761/H761,"—"))</f>
        <v/>
      </c>
      <c r="O761" s="30" t="str">
        <f aca="false">IF($E761="","",IFERROR(INDEX('Гео-калькулятор'!$K$7:$K$13,MATCH($C761,'Гео-калькулятор'!$B$7:$B$13,0)),""))</f>
        <v/>
      </c>
      <c r="P761" s="38" t="str">
        <f aca="false">IF($E761="","",IFERROR(N761/O761,""))</f>
        <v/>
      </c>
      <c r="Q761" s="39" t="str">
        <f aca="false">IF($E761="","",IF($I761&lt;&gt;"",$I761,N($H761)*IFERROR(INDEX('Гео-калькулятор'!$E$7:$E$13,MATCH($C761,'Гео-калькулятор'!$B$7:$B$13,0)),0)))</f>
        <v/>
      </c>
      <c r="R761" s="38" t="str">
        <f aca="false">IF($E761="","",IFERROR(Q761/H761,""))</f>
        <v/>
      </c>
      <c r="S761" s="30" t="str">
        <f aca="false">IF($E761="","",IFERROR(E761/Q761,"—"))</f>
        <v/>
      </c>
      <c r="T761" s="30" t="str">
        <f aca="false">IF($E761="","",Q761*IFERROR(INDEX('Гео-калькулятор'!$D$7:$D$13,MATCH($C761,'Гео-калькулятор'!$B$7:$B$13,0)),0))</f>
        <v/>
      </c>
      <c r="U761" s="40" t="str">
        <f aca="false">IF($E761="","",T761-E761)</f>
        <v/>
      </c>
      <c r="V761" s="41" t="str">
        <f aca="false">IF($E761="","",IFERROR(U761/E761,""))</f>
        <v/>
      </c>
      <c r="W761" s="10" t="str">
        <f aca="false">IF($E761="","",IF($I761&lt;&gt;"","факт","прогноз"))</f>
        <v/>
      </c>
      <c r="X761" s="1"/>
      <c r="Y761" s="1"/>
      <c r="Z761" s="1"/>
      <c r="AA761" s="1"/>
      <c r="AB761" s="1"/>
      <c r="AC761" s="1"/>
      <c r="AD761" s="1"/>
    </row>
    <row r="762" customFormat="false" ht="18" hidden="false" customHeight="true" outlineLevel="0" collapsed="false">
      <c r="A762" s="1"/>
      <c r="B762" s="35"/>
      <c r="C762" s="8"/>
      <c r="D762" s="26"/>
      <c r="E762" s="27"/>
      <c r="F762" s="36"/>
      <c r="G762" s="36"/>
      <c r="H762" s="36"/>
      <c r="I762" s="36"/>
      <c r="J762" s="37" t="str">
        <f aca="false">IF($E762="","",IFERROR(G762/F762,""))</f>
        <v/>
      </c>
      <c r="K762" s="30" t="str">
        <f aca="false">IF($E762="","",IFERROR(E762/G762,""))</f>
        <v/>
      </c>
      <c r="L762" s="30" t="str">
        <f aca="false">IF($E762="","",IFERROR(E762/F762*1000,""))</f>
        <v/>
      </c>
      <c r="M762" s="37" t="str">
        <f aca="false">IF($E762="","",IFERROR(H762/G762,""))</f>
        <v/>
      </c>
      <c r="N762" s="30" t="str">
        <f aca="false">IF($E762="","",IFERROR(E762/H762,"—"))</f>
        <v/>
      </c>
      <c r="O762" s="30" t="str">
        <f aca="false">IF($E762="","",IFERROR(INDEX('Гео-калькулятор'!$K$7:$K$13,MATCH($C762,'Гео-калькулятор'!$B$7:$B$13,0)),""))</f>
        <v/>
      </c>
      <c r="P762" s="38" t="str">
        <f aca="false">IF($E762="","",IFERROR(N762/O762,""))</f>
        <v/>
      </c>
      <c r="Q762" s="39" t="str">
        <f aca="false">IF($E762="","",IF($I762&lt;&gt;"",$I762,N($H762)*IFERROR(INDEX('Гео-калькулятор'!$E$7:$E$13,MATCH($C762,'Гео-калькулятор'!$B$7:$B$13,0)),0)))</f>
        <v/>
      </c>
      <c r="R762" s="38" t="str">
        <f aca="false">IF($E762="","",IFERROR(Q762/H762,""))</f>
        <v/>
      </c>
      <c r="S762" s="30" t="str">
        <f aca="false">IF($E762="","",IFERROR(E762/Q762,"—"))</f>
        <v/>
      </c>
      <c r="T762" s="30" t="str">
        <f aca="false">IF($E762="","",Q762*IFERROR(INDEX('Гео-калькулятор'!$D$7:$D$13,MATCH($C762,'Гео-калькулятор'!$B$7:$B$13,0)),0))</f>
        <v/>
      </c>
      <c r="U762" s="40" t="str">
        <f aca="false">IF($E762="","",T762-E762)</f>
        <v/>
      </c>
      <c r="V762" s="41" t="str">
        <f aca="false">IF($E762="","",IFERROR(U762/E762,""))</f>
        <v/>
      </c>
      <c r="W762" s="10" t="str">
        <f aca="false">IF($E762="","",IF($I762&lt;&gt;"","факт","прогноз"))</f>
        <v/>
      </c>
      <c r="X762" s="1"/>
      <c r="Y762" s="1"/>
      <c r="Z762" s="1"/>
      <c r="AA762" s="1"/>
      <c r="AB762" s="1"/>
      <c r="AC762" s="1"/>
      <c r="AD762" s="1"/>
    </row>
    <row r="763" customFormat="false" ht="18" hidden="false" customHeight="true" outlineLevel="0" collapsed="false">
      <c r="A763" s="1"/>
      <c r="B763" s="35"/>
      <c r="C763" s="8"/>
      <c r="D763" s="26"/>
      <c r="E763" s="27"/>
      <c r="F763" s="36"/>
      <c r="G763" s="36"/>
      <c r="H763" s="36"/>
      <c r="I763" s="36"/>
      <c r="J763" s="37" t="str">
        <f aca="false">IF($E763="","",IFERROR(G763/F763,""))</f>
        <v/>
      </c>
      <c r="K763" s="30" t="str">
        <f aca="false">IF($E763="","",IFERROR(E763/G763,""))</f>
        <v/>
      </c>
      <c r="L763" s="30" t="str">
        <f aca="false">IF($E763="","",IFERROR(E763/F763*1000,""))</f>
        <v/>
      </c>
      <c r="M763" s="37" t="str">
        <f aca="false">IF($E763="","",IFERROR(H763/G763,""))</f>
        <v/>
      </c>
      <c r="N763" s="30" t="str">
        <f aca="false">IF($E763="","",IFERROR(E763/H763,"—"))</f>
        <v/>
      </c>
      <c r="O763" s="30" t="str">
        <f aca="false">IF($E763="","",IFERROR(INDEX('Гео-калькулятор'!$K$7:$K$13,MATCH($C763,'Гео-калькулятор'!$B$7:$B$13,0)),""))</f>
        <v/>
      </c>
      <c r="P763" s="38" t="str">
        <f aca="false">IF($E763="","",IFERROR(N763/O763,""))</f>
        <v/>
      </c>
      <c r="Q763" s="39" t="str">
        <f aca="false">IF($E763="","",IF($I763&lt;&gt;"",$I763,N($H763)*IFERROR(INDEX('Гео-калькулятор'!$E$7:$E$13,MATCH($C763,'Гео-калькулятор'!$B$7:$B$13,0)),0)))</f>
        <v/>
      </c>
      <c r="R763" s="38" t="str">
        <f aca="false">IF($E763="","",IFERROR(Q763/H763,""))</f>
        <v/>
      </c>
      <c r="S763" s="30" t="str">
        <f aca="false">IF($E763="","",IFERROR(E763/Q763,"—"))</f>
        <v/>
      </c>
      <c r="T763" s="30" t="str">
        <f aca="false">IF($E763="","",Q763*IFERROR(INDEX('Гео-калькулятор'!$D$7:$D$13,MATCH($C763,'Гео-калькулятор'!$B$7:$B$13,0)),0))</f>
        <v/>
      </c>
      <c r="U763" s="40" t="str">
        <f aca="false">IF($E763="","",T763-E763)</f>
        <v/>
      </c>
      <c r="V763" s="41" t="str">
        <f aca="false">IF($E763="","",IFERROR(U763/E763,""))</f>
        <v/>
      </c>
      <c r="W763" s="10" t="str">
        <f aca="false">IF($E763="","",IF($I763&lt;&gt;"","факт","прогноз"))</f>
        <v/>
      </c>
      <c r="X763" s="1"/>
      <c r="Y763" s="1"/>
      <c r="Z763" s="1"/>
      <c r="AA763" s="1"/>
      <c r="AB763" s="1"/>
      <c r="AC763" s="1"/>
      <c r="AD763" s="1"/>
    </row>
    <row r="764" customFormat="false" ht="18" hidden="false" customHeight="true" outlineLevel="0" collapsed="false">
      <c r="A764" s="1"/>
      <c r="B764" s="35"/>
      <c r="C764" s="8"/>
      <c r="D764" s="26"/>
      <c r="E764" s="27"/>
      <c r="F764" s="36"/>
      <c r="G764" s="36"/>
      <c r="H764" s="36"/>
      <c r="I764" s="36"/>
      <c r="J764" s="37" t="str">
        <f aca="false">IF($E764="","",IFERROR(G764/F764,""))</f>
        <v/>
      </c>
      <c r="K764" s="30" t="str">
        <f aca="false">IF($E764="","",IFERROR(E764/G764,""))</f>
        <v/>
      </c>
      <c r="L764" s="30" t="str">
        <f aca="false">IF($E764="","",IFERROR(E764/F764*1000,""))</f>
        <v/>
      </c>
      <c r="M764" s="37" t="str">
        <f aca="false">IF($E764="","",IFERROR(H764/G764,""))</f>
        <v/>
      </c>
      <c r="N764" s="30" t="str">
        <f aca="false">IF($E764="","",IFERROR(E764/H764,"—"))</f>
        <v/>
      </c>
      <c r="O764" s="30" t="str">
        <f aca="false">IF($E764="","",IFERROR(INDEX('Гео-калькулятор'!$K$7:$K$13,MATCH($C764,'Гео-калькулятор'!$B$7:$B$13,0)),""))</f>
        <v/>
      </c>
      <c r="P764" s="38" t="str">
        <f aca="false">IF($E764="","",IFERROR(N764/O764,""))</f>
        <v/>
      </c>
      <c r="Q764" s="39" t="str">
        <f aca="false">IF($E764="","",IF($I764&lt;&gt;"",$I764,N($H764)*IFERROR(INDEX('Гео-калькулятор'!$E$7:$E$13,MATCH($C764,'Гео-калькулятор'!$B$7:$B$13,0)),0)))</f>
        <v/>
      </c>
      <c r="R764" s="38" t="str">
        <f aca="false">IF($E764="","",IFERROR(Q764/H764,""))</f>
        <v/>
      </c>
      <c r="S764" s="30" t="str">
        <f aca="false">IF($E764="","",IFERROR(E764/Q764,"—"))</f>
        <v/>
      </c>
      <c r="T764" s="30" t="str">
        <f aca="false">IF($E764="","",Q764*IFERROR(INDEX('Гео-калькулятор'!$D$7:$D$13,MATCH($C764,'Гео-калькулятор'!$B$7:$B$13,0)),0))</f>
        <v/>
      </c>
      <c r="U764" s="40" t="str">
        <f aca="false">IF($E764="","",T764-E764)</f>
        <v/>
      </c>
      <c r="V764" s="41" t="str">
        <f aca="false">IF($E764="","",IFERROR(U764/E764,""))</f>
        <v/>
      </c>
      <c r="W764" s="10" t="str">
        <f aca="false">IF($E764="","",IF($I764&lt;&gt;"","факт","прогноз"))</f>
        <v/>
      </c>
      <c r="X764" s="1"/>
      <c r="Y764" s="1"/>
      <c r="Z764" s="1"/>
      <c r="AA764" s="1"/>
      <c r="AB764" s="1"/>
      <c r="AC764" s="1"/>
      <c r="AD764" s="1"/>
    </row>
    <row r="765" customFormat="false" ht="18" hidden="false" customHeight="true" outlineLevel="0" collapsed="false">
      <c r="A765" s="1"/>
      <c r="B765" s="35"/>
      <c r="C765" s="8"/>
      <c r="D765" s="26"/>
      <c r="E765" s="27"/>
      <c r="F765" s="36"/>
      <c r="G765" s="36"/>
      <c r="H765" s="36"/>
      <c r="I765" s="36"/>
      <c r="J765" s="37" t="str">
        <f aca="false">IF($E765="","",IFERROR(G765/F765,""))</f>
        <v/>
      </c>
      <c r="K765" s="30" t="str">
        <f aca="false">IF($E765="","",IFERROR(E765/G765,""))</f>
        <v/>
      </c>
      <c r="L765" s="30" t="str">
        <f aca="false">IF($E765="","",IFERROR(E765/F765*1000,""))</f>
        <v/>
      </c>
      <c r="M765" s="37" t="str">
        <f aca="false">IF($E765="","",IFERROR(H765/G765,""))</f>
        <v/>
      </c>
      <c r="N765" s="30" t="str">
        <f aca="false">IF($E765="","",IFERROR(E765/H765,"—"))</f>
        <v/>
      </c>
      <c r="O765" s="30" t="str">
        <f aca="false">IF($E765="","",IFERROR(INDEX('Гео-калькулятор'!$K$7:$K$13,MATCH($C765,'Гео-калькулятор'!$B$7:$B$13,0)),""))</f>
        <v/>
      </c>
      <c r="P765" s="38" t="str">
        <f aca="false">IF($E765="","",IFERROR(N765/O765,""))</f>
        <v/>
      </c>
      <c r="Q765" s="39" t="str">
        <f aca="false">IF($E765="","",IF($I765&lt;&gt;"",$I765,N($H765)*IFERROR(INDEX('Гео-калькулятор'!$E$7:$E$13,MATCH($C765,'Гео-калькулятор'!$B$7:$B$13,0)),0)))</f>
        <v/>
      </c>
      <c r="R765" s="38" t="str">
        <f aca="false">IF($E765="","",IFERROR(Q765/H765,""))</f>
        <v/>
      </c>
      <c r="S765" s="30" t="str">
        <f aca="false">IF($E765="","",IFERROR(E765/Q765,"—"))</f>
        <v/>
      </c>
      <c r="T765" s="30" t="str">
        <f aca="false">IF($E765="","",Q765*IFERROR(INDEX('Гео-калькулятор'!$D$7:$D$13,MATCH($C765,'Гео-калькулятор'!$B$7:$B$13,0)),0))</f>
        <v/>
      </c>
      <c r="U765" s="40" t="str">
        <f aca="false">IF($E765="","",T765-E765)</f>
        <v/>
      </c>
      <c r="V765" s="41" t="str">
        <f aca="false">IF($E765="","",IFERROR(U765/E765,""))</f>
        <v/>
      </c>
      <c r="W765" s="10" t="str">
        <f aca="false">IF($E765="","",IF($I765&lt;&gt;"","факт","прогноз"))</f>
        <v/>
      </c>
      <c r="X765" s="1"/>
      <c r="Y765" s="1"/>
      <c r="Z765" s="1"/>
      <c r="AA765" s="1"/>
      <c r="AB765" s="1"/>
      <c r="AC765" s="1"/>
      <c r="AD765" s="1"/>
    </row>
    <row r="766" customFormat="false" ht="18" hidden="false" customHeight="true" outlineLevel="0" collapsed="false">
      <c r="A766" s="1"/>
      <c r="B766" s="35"/>
      <c r="C766" s="8"/>
      <c r="D766" s="26"/>
      <c r="E766" s="27"/>
      <c r="F766" s="36"/>
      <c r="G766" s="36"/>
      <c r="H766" s="36"/>
      <c r="I766" s="36"/>
      <c r="J766" s="37" t="str">
        <f aca="false">IF($E766="","",IFERROR(G766/F766,""))</f>
        <v/>
      </c>
      <c r="K766" s="30" t="str">
        <f aca="false">IF($E766="","",IFERROR(E766/G766,""))</f>
        <v/>
      </c>
      <c r="L766" s="30" t="str">
        <f aca="false">IF($E766="","",IFERROR(E766/F766*1000,""))</f>
        <v/>
      </c>
      <c r="M766" s="37" t="str">
        <f aca="false">IF($E766="","",IFERROR(H766/G766,""))</f>
        <v/>
      </c>
      <c r="N766" s="30" t="str">
        <f aca="false">IF($E766="","",IFERROR(E766/H766,"—"))</f>
        <v/>
      </c>
      <c r="O766" s="30" t="str">
        <f aca="false">IF($E766="","",IFERROR(INDEX('Гео-калькулятор'!$K$7:$K$13,MATCH($C766,'Гео-калькулятор'!$B$7:$B$13,0)),""))</f>
        <v/>
      </c>
      <c r="P766" s="38" t="str">
        <f aca="false">IF($E766="","",IFERROR(N766/O766,""))</f>
        <v/>
      </c>
      <c r="Q766" s="39" t="str">
        <f aca="false">IF($E766="","",IF($I766&lt;&gt;"",$I766,N($H766)*IFERROR(INDEX('Гео-калькулятор'!$E$7:$E$13,MATCH($C766,'Гео-калькулятор'!$B$7:$B$13,0)),0)))</f>
        <v/>
      </c>
      <c r="R766" s="38" t="str">
        <f aca="false">IF($E766="","",IFERROR(Q766/H766,""))</f>
        <v/>
      </c>
      <c r="S766" s="30" t="str">
        <f aca="false">IF($E766="","",IFERROR(E766/Q766,"—"))</f>
        <v/>
      </c>
      <c r="T766" s="30" t="str">
        <f aca="false">IF($E766="","",Q766*IFERROR(INDEX('Гео-калькулятор'!$D$7:$D$13,MATCH($C766,'Гео-калькулятор'!$B$7:$B$13,0)),0))</f>
        <v/>
      </c>
      <c r="U766" s="40" t="str">
        <f aca="false">IF($E766="","",T766-E766)</f>
        <v/>
      </c>
      <c r="V766" s="41" t="str">
        <f aca="false">IF($E766="","",IFERROR(U766/E766,""))</f>
        <v/>
      </c>
      <c r="W766" s="10" t="str">
        <f aca="false">IF($E766="","",IF($I766&lt;&gt;"","факт","прогноз"))</f>
        <v/>
      </c>
      <c r="X766" s="1"/>
      <c r="Y766" s="1"/>
      <c r="Z766" s="1"/>
      <c r="AA766" s="1"/>
      <c r="AB766" s="1"/>
      <c r="AC766" s="1"/>
      <c r="AD766" s="1"/>
    </row>
    <row r="767" customFormat="false" ht="18" hidden="false" customHeight="true" outlineLevel="0" collapsed="false">
      <c r="A767" s="1"/>
      <c r="B767" s="35"/>
      <c r="C767" s="8"/>
      <c r="D767" s="26"/>
      <c r="E767" s="27"/>
      <c r="F767" s="36"/>
      <c r="G767" s="36"/>
      <c r="H767" s="36"/>
      <c r="I767" s="36"/>
      <c r="J767" s="37" t="str">
        <f aca="false">IF($E767="","",IFERROR(G767/F767,""))</f>
        <v/>
      </c>
      <c r="K767" s="30" t="str">
        <f aca="false">IF($E767="","",IFERROR(E767/G767,""))</f>
        <v/>
      </c>
      <c r="L767" s="30" t="str">
        <f aca="false">IF($E767="","",IFERROR(E767/F767*1000,""))</f>
        <v/>
      </c>
      <c r="M767" s="37" t="str">
        <f aca="false">IF($E767="","",IFERROR(H767/G767,""))</f>
        <v/>
      </c>
      <c r="N767" s="30" t="str">
        <f aca="false">IF($E767="","",IFERROR(E767/H767,"—"))</f>
        <v/>
      </c>
      <c r="O767" s="30" t="str">
        <f aca="false">IF($E767="","",IFERROR(INDEX('Гео-калькулятор'!$K$7:$K$13,MATCH($C767,'Гео-калькулятор'!$B$7:$B$13,0)),""))</f>
        <v/>
      </c>
      <c r="P767" s="38" t="str">
        <f aca="false">IF($E767="","",IFERROR(N767/O767,""))</f>
        <v/>
      </c>
      <c r="Q767" s="39" t="str">
        <f aca="false">IF($E767="","",IF($I767&lt;&gt;"",$I767,N($H767)*IFERROR(INDEX('Гео-калькулятор'!$E$7:$E$13,MATCH($C767,'Гео-калькулятор'!$B$7:$B$13,0)),0)))</f>
        <v/>
      </c>
      <c r="R767" s="38" t="str">
        <f aca="false">IF($E767="","",IFERROR(Q767/H767,""))</f>
        <v/>
      </c>
      <c r="S767" s="30" t="str">
        <f aca="false">IF($E767="","",IFERROR(E767/Q767,"—"))</f>
        <v/>
      </c>
      <c r="T767" s="30" t="str">
        <f aca="false">IF($E767="","",Q767*IFERROR(INDEX('Гео-калькулятор'!$D$7:$D$13,MATCH($C767,'Гео-калькулятор'!$B$7:$B$13,0)),0))</f>
        <v/>
      </c>
      <c r="U767" s="40" t="str">
        <f aca="false">IF($E767="","",T767-E767)</f>
        <v/>
      </c>
      <c r="V767" s="41" t="str">
        <f aca="false">IF($E767="","",IFERROR(U767/E767,""))</f>
        <v/>
      </c>
      <c r="W767" s="10" t="str">
        <f aca="false">IF($E767="","",IF($I767&lt;&gt;"","факт","прогноз"))</f>
        <v/>
      </c>
      <c r="X767" s="1"/>
      <c r="Y767" s="1"/>
      <c r="Z767" s="1"/>
      <c r="AA767" s="1"/>
      <c r="AB767" s="1"/>
      <c r="AC767" s="1"/>
      <c r="AD767" s="1"/>
    </row>
    <row r="768" customFormat="false" ht="18" hidden="false" customHeight="true" outlineLevel="0" collapsed="false">
      <c r="A768" s="1"/>
      <c r="B768" s="35"/>
      <c r="C768" s="8"/>
      <c r="D768" s="26"/>
      <c r="E768" s="27"/>
      <c r="F768" s="36"/>
      <c r="G768" s="36"/>
      <c r="H768" s="36"/>
      <c r="I768" s="36"/>
      <c r="J768" s="37" t="str">
        <f aca="false">IF($E768="","",IFERROR(G768/F768,""))</f>
        <v/>
      </c>
      <c r="K768" s="30" t="str">
        <f aca="false">IF($E768="","",IFERROR(E768/G768,""))</f>
        <v/>
      </c>
      <c r="L768" s="30" t="str">
        <f aca="false">IF($E768="","",IFERROR(E768/F768*1000,""))</f>
        <v/>
      </c>
      <c r="M768" s="37" t="str">
        <f aca="false">IF($E768="","",IFERROR(H768/G768,""))</f>
        <v/>
      </c>
      <c r="N768" s="30" t="str">
        <f aca="false">IF($E768="","",IFERROR(E768/H768,"—"))</f>
        <v/>
      </c>
      <c r="O768" s="30" t="str">
        <f aca="false">IF($E768="","",IFERROR(INDEX('Гео-калькулятор'!$K$7:$K$13,MATCH($C768,'Гео-калькулятор'!$B$7:$B$13,0)),""))</f>
        <v/>
      </c>
      <c r="P768" s="38" t="str">
        <f aca="false">IF($E768="","",IFERROR(N768/O768,""))</f>
        <v/>
      </c>
      <c r="Q768" s="39" t="str">
        <f aca="false">IF($E768="","",IF($I768&lt;&gt;"",$I768,N($H768)*IFERROR(INDEX('Гео-калькулятор'!$E$7:$E$13,MATCH($C768,'Гео-калькулятор'!$B$7:$B$13,0)),0)))</f>
        <v/>
      </c>
      <c r="R768" s="38" t="str">
        <f aca="false">IF($E768="","",IFERROR(Q768/H768,""))</f>
        <v/>
      </c>
      <c r="S768" s="30" t="str">
        <f aca="false">IF($E768="","",IFERROR(E768/Q768,"—"))</f>
        <v/>
      </c>
      <c r="T768" s="30" t="str">
        <f aca="false">IF($E768="","",Q768*IFERROR(INDEX('Гео-калькулятор'!$D$7:$D$13,MATCH($C768,'Гео-калькулятор'!$B$7:$B$13,0)),0))</f>
        <v/>
      </c>
      <c r="U768" s="40" t="str">
        <f aca="false">IF($E768="","",T768-E768)</f>
        <v/>
      </c>
      <c r="V768" s="41" t="str">
        <f aca="false">IF($E768="","",IFERROR(U768/E768,""))</f>
        <v/>
      </c>
      <c r="W768" s="10" t="str">
        <f aca="false">IF($E768="","",IF($I768&lt;&gt;"","факт","прогноз"))</f>
        <v/>
      </c>
      <c r="X768" s="1"/>
      <c r="Y768" s="1"/>
      <c r="Z768" s="1"/>
      <c r="AA768" s="1"/>
      <c r="AB768" s="1"/>
      <c r="AC768" s="1"/>
      <c r="AD768" s="1"/>
    </row>
    <row r="769" customFormat="false" ht="18" hidden="false" customHeight="true" outlineLevel="0" collapsed="false">
      <c r="A769" s="1"/>
      <c r="B769" s="35"/>
      <c r="C769" s="8"/>
      <c r="D769" s="26"/>
      <c r="E769" s="27"/>
      <c r="F769" s="36"/>
      <c r="G769" s="36"/>
      <c r="H769" s="36"/>
      <c r="I769" s="36"/>
      <c r="J769" s="37" t="str">
        <f aca="false">IF($E769="","",IFERROR(G769/F769,""))</f>
        <v/>
      </c>
      <c r="K769" s="30" t="str">
        <f aca="false">IF($E769="","",IFERROR(E769/G769,""))</f>
        <v/>
      </c>
      <c r="L769" s="30" t="str">
        <f aca="false">IF($E769="","",IFERROR(E769/F769*1000,""))</f>
        <v/>
      </c>
      <c r="M769" s="37" t="str">
        <f aca="false">IF($E769="","",IFERROR(H769/G769,""))</f>
        <v/>
      </c>
      <c r="N769" s="30" t="str">
        <f aca="false">IF($E769="","",IFERROR(E769/H769,"—"))</f>
        <v/>
      </c>
      <c r="O769" s="30" t="str">
        <f aca="false">IF($E769="","",IFERROR(INDEX('Гео-калькулятор'!$K$7:$K$13,MATCH($C769,'Гео-калькулятор'!$B$7:$B$13,0)),""))</f>
        <v/>
      </c>
      <c r="P769" s="38" t="str">
        <f aca="false">IF($E769="","",IFERROR(N769/O769,""))</f>
        <v/>
      </c>
      <c r="Q769" s="39" t="str">
        <f aca="false">IF($E769="","",IF($I769&lt;&gt;"",$I769,N($H769)*IFERROR(INDEX('Гео-калькулятор'!$E$7:$E$13,MATCH($C769,'Гео-калькулятор'!$B$7:$B$13,0)),0)))</f>
        <v/>
      </c>
      <c r="R769" s="38" t="str">
        <f aca="false">IF($E769="","",IFERROR(Q769/H769,""))</f>
        <v/>
      </c>
      <c r="S769" s="30" t="str">
        <f aca="false">IF($E769="","",IFERROR(E769/Q769,"—"))</f>
        <v/>
      </c>
      <c r="T769" s="30" t="str">
        <f aca="false">IF($E769="","",Q769*IFERROR(INDEX('Гео-калькулятор'!$D$7:$D$13,MATCH($C769,'Гео-калькулятор'!$B$7:$B$13,0)),0))</f>
        <v/>
      </c>
      <c r="U769" s="40" t="str">
        <f aca="false">IF($E769="","",T769-E769)</f>
        <v/>
      </c>
      <c r="V769" s="41" t="str">
        <f aca="false">IF($E769="","",IFERROR(U769/E769,""))</f>
        <v/>
      </c>
      <c r="W769" s="10" t="str">
        <f aca="false">IF($E769="","",IF($I769&lt;&gt;"","факт","прогноз"))</f>
        <v/>
      </c>
      <c r="X769" s="1"/>
      <c r="Y769" s="1"/>
      <c r="Z769" s="1"/>
      <c r="AA769" s="1"/>
      <c r="AB769" s="1"/>
      <c r="AC769" s="1"/>
      <c r="AD769" s="1"/>
    </row>
    <row r="770" customFormat="false" ht="18" hidden="false" customHeight="true" outlineLevel="0" collapsed="false">
      <c r="A770" s="1"/>
      <c r="B770" s="35"/>
      <c r="C770" s="8"/>
      <c r="D770" s="26"/>
      <c r="E770" s="27"/>
      <c r="F770" s="36"/>
      <c r="G770" s="36"/>
      <c r="H770" s="36"/>
      <c r="I770" s="36"/>
      <c r="J770" s="37" t="str">
        <f aca="false">IF($E770="","",IFERROR(G770/F770,""))</f>
        <v/>
      </c>
      <c r="K770" s="30" t="str">
        <f aca="false">IF($E770="","",IFERROR(E770/G770,""))</f>
        <v/>
      </c>
      <c r="L770" s="30" t="str">
        <f aca="false">IF($E770="","",IFERROR(E770/F770*1000,""))</f>
        <v/>
      </c>
      <c r="M770" s="37" t="str">
        <f aca="false">IF($E770="","",IFERROR(H770/G770,""))</f>
        <v/>
      </c>
      <c r="N770" s="30" t="str">
        <f aca="false">IF($E770="","",IFERROR(E770/H770,"—"))</f>
        <v/>
      </c>
      <c r="O770" s="30" t="str">
        <f aca="false">IF($E770="","",IFERROR(INDEX('Гео-калькулятор'!$K$7:$K$13,MATCH($C770,'Гео-калькулятор'!$B$7:$B$13,0)),""))</f>
        <v/>
      </c>
      <c r="P770" s="38" t="str">
        <f aca="false">IF($E770="","",IFERROR(N770/O770,""))</f>
        <v/>
      </c>
      <c r="Q770" s="39" t="str">
        <f aca="false">IF($E770="","",IF($I770&lt;&gt;"",$I770,N($H770)*IFERROR(INDEX('Гео-калькулятор'!$E$7:$E$13,MATCH($C770,'Гео-калькулятор'!$B$7:$B$13,0)),0)))</f>
        <v/>
      </c>
      <c r="R770" s="38" t="str">
        <f aca="false">IF($E770="","",IFERROR(Q770/H770,""))</f>
        <v/>
      </c>
      <c r="S770" s="30" t="str">
        <f aca="false">IF($E770="","",IFERROR(E770/Q770,"—"))</f>
        <v/>
      </c>
      <c r="T770" s="30" t="str">
        <f aca="false">IF($E770="","",Q770*IFERROR(INDEX('Гео-калькулятор'!$D$7:$D$13,MATCH($C770,'Гео-калькулятор'!$B$7:$B$13,0)),0))</f>
        <v/>
      </c>
      <c r="U770" s="40" t="str">
        <f aca="false">IF($E770="","",T770-E770)</f>
        <v/>
      </c>
      <c r="V770" s="41" t="str">
        <f aca="false">IF($E770="","",IFERROR(U770/E770,""))</f>
        <v/>
      </c>
      <c r="W770" s="10" t="str">
        <f aca="false">IF($E770="","",IF($I770&lt;&gt;"","факт","прогноз"))</f>
        <v/>
      </c>
      <c r="X770" s="1"/>
      <c r="Y770" s="1"/>
      <c r="Z770" s="1"/>
      <c r="AA770" s="1"/>
      <c r="AB770" s="1"/>
      <c r="AC770" s="1"/>
      <c r="AD770" s="1"/>
    </row>
    <row r="771" customFormat="false" ht="18" hidden="false" customHeight="true" outlineLevel="0" collapsed="false">
      <c r="A771" s="1"/>
      <c r="B771" s="35"/>
      <c r="C771" s="8"/>
      <c r="D771" s="26"/>
      <c r="E771" s="27"/>
      <c r="F771" s="36"/>
      <c r="G771" s="36"/>
      <c r="H771" s="36"/>
      <c r="I771" s="36"/>
      <c r="J771" s="37" t="str">
        <f aca="false">IF($E771="","",IFERROR(G771/F771,""))</f>
        <v/>
      </c>
      <c r="K771" s="30" t="str">
        <f aca="false">IF($E771="","",IFERROR(E771/G771,""))</f>
        <v/>
      </c>
      <c r="L771" s="30" t="str">
        <f aca="false">IF($E771="","",IFERROR(E771/F771*1000,""))</f>
        <v/>
      </c>
      <c r="M771" s="37" t="str">
        <f aca="false">IF($E771="","",IFERROR(H771/G771,""))</f>
        <v/>
      </c>
      <c r="N771" s="30" t="str">
        <f aca="false">IF($E771="","",IFERROR(E771/H771,"—"))</f>
        <v/>
      </c>
      <c r="O771" s="30" t="str">
        <f aca="false">IF($E771="","",IFERROR(INDEX('Гео-калькулятор'!$K$7:$K$13,MATCH($C771,'Гео-калькулятор'!$B$7:$B$13,0)),""))</f>
        <v/>
      </c>
      <c r="P771" s="38" t="str">
        <f aca="false">IF($E771="","",IFERROR(N771/O771,""))</f>
        <v/>
      </c>
      <c r="Q771" s="39" t="str">
        <f aca="false">IF($E771="","",IF($I771&lt;&gt;"",$I771,N($H771)*IFERROR(INDEX('Гео-калькулятор'!$E$7:$E$13,MATCH($C771,'Гео-калькулятор'!$B$7:$B$13,0)),0)))</f>
        <v/>
      </c>
      <c r="R771" s="38" t="str">
        <f aca="false">IF($E771="","",IFERROR(Q771/H771,""))</f>
        <v/>
      </c>
      <c r="S771" s="30" t="str">
        <f aca="false">IF($E771="","",IFERROR(E771/Q771,"—"))</f>
        <v/>
      </c>
      <c r="T771" s="30" t="str">
        <f aca="false">IF($E771="","",Q771*IFERROR(INDEX('Гео-калькулятор'!$D$7:$D$13,MATCH($C771,'Гео-калькулятор'!$B$7:$B$13,0)),0))</f>
        <v/>
      </c>
      <c r="U771" s="40" t="str">
        <f aca="false">IF($E771="","",T771-E771)</f>
        <v/>
      </c>
      <c r="V771" s="41" t="str">
        <f aca="false">IF($E771="","",IFERROR(U771/E771,""))</f>
        <v/>
      </c>
      <c r="W771" s="10" t="str">
        <f aca="false">IF($E771="","",IF($I771&lt;&gt;"","факт","прогноз"))</f>
        <v/>
      </c>
      <c r="X771" s="1"/>
      <c r="Y771" s="1"/>
      <c r="Z771" s="1"/>
      <c r="AA771" s="1"/>
      <c r="AB771" s="1"/>
      <c r="AC771" s="1"/>
      <c r="AD771" s="1"/>
    </row>
    <row r="772" customFormat="false" ht="18" hidden="false" customHeight="true" outlineLevel="0" collapsed="false">
      <c r="A772" s="1"/>
      <c r="B772" s="35"/>
      <c r="C772" s="8"/>
      <c r="D772" s="26"/>
      <c r="E772" s="27"/>
      <c r="F772" s="36"/>
      <c r="G772" s="36"/>
      <c r="H772" s="36"/>
      <c r="I772" s="36"/>
      <c r="J772" s="37" t="str">
        <f aca="false">IF($E772="","",IFERROR(G772/F772,""))</f>
        <v/>
      </c>
      <c r="K772" s="30" t="str">
        <f aca="false">IF($E772="","",IFERROR(E772/G772,""))</f>
        <v/>
      </c>
      <c r="L772" s="30" t="str">
        <f aca="false">IF($E772="","",IFERROR(E772/F772*1000,""))</f>
        <v/>
      </c>
      <c r="M772" s="37" t="str">
        <f aca="false">IF($E772="","",IFERROR(H772/G772,""))</f>
        <v/>
      </c>
      <c r="N772" s="30" t="str">
        <f aca="false">IF($E772="","",IFERROR(E772/H772,"—"))</f>
        <v/>
      </c>
      <c r="O772" s="30" t="str">
        <f aca="false">IF($E772="","",IFERROR(INDEX('Гео-калькулятор'!$K$7:$K$13,MATCH($C772,'Гео-калькулятор'!$B$7:$B$13,0)),""))</f>
        <v/>
      </c>
      <c r="P772" s="38" t="str">
        <f aca="false">IF($E772="","",IFERROR(N772/O772,""))</f>
        <v/>
      </c>
      <c r="Q772" s="39" t="str">
        <f aca="false">IF($E772="","",IF($I772&lt;&gt;"",$I772,N($H772)*IFERROR(INDEX('Гео-калькулятор'!$E$7:$E$13,MATCH($C772,'Гео-калькулятор'!$B$7:$B$13,0)),0)))</f>
        <v/>
      </c>
      <c r="R772" s="38" t="str">
        <f aca="false">IF($E772="","",IFERROR(Q772/H772,""))</f>
        <v/>
      </c>
      <c r="S772" s="30" t="str">
        <f aca="false">IF($E772="","",IFERROR(E772/Q772,"—"))</f>
        <v/>
      </c>
      <c r="T772" s="30" t="str">
        <f aca="false">IF($E772="","",Q772*IFERROR(INDEX('Гео-калькулятор'!$D$7:$D$13,MATCH($C772,'Гео-калькулятор'!$B$7:$B$13,0)),0))</f>
        <v/>
      </c>
      <c r="U772" s="40" t="str">
        <f aca="false">IF($E772="","",T772-E772)</f>
        <v/>
      </c>
      <c r="V772" s="41" t="str">
        <f aca="false">IF($E772="","",IFERROR(U772/E772,""))</f>
        <v/>
      </c>
      <c r="W772" s="10" t="str">
        <f aca="false">IF($E772="","",IF($I772&lt;&gt;"","факт","прогноз"))</f>
        <v/>
      </c>
      <c r="X772" s="1"/>
      <c r="Y772" s="1"/>
      <c r="Z772" s="1"/>
      <c r="AA772" s="1"/>
      <c r="AB772" s="1"/>
      <c r="AC772" s="1"/>
      <c r="AD772" s="1"/>
    </row>
    <row r="773" customFormat="false" ht="18" hidden="false" customHeight="true" outlineLevel="0" collapsed="false">
      <c r="A773" s="1"/>
      <c r="B773" s="35"/>
      <c r="C773" s="8"/>
      <c r="D773" s="26"/>
      <c r="E773" s="27"/>
      <c r="F773" s="36"/>
      <c r="G773" s="36"/>
      <c r="H773" s="36"/>
      <c r="I773" s="36"/>
      <c r="J773" s="37" t="str">
        <f aca="false">IF($E773="","",IFERROR(G773/F773,""))</f>
        <v/>
      </c>
      <c r="K773" s="30" t="str">
        <f aca="false">IF($E773="","",IFERROR(E773/G773,""))</f>
        <v/>
      </c>
      <c r="L773" s="30" t="str">
        <f aca="false">IF($E773="","",IFERROR(E773/F773*1000,""))</f>
        <v/>
      </c>
      <c r="M773" s="37" t="str">
        <f aca="false">IF($E773="","",IFERROR(H773/G773,""))</f>
        <v/>
      </c>
      <c r="N773" s="30" t="str">
        <f aca="false">IF($E773="","",IFERROR(E773/H773,"—"))</f>
        <v/>
      </c>
      <c r="O773" s="30" t="str">
        <f aca="false">IF($E773="","",IFERROR(INDEX('Гео-калькулятор'!$K$7:$K$13,MATCH($C773,'Гео-калькулятор'!$B$7:$B$13,0)),""))</f>
        <v/>
      </c>
      <c r="P773" s="38" t="str">
        <f aca="false">IF($E773="","",IFERROR(N773/O773,""))</f>
        <v/>
      </c>
      <c r="Q773" s="39" t="str">
        <f aca="false">IF($E773="","",IF($I773&lt;&gt;"",$I773,N($H773)*IFERROR(INDEX('Гео-калькулятор'!$E$7:$E$13,MATCH($C773,'Гео-калькулятор'!$B$7:$B$13,0)),0)))</f>
        <v/>
      </c>
      <c r="R773" s="38" t="str">
        <f aca="false">IF($E773="","",IFERROR(Q773/H773,""))</f>
        <v/>
      </c>
      <c r="S773" s="30" t="str">
        <f aca="false">IF($E773="","",IFERROR(E773/Q773,"—"))</f>
        <v/>
      </c>
      <c r="T773" s="30" t="str">
        <f aca="false">IF($E773="","",Q773*IFERROR(INDEX('Гео-калькулятор'!$D$7:$D$13,MATCH($C773,'Гео-калькулятор'!$B$7:$B$13,0)),0))</f>
        <v/>
      </c>
      <c r="U773" s="40" t="str">
        <f aca="false">IF($E773="","",T773-E773)</f>
        <v/>
      </c>
      <c r="V773" s="41" t="str">
        <f aca="false">IF($E773="","",IFERROR(U773/E773,""))</f>
        <v/>
      </c>
      <c r="W773" s="10" t="str">
        <f aca="false">IF($E773="","",IF($I773&lt;&gt;"","факт","прогноз"))</f>
        <v/>
      </c>
      <c r="X773" s="1"/>
      <c r="Y773" s="1"/>
      <c r="Z773" s="1"/>
      <c r="AA773" s="1"/>
      <c r="AB773" s="1"/>
      <c r="AC773" s="1"/>
      <c r="AD773" s="1"/>
    </row>
    <row r="774" customFormat="false" ht="18" hidden="false" customHeight="true" outlineLevel="0" collapsed="false">
      <c r="A774" s="1"/>
      <c r="B774" s="35"/>
      <c r="C774" s="8"/>
      <c r="D774" s="26"/>
      <c r="E774" s="27"/>
      <c r="F774" s="36"/>
      <c r="G774" s="36"/>
      <c r="H774" s="36"/>
      <c r="I774" s="36"/>
      <c r="J774" s="37" t="str">
        <f aca="false">IF($E774="","",IFERROR(G774/F774,""))</f>
        <v/>
      </c>
      <c r="K774" s="30" t="str">
        <f aca="false">IF($E774="","",IFERROR(E774/G774,""))</f>
        <v/>
      </c>
      <c r="L774" s="30" t="str">
        <f aca="false">IF($E774="","",IFERROR(E774/F774*1000,""))</f>
        <v/>
      </c>
      <c r="M774" s="37" t="str">
        <f aca="false">IF($E774="","",IFERROR(H774/G774,""))</f>
        <v/>
      </c>
      <c r="N774" s="30" t="str">
        <f aca="false">IF($E774="","",IFERROR(E774/H774,"—"))</f>
        <v/>
      </c>
      <c r="O774" s="30" t="str">
        <f aca="false">IF($E774="","",IFERROR(INDEX('Гео-калькулятор'!$K$7:$K$13,MATCH($C774,'Гео-калькулятор'!$B$7:$B$13,0)),""))</f>
        <v/>
      </c>
      <c r="P774" s="38" t="str">
        <f aca="false">IF($E774="","",IFERROR(N774/O774,""))</f>
        <v/>
      </c>
      <c r="Q774" s="39" t="str">
        <f aca="false">IF($E774="","",IF($I774&lt;&gt;"",$I774,N($H774)*IFERROR(INDEX('Гео-калькулятор'!$E$7:$E$13,MATCH($C774,'Гео-калькулятор'!$B$7:$B$13,0)),0)))</f>
        <v/>
      </c>
      <c r="R774" s="38" t="str">
        <f aca="false">IF($E774="","",IFERROR(Q774/H774,""))</f>
        <v/>
      </c>
      <c r="S774" s="30" t="str">
        <f aca="false">IF($E774="","",IFERROR(E774/Q774,"—"))</f>
        <v/>
      </c>
      <c r="T774" s="30" t="str">
        <f aca="false">IF($E774="","",Q774*IFERROR(INDEX('Гео-калькулятор'!$D$7:$D$13,MATCH($C774,'Гео-калькулятор'!$B$7:$B$13,0)),0))</f>
        <v/>
      </c>
      <c r="U774" s="40" t="str">
        <f aca="false">IF($E774="","",T774-E774)</f>
        <v/>
      </c>
      <c r="V774" s="41" t="str">
        <f aca="false">IF($E774="","",IFERROR(U774/E774,""))</f>
        <v/>
      </c>
      <c r="W774" s="10" t="str">
        <f aca="false">IF($E774="","",IF($I774&lt;&gt;"","факт","прогноз"))</f>
        <v/>
      </c>
      <c r="X774" s="1"/>
      <c r="Y774" s="1"/>
      <c r="Z774" s="1"/>
      <c r="AA774" s="1"/>
      <c r="AB774" s="1"/>
      <c r="AC774" s="1"/>
      <c r="AD774" s="1"/>
    </row>
    <row r="775" customFormat="false" ht="18" hidden="false" customHeight="true" outlineLevel="0" collapsed="false">
      <c r="A775" s="1"/>
      <c r="B775" s="35"/>
      <c r="C775" s="8"/>
      <c r="D775" s="26"/>
      <c r="E775" s="27"/>
      <c r="F775" s="36"/>
      <c r="G775" s="36"/>
      <c r="H775" s="36"/>
      <c r="I775" s="36"/>
      <c r="J775" s="37" t="str">
        <f aca="false">IF($E775="","",IFERROR(G775/F775,""))</f>
        <v/>
      </c>
      <c r="K775" s="30" t="str">
        <f aca="false">IF($E775="","",IFERROR(E775/G775,""))</f>
        <v/>
      </c>
      <c r="L775" s="30" t="str">
        <f aca="false">IF($E775="","",IFERROR(E775/F775*1000,""))</f>
        <v/>
      </c>
      <c r="M775" s="37" t="str">
        <f aca="false">IF($E775="","",IFERROR(H775/G775,""))</f>
        <v/>
      </c>
      <c r="N775" s="30" t="str">
        <f aca="false">IF($E775="","",IFERROR(E775/H775,"—"))</f>
        <v/>
      </c>
      <c r="O775" s="30" t="str">
        <f aca="false">IF($E775="","",IFERROR(INDEX('Гео-калькулятор'!$K$7:$K$13,MATCH($C775,'Гео-калькулятор'!$B$7:$B$13,0)),""))</f>
        <v/>
      </c>
      <c r="P775" s="38" t="str">
        <f aca="false">IF($E775="","",IFERROR(N775/O775,""))</f>
        <v/>
      </c>
      <c r="Q775" s="39" t="str">
        <f aca="false">IF($E775="","",IF($I775&lt;&gt;"",$I775,N($H775)*IFERROR(INDEX('Гео-калькулятор'!$E$7:$E$13,MATCH($C775,'Гео-калькулятор'!$B$7:$B$13,0)),0)))</f>
        <v/>
      </c>
      <c r="R775" s="38" t="str">
        <f aca="false">IF($E775="","",IFERROR(Q775/H775,""))</f>
        <v/>
      </c>
      <c r="S775" s="30" t="str">
        <f aca="false">IF($E775="","",IFERROR(E775/Q775,"—"))</f>
        <v/>
      </c>
      <c r="T775" s="30" t="str">
        <f aca="false">IF($E775="","",Q775*IFERROR(INDEX('Гео-калькулятор'!$D$7:$D$13,MATCH($C775,'Гео-калькулятор'!$B$7:$B$13,0)),0))</f>
        <v/>
      </c>
      <c r="U775" s="40" t="str">
        <f aca="false">IF($E775="","",T775-E775)</f>
        <v/>
      </c>
      <c r="V775" s="41" t="str">
        <f aca="false">IF($E775="","",IFERROR(U775/E775,""))</f>
        <v/>
      </c>
      <c r="W775" s="10" t="str">
        <f aca="false">IF($E775="","",IF($I775&lt;&gt;"","факт","прогноз"))</f>
        <v/>
      </c>
      <c r="X775" s="1"/>
      <c r="Y775" s="1"/>
      <c r="Z775" s="1"/>
      <c r="AA775" s="1"/>
      <c r="AB775" s="1"/>
      <c r="AC775" s="1"/>
      <c r="AD775" s="1"/>
    </row>
    <row r="776" customFormat="false" ht="18" hidden="false" customHeight="true" outlineLevel="0" collapsed="false">
      <c r="A776" s="1"/>
      <c r="B776" s="35"/>
      <c r="C776" s="8"/>
      <c r="D776" s="26"/>
      <c r="E776" s="27"/>
      <c r="F776" s="36"/>
      <c r="G776" s="36"/>
      <c r="H776" s="36"/>
      <c r="I776" s="36"/>
      <c r="J776" s="37" t="str">
        <f aca="false">IF($E776="","",IFERROR(G776/F776,""))</f>
        <v/>
      </c>
      <c r="K776" s="30" t="str">
        <f aca="false">IF($E776="","",IFERROR(E776/G776,""))</f>
        <v/>
      </c>
      <c r="L776" s="30" t="str">
        <f aca="false">IF($E776="","",IFERROR(E776/F776*1000,""))</f>
        <v/>
      </c>
      <c r="M776" s="37" t="str">
        <f aca="false">IF($E776="","",IFERROR(H776/G776,""))</f>
        <v/>
      </c>
      <c r="N776" s="30" t="str">
        <f aca="false">IF($E776="","",IFERROR(E776/H776,"—"))</f>
        <v/>
      </c>
      <c r="O776" s="30" t="str">
        <f aca="false">IF($E776="","",IFERROR(INDEX('Гео-калькулятор'!$K$7:$K$13,MATCH($C776,'Гео-калькулятор'!$B$7:$B$13,0)),""))</f>
        <v/>
      </c>
      <c r="P776" s="38" t="str">
        <f aca="false">IF($E776="","",IFERROR(N776/O776,""))</f>
        <v/>
      </c>
      <c r="Q776" s="39" t="str">
        <f aca="false">IF($E776="","",IF($I776&lt;&gt;"",$I776,N($H776)*IFERROR(INDEX('Гео-калькулятор'!$E$7:$E$13,MATCH($C776,'Гео-калькулятор'!$B$7:$B$13,0)),0)))</f>
        <v/>
      </c>
      <c r="R776" s="38" t="str">
        <f aca="false">IF($E776="","",IFERROR(Q776/H776,""))</f>
        <v/>
      </c>
      <c r="S776" s="30" t="str">
        <f aca="false">IF($E776="","",IFERROR(E776/Q776,"—"))</f>
        <v/>
      </c>
      <c r="T776" s="30" t="str">
        <f aca="false">IF($E776="","",Q776*IFERROR(INDEX('Гео-калькулятор'!$D$7:$D$13,MATCH($C776,'Гео-калькулятор'!$B$7:$B$13,0)),0))</f>
        <v/>
      </c>
      <c r="U776" s="40" t="str">
        <f aca="false">IF($E776="","",T776-E776)</f>
        <v/>
      </c>
      <c r="V776" s="41" t="str">
        <f aca="false">IF($E776="","",IFERROR(U776/E776,""))</f>
        <v/>
      </c>
      <c r="W776" s="10" t="str">
        <f aca="false">IF($E776="","",IF($I776&lt;&gt;"","факт","прогноз"))</f>
        <v/>
      </c>
      <c r="X776" s="1"/>
      <c r="Y776" s="1"/>
      <c r="Z776" s="1"/>
      <c r="AA776" s="1"/>
      <c r="AB776" s="1"/>
      <c r="AC776" s="1"/>
      <c r="AD776" s="1"/>
    </row>
    <row r="777" customFormat="false" ht="18" hidden="false" customHeight="true" outlineLevel="0" collapsed="false">
      <c r="A777" s="1"/>
      <c r="B777" s="35"/>
      <c r="C777" s="8"/>
      <c r="D777" s="26"/>
      <c r="E777" s="27"/>
      <c r="F777" s="36"/>
      <c r="G777" s="36"/>
      <c r="H777" s="36"/>
      <c r="I777" s="36"/>
      <c r="J777" s="37" t="str">
        <f aca="false">IF($E777="","",IFERROR(G777/F777,""))</f>
        <v/>
      </c>
      <c r="K777" s="30" t="str">
        <f aca="false">IF($E777="","",IFERROR(E777/G777,""))</f>
        <v/>
      </c>
      <c r="L777" s="30" t="str">
        <f aca="false">IF($E777="","",IFERROR(E777/F777*1000,""))</f>
        <v/>
      </c>
      <c r="M777" s="37" t="str">
        <f aca="false">IF($E777="","",IFERROR(H777/G777,""))</f>
        <v/>
      </c>
      <c r="N777" s="30" t="str">
        <f aca="false">IF($E777="","",IFERROR(E777/H777,"—"))</f>
        <v/>
      </c>
      <c r="O777" s="30" t="str">
        <f aca="false">IF($E777="","",IFERROR(INDEX('Гео-калькулятор'!$K$7:$K$13,MATCH($C777,'Гео-калькулятор'!$B$7:$B$13,0)),""))</f>
        <v/>
      </c>
      <c r="P777" s="38" t="str">
        <f aca="false">IF($E777="","",IFERROR(N777/O777,""))</f>
        <v/>
      </c>
      <c r="Q777" s="39" t="str">
        <f aca="false">IF($E777="","",IF($I777&lt;&gt;"",$I777,N($H777)*IFERROR(INDEX('Гео-калькулятор'!$E$7:$E$13,MATCH($C777,'Гео-калькулятор'!$B$7:$B$13,0)),0)))</f>
        <v/>
      </c>
      <c r="R777" s="38" t="str">
        <f aca="false">IF($E777="","",IFERROR(Q777/H777,""))</f>
        <v/>
      </c>
      <c r="S777" s="30" t="str">
        <f aca="false">IF($E777="","",IFERROR(E777/Q777,"—"))</f>
        <v/>
      </c>
      <c r="T777" s="30" t="str">
        <f aca="false">IF($E777="","",Q777*IFERROR(INDEX('Гео-калькулятор'!$D$7:$D$13,MATCH($C777,'Гео-калькулятор'!$B$7:$B$13,0)),0))</f>
        <v/>
      </c>
      <c r="U777" s="40" t="str">
        <f aca="false">IF($E777="","",T777-E777)</f>
        <v/>
      </c>
      <c r="V777" s="41" t="str">
        <f aca="false">IF($E777="","",IFERROR(U777/E777,""))</f>
        <v/>
      </c>
      <c r="W777" s="10" t="str">
        <f aca="false">IF($E777="","",IF($I777&lt;&gt;"","факт","прогноз"))</f>
        <v/>
      </c>
      <c r="X777" s="1"/>
      <c r="Y777" s="1"/>
      <c r="Z777" s="1"/>
      <c r="AA777" s="1"/>
      <c r="AB777" s="1"/>
      <c r="AC777" s="1"/>
      <c r="AD777" s="1"/>
    </row>
    <row r="778" customFormat="false" ht="18" hidden="false" customHeight="true" outlineLevel="0" collapsed="false">
      <c r="A778" s="1"/>
      <c r="B778" s="35"/>
      <c r="C778" s="8"/>
      <c r="D778" s="26"/>
      <c r="E778" s="27"/>
      <c r="F778" s="36"/>
      <c r="G778" s="36"/>
      <c r="H778" s="36"/>
      <c r="I778" s="36"/>
      <c r="J778" s="37" t="str">
        <f aca="false">IF($E778="","",IFERROR(G778/F778,""))</f>
        <v/>
      </c>
      <c r="K778" s="30" t="str">
        <f aca="false">IF($E778="","",IFERROR(E778/G778,""))</f>
        <v/>
      </c>
      <c r="L778" s="30" t="str">
        <f aca="false">IF($E778="","",IFERROR(E778/F778*1000,""))</f>
        <v/>
      </c>
      <c r="M778" s="37" t="str">
        <f aca="false">IF($E778="","",IFERROR(H778/G778,""))</f>
        <v/>
      </c>
      <c r="N778" s="30" t="str">
        <f aca="false">IF($E778="","",IFERROR(E778/H778,"—"))</f>
        <v/>
      </c>
      <c r="O778" s="30" t="str">
        <f aca="false">IF($E778="","",IFERROR(INDEX('Гео-калькулятор'!$K$7:$K$13,MATCH($C778,'Гео-калькулятор'!$B$7:$B$13,0)),""))</f>
        <v/>
      </c>
      <c r="P778" s="38" t="str">
        <f aca="false">IF($E778="","",IFERROR(N778/O778,""))</f>
        <v/>
      </c>
      <c r="Q778" s="39" t="str">
        <f aca="false">IF($E778="","",IF($I778&lt;&gt;"",$I778,N($H778)*IFERROR(INDEX('Гео-калькулятор'!$E$7:$E$13,MATCH($C778,'Гео-калькулятор'!$B$7:$B$13,0)),0)))</f>
        <v/>
      </c>
      <c r="R778" s="38" t="str">
        <f aca="false">IF($E778="","",IFERROR(Q778/H778,""))</f>
        <v/>
      </c>
      <c r="S778" s="30" t="str">
        <f aca="false">IF($E778="","",IFERROR(E778/Q778,"—"))</f>
        <v/>
      </c>
      <c r="T778" s="30" t="str">
        <f aca="false">IF($E778="","",Q778*IFERROR(INDEX('Гео-калькулятор'!$D$7:$D$13,MATCH($C778,'Гео-калькулятор'!$B$7:$B$13,0)),0))</f>
        <v/>
      </c>
      <c r="U778" s="40" t="str">
        <f aca="false">IF($E778="","",T778-E778)</f>
        <v/>
      </c>
      <c r="V778" s="41" t="str">
        <f aca="false">IF($E778="","",IFERROR(U778/E778,""))</f>
        <v/>
      </c>
      <c r="W778" s="10" t="str">
        <f aca="false">IF($E778="","",IF($I778&lt;&gt;"","факт","прогноз"))</f>
        <v/>
      </c>
      <c r="X778" s="1"/>
      <c r="Y778" s="1"/>
      <c r="Z778" s="1"/>
      <c r="AA778" s="1"/>
      <c r="AB778" s="1"/>
      <c r="AC778" s="1"/>
      <c r="AD778" s="1"/>
    </row>
    <row r="779" customFormat="false" ht="18" hidden="false" customHeight="true" outlineLevel="0" collapsed="false">
      <c r="A779" s="1"/>
      <c r="B779" s="35"/>
      <c r="C779" s="8"/>
      <c r="D779" s="26"/>
      <c r="E779" s="27"/>
      <c r="F779" s="36"/>
      <c r="G779" s="36"/>
      <c r="H779" s="36"/>
      <c r="I779" s="36"/>
      <c r="J779" s="37" t="str">
        <f aca="false">IF($E779="","",IFERROR(G779/F779,""))</f>
        <v/>
      </c>
      <c r="K779" s="30" t="str">
        <f aca="false">IF($E779="","",IFERROR(E779/G779,""))</f>
        <v/>
      </c>
      <c r="L779" s="30" t="str">
        <f aca="false">IF($E779="","",IFERROR(E779/F779*1000,""))</f>
        <v/>
      </c>
      <c r="M779" s="37" t="str">
        <f aca="false">IF($E779="","",IFERROR(H779/G779,""))</f>
        <v/>
      </c>
      <c r="N779" s="30" t="str">
        <f aca="false">IF($E779="","",IFERROR(E779/H779,"—"))</f>
        <v/>
      </c>
      <c r="O779" s="30" t="str">
        <f aca="false">IF($E779="","",IFERROR(INDEX('Гео-калькулятор'!$K$7:$K$13,MATCH($C779,'Гео-калькулятор'!$B$7:$B$13,0)),""))</f>
        <v/>
      </c>
      <c r="P779" s="38" t="str">
        <f aca="false">IF($E779="","",IFERROR(N779/O779,""))</f>
        <v/>
      </c>
      <c r="Q779" s="39" t="str">
        <f aca="false">IF($E779="","",IF($I779&lt;&gt;"",$I779,N($H779)*IFERROR(INDEX('Гео-калькулятор'!$E$7:$E$13,MATCH($C779,'Гео-калькулятор'!$B$7:$B$13,0)),0)))</f>
        <v/>
      </c>
      <c r="R779" s="38" t="str">
        <f aca="false">IF($E779="","",IFERROR(Q779/H779,""))</f>
        <v/>
      </c>
      <c r="S779" s="30" t="str">
        <f aca="false">IF($E779="","",IFERROR(E779/Q779,"—"))</f>
        <v/>
      </c>
      <c r="T779" s="30" t="str">
        <f aca="false">IF($E779="","",Q779*IFERROR(INDEX('Гео-калькулятор'!$D$7:$D$13,MATCH($C779,'Гео-калькулятор'!$B$7:$B$13,0)),0))</f>
        <v/>
      </c>
      <c r="U779" s="40" t="str">
        <f aca="false">IF($E779="","",T779-E779)</f>
        <v/>
      </c>
      <c r="V779" s="41" t="str">
        <f aca="false">IF($E779="","",IFERROR(U779/E779,""))</f>
        <v/>
      </c>
      <c r="W779" s="10" t="str">
        <f aca="false">IF($E779="","",IF($I779&lt;&gt;"","факт","прогноз"))</f>
        <v/>
      </c>
      <c r="X779" s="1"/>
      <c r="Y779" s="1"/>
      <c r="Z779" s="1"/>
      <c r="AA779" s="1"/>
      <c r="AB779" s="1"/>
      <c r="AC779" s="1"/>
      <c r="AD779" s="1"/>
    </row>
    <row r="780" customFormat="false" ht="18" hidden="false" customHeight="true" outlineLevel="0" collapsed="false">
      <c r="A780" s="1"/>
      <c r="B780" s="35"/>
      <c r="C780" s="8"/>
      <c r="D780" s="26"/>
      <c r="E780" s="27"/>
      <c r="F780" s="36"/>
      <c r="G780" s="36"/>
      <c r="H780" s="36"/>
      <c r="I780" s="36"/>
      <c r="J780" s="37" t="str">
        <f aca="false">IF($E780="","",IFERROR(G780/F780,""))</f>
        <v/>
      </c>
      <c r="K780" s="30" t="str">
        <f aca="false">IF($E780="","",IFERROR(E780/G780,""))</f>
        <v/>
      </c>
      <c r="L780" s="30" t="str">
        <f aca="false">IF($E780="","",IFERROR(E780/F780*1000,""))</f>
        <v/>
      </c>
      <c r="M780" s="37" t="str">
        <f aca="false">IF($E780="","",IFERROR(H780/G780,""))</f>
        <v/>
      </c>
      <c r="N780" s="30" t="str">
        <f aca="false">IF($E780="","",IFERROR(E780/H780,"—"))</f>
        <v/>
      </c>
      <c r="O780" s="30" t="str">
        <f aca="false">IF($E780="","",IFERROR(INDEX('Гео-калькулятор'!$K$7:$K$13,MATCH($C780,'Гео-калькулятор'!$B$7:$B$13,0)),""))</f>
        <v/>
      </c>
      <c r="P780" s="38" t="str">
        <f aca="false">IF($E780="","",IFERROR(N780/O780,""))</f>
        <v/>
      </c>
      <c r="Q780" s="39" t="str">
        <f aca="false">IF($E780="","",IF($I780&lt;&gt;"",$I780,N($H780)*IFERROR(INDEX('Гео-калькулятор'!$E$7:$E$13,MATCH($C780,'Гео-калькулятор'!$B$7:$B$13,0)),0)))</f>
        <v/>
      </c>
      <c r="R780" s="38" t="str">
        <f aca="false">IF($E780="","",IFERROR(Q780/H780,""))</f>
        <v/>
      </c>
      <c r="S780" s="30" t="str">
        <f aca="false">IF($E780="","",IFERROR(E780/Q780,"—"))</f>
        <v/>
      </c>
      <c r="T780" s="30" t="str">
        <f aca="false">IF($E780="","",Q780*IFERROR(INDEX('Гео-калькулятор'!$D$7:$D$13,MATCH($C780,'Гео-калькулятор'!$B$7:$B$13,0)),0))</f>
        <v/>
      </c>
      <c r="U780" s="40" t="str">
        <f aca="false">IF($E780="","",T780-E780)</f>
        <v/>
      </c>
      <c r="V780" s="41" t="str">
        <f aca="false">IF($E780="","",IFERROR(U780/E780,""))</f>
        <v/>
      </c>
      <c r="W780" s="10" t="str">
        <f aca="false">IF($E780="","",IF($I780&lt;&gt;"","факт","прогноз"))</f>
        <v/>
      </c>
      <c r="X780" s="1"/>
      <c r="Y780" s="1"/>
      <c r="Z780" s="1"/>
      <c r="AA780" s="1"/>
      <c r="AB780" s="1"/>
      <c r="AC780" s="1"/>
      <c r="AD780" s="1"/>
    </row>
    <row r="781" customFormat="false" ht="18" hidden="false" customHeight="true" outlineLevel="0" collapsed="false">
      <c r="A781" s="1"/>
      <c r="B781" s="35"/>
      <c r="C781" s="8"/>
      <c r="D781" s="26"/>
      <c r="E781" s="27"/>
      <c r="F781" s="36"/>
      <c r="G781" s="36"/>
      <c r="H781" s="36"/>
      <c r="I781" s="36"/>
      <c r="J781" s="37" t="str">
        <f aca="false">IF($E781="","",IFERROR(G781/F781,""))</f>
        <v/>
      </c>
      <c r="K781" s="30" t="str">
        <f aca="false">IF($E781="","",IFERROR(E781/G781,""))</f>
        <v/>
      </c>
      <c r="L781" s="30" t="str">
        <f aca="false">IF($E781="","",IFERROR(E781/F781*1000,""))</f>
        <v/>
      </c>
      <c r="M781" s="37" t="str">
        <f aca="false">IF($E781="","",IFERROR(H781/G781,""))</f>
        <v/>
      </c>
      <c r="N781" s="30" t="str">
        <f aca="false">IF($E781="","",IFERROR(E781/H781,"—"))</f>
        <v/>
      </c>
      <c r="O781" s="30" t="str">
        <f aca="false">IF($E781="","",IFERROR(INDEX('Гео-калькулятор'!$K$7:$K$13,MATCH($C781,'Гео-калькулятор'!$B$7:$B$13,0)),""))</f>
        <v/>
      </c>
      <c r="P781" s="38" t="str">
        <f aca="false">IF($E781="","",IFERROR(N781/O781,""))</f>
        <v/>
      </c>
      <c r="Q781" s="39" t="str">
        <f aca="false">IF($E781="","",IF($I781&lt;&gt;"",$I781,N($H781)*IFERROR(INDEX('Гео-калькулятор'!$E$7:$E$13,MATCH($C781,'Гео-калькулятор'!$B$7:$B$13,0)),0)))</f>
        <v/>
      </c>
      <c r="R781" s="38" t="str">
        <f aca="false">IF($E781="","",IFERROR(Q781/H781,""))</f>
        <v/>
      </c>
      <c r="S781" s="30" t="str">
        <f aca="false">IF($E781="","",IFERROR(E781/Q781,"—"))</f>
        <v/>
      </c>
      <c r="T781" s="30" t="str">
        <f aca="false">IF($E781="","",Q781*IFERROR(INDEX('Гео-калькулятор'!$D$7:$D$13,MATCH($C781,'Гео-калькулятор'!$B$7:$B$13,0)),0))</f>
        <v/>
      </c>
      <c r="U781" s="40" t="str">
        <f aca="false">IF($E781="","",T781-E781)</f>
        <v/>
      </c>
      <c r="V781" s="41" t="str">
        <f aca="false">IF($E781="","",IFERROR(U781/E781,""))</f>
        <v/>
      </c>
      <c r="W781" s="10" t="str">
        <f aca="false">IF($E781="","",IF($I781&lt;&gt;"","факт","прогноз"))</f>
        <v/>
      </c>
      <c r="X781" s="1"/>
      <c r="Y781" s="1"/>
      <c r="Z781" s="1"/>
      <c r="AA781" s="1"/>
      <c r="AB781" s="1"/>
      <c r="AC781" s="1"/>
      <c r="AD781" s="1"/>
    </row>
    <row r="782" customFormat="false" ht="18" hidden="false" customHeight="true" outlineLevel="0" collapsed="false">
      <c r="A782" s="1"/>
      <c r="B782" s="35"/>
      <c r="C782" s="8"/>
      <c r="D782" s="26"/>
      <c r="E782" s="27"/>
      <c r="F782" s="36"/>
      <c r="G782" s="36"/>
      <c r="H782" s="36"/>
      <c r="I782" s="36"/>
      <c r="J782" s="37" t="str">
        <f aca="false">IF($E782="","",IFERROR(G782/F782,""))</f>
        <v/>
      </c>
      <c r="K782" s="30" t="str">
        <f aca="false">IF($E782="","",IFERROR(E782/G782,""))</f>
        <v/>
      </c>
      <c r="L782" s="30" t="str">
        <f aca="false">IF($E782="","",IFERROR(E782/F782*1000,""))</f>
        <v/>
      </c>
      <c r="M782" s="37" t="str">
        <f aca="false">IF($E782="","",IFERROR(H782/G782,""))</f>
        <v/>
      </c>
      <c r="N782" s="30" t="str">
        <f aca="false">IF($E782="","",IFERROR(E782/H782,"—"))</f>
        <v/>
      </c>
      <c r="O782" s="30" t="str">
        <f aca="false">IF($E782="","",IFERROR(INDEX('Гео-калькулятор'!$K$7:$K$13,MATCH($C782,'Гео-калькулятор'!$B$7:$B$13,0)),""))</f>
        <v/>
      </c>
      <c r="P782" s="38" t="str">
        <f aca="false">IF($E782="","",IFERROR(N782/O782,""))</f>
        <v/>
      </c>
      <c r="Q782" s="39" t="str">
        <f aca="false">IF($E782="","",IF($I782&lt;&gt;"",$I782,N($H782)*IFERROR(INDEX('Гео-калькулятор'!$E$7:$E$13,MATCH($C782,'Гео-калькулятор'!$B$7:$B$13,0)),0)))</f>
        <v/>
      </c>
      <c r="R782" s="38" t="str">
        <f aca="false">IF($E782="","",IFERROR(Q782/H782,""))</f>
        <v/>
      </c>
      <c r="S782" s="30" t="str">
        <f aca="false">IF($E782="","",IFERROR(E782/Q782,"—"))</f>
        <v/>
      </c>
      <c r="T782" s="30" t="str">
        <f aca="false">IF($E782="","",Q782*IFERROR(INDEX('Гео-калькулятор'!$D$7:$D$13,MATCH($C782,'Гео-калькулятор'!$B$7:$B$13,0)),0))</f>
        <v/>
      </c>
      <c r="U782" s="40" t="str">
        <f aca="false">IF($E782="","",T782-E782)</f>
        <v/>
      </c>
      <c r="V782" s="41" t="str">
        <f aca="false">IF($E782="","",IFERROR(U782/E782,""))</f>
        <v/>
      </c>
      <c r="W782" s="10" t="str">
        <f aca="false">IF($E782="","",IF($I782&lt;&gt;"","факт","прогноз"))</f>
        <v/>
      </c>
      <c r="X782" s="1"/>
      <c r="Y782" s="1"/>
      <c r="Z782" s="1"/>
      <c r="AA782" s="1"/>
      <c r="AB782" s="1"/>
      <c r="AC782" s="1"/>
      <c r="AD782" s="1"/>
    </row>
    <row r="783" customFormat="false" ht="18" hidden="false" customHeight="true" outlineLevel="0" collapsed="false">
      <c r="A783" s="1"/>
      <c r="B783" s="35"/>
      <c r="C783" s="8"/>
      <c r="D783" s="26"/>
      <c r="E783" s="27"/>
      <c r="F783" s="36"/>
      <c r="G783" s="36"/>
      <c r="H783" s="36"/>
      <c r="I783" s="36"/>
      <c r="J783" s="37" t="str">
        <f aca="false">IF($E783="","",IFERROR(G783/F783,""))</f>
        <v/>
      </c>
      <c r="K783" s="30" t="str">
        <f aca="false">IF($E783="","",IFERROR(E783/G783,""))</f>
        <v/>
      </c>
      <c r="L783" s="30" t="str">
        <f aca="false">IF($E783="","",IFERROR(E783/F783*1000,""))</f>
        <v/>
      </c>
      <c r="M783" s="37" t="str">
        <f aca="false">IF($E783="","",IFERROR(H783/G783,""))</f>
        <v/>
      </c>
      <c r="N783" s="30" t="str">
        <f aca="false">IF($E783="","",IFERROR(E783/H783,"—"))</f>
        <v/>
      </c>
      <c r="O783" s="30" t="str">
        <f aca="false">IF($E783="","",IFERROR(INDEX('Гео-калькулятор'!$K$7:$K$13,MATCH($C783,'Гео-калькулятор'!$B$7:$B$13,0)),""))</f>
        <v/>
      </c>
      <c r="P783" s="38" t="str">
        <f aca="false">IF($E783="","",IFERROR(N783/O783,""))</f>
        <v/>
      </c>
      <c r="Q783" s="39" t="str">
        <f aca="false">IF($E783="","",IF($I783&lt;&gt;"",$I783,N($H783)*IFERROR(INDEX('Гео-калькулятор'!$E$7:$E$13,MATCH($C783,'Гео-калькулятор'!$B$7:$B$13,0)),0)))</f>
        <v/>
      </c>
      <c r="R783" s="38" t="str">
        <f aca="false">IF($E783="","",IFERROR(Q783/H783,""))</f>
        <v/>
      </c>
      <c r="S783" s="30" t="str">
        <f aca="false">IF($E783="","",IFERROR(E783/Q783,"—"))</f>
        <v/>
      </c>
      <c r="T783" s="30" t="str">
        <f aca="false">IF($E783="","",Q783*IFERROR(INDEX('Гео-калькулятор'!$D$7:$D$13,MATCH($C783,'Гео-калькулятор'!$B$7:$B$13,0)),0))</f>
        <v/>
      </c>
      <c r="U783" s="40" t="str">
        <f aca="false">IF($E783="","",T783-E783)</f>
        <v/>
      </c>
      <c r="V783" s="41" t="str">
        <f aca="false">IF($E783="","",IFERROR(U783/E783,""))</f>
        <v/>
      </c>
      <c r="W783" s="10" t="str">
        <f aca="false">IF($E783="","",IF($I783&lt;&gt;"","факт","прогноз"))</f>
        <v/>
      </c>
      <c r="X783" s="1"/>
      <c r="Y783" s="1"/>
      <c r="Z783" s="1"/>
      <c r="AA783" s="1"/>
      <c r="AB783" s="1"/>
      <c r="AC783" s="1"/>
      <c r="AD783" s="1"/>
    </row>
    <row r="784" customFormat="false" ht="18" hidden="false" customHeight="true" outlineLevel="0" collapsed="false">
      <c r="A784" s="1"/>
      <c r="B784" s="35"/>
      <c r="C784" s="8"/>
      <c r="D784" s="26"/>
      <c r="E784" s="27"/>
      <c r="F784" s="36"/>
      <c r="G784" s="36"/>
      <c r="H784" s="36"/>
      <c r="I784" s="36"/>
      <c r="J784" s="37" t="str">
        <f aca="false">IF($E784="","",IFERROR(G784/F784,""))</f>
        <v/>
      </c>
      <c r="K784" s="30" t="str">
        <f aca="false">IF($E784="","",IFERROR(E784/G784,""))</f>
        <v/>
      </c>
      <c r="L784" s="30" t="str">
        <f aca="false">IF($E784="","",IFERROR(E784/F784*1000,""))</f>
        <v/>
      </c>
      <c r="M784" s="37" t="str">
        <f aca="false">IF($E784="","",IFERROR(H784/G784,""))</f>
        <v/>
      </c>
      <c r="N784" s="30" t="str">
        <f aca="false">IF($E784="","",IFERROR(E784/H784,"—"))</f>
        <v/>
      </c>
      <c r="O784" s="30" t="str">
        <f aca="false">IF($E784="","",IFERROR(INDEX('Гео-калькулятор'!$K$7:$K$13,MATCH($C784,'Гео-калькулятор'!$B$7:$B$13,0)),""))</f>
        <v/>
      </c>
      <c r="P784" s="38" t="str">
        <f aca="false">IF($E784="","",IFERROR(N784/O784,""))</f>
        <v/>
      </c>
      <c r="Q784" s="39" t="str">
        <f aca="false">IF($E784="","",IF($I784&lt;&gt;"",$I784,N($H784)*IFERROR(INDEX('Гео-калькулятор'!$E$7:$E$13,MATCH($C784,'Гео-калькулятор'!$B$7:$B$13,0)),0)))</f>
        <v/>
      </c>
      <c r="R784" s="38" t="str">
        <f aca="false">IF($E784="","",IFERROR(Q784/H784,""))</f>
        <v/>
      </c>
      <c r="S784" s="30" t="str">
        <f aca="false">IF($E784="","",IFERROR(E784/Q784,"—"))</f>
        <v/>
      </c>
      <c r="T784" s="30" t="str">
        <f aca="false">IF($E784="","",Q784*IFERROR(INDEX('Гео-калькулятор'!$D$7:$D$13,MATCH($C784,'Гео-калькулятор'!$B$7:$B$13,0)),0))</f>
        <v/>
      </c>
      <c r="U784" s="40" t="str">
        <f aca="false">IF($E784="","",T784-E784)</f>
        <v/>
      </c>
      <c r="V784" s="41" t="str">
        <f aca="false">IF($E784="","",IFERROR(U784/E784,""))</f>
        <v/>
      </c>
      <c r="W784" s="10" t="str">
        <f aca="false">IF($E784="","",IF($I784&lt;&gt;"","факт","прогноз"))</f>
        <v/>
      </c>
      <c r="X784" s="1"/>
      <c r="Y784" s="1"/>
      <c r="Z784" s="1"/>
      <c r="AA784" s="1"/>
      <c r="AB784" s="1"/>
      <c r="AC784" s="1"/>
      <c r="AD784" s="1"/>
    </row>
    <row r="785" customFormat="false" ht="18" hidden="false" customHeight="true" outlineLevel="0" collapsed="false">
      <c r="A785" s="1"/>
      <c r="B785" s="35"/>
      <c r="C785" s="8"/>
      <c r="D785" s="26"/>
      <c r="E785" s="27"/>
      <c r="F785" s="36"/>
      <c r="G785" s="36"/>
      <c r="H785" s="36"/>
      <c r="I785" s="36"/>
      <c r="J785" s="37" t="str">
        <f aca="false">IF($E785="","",IFERROR(G785/F785,""))</f>
        <v/>
      </c>
      <c r="K785" s="30" t="str">
        <f aca="false">IF($E785="","",IFERROR(E785/G785,""))</f>
        <v/>
      </c>
      <c r="L785" s="30" t="str">
        <f aca="false">IF($E785="","",IFERROR(E785/F785*1000,""))</f>
        <v/>
      </c>
      <c r="M785" s="37" t="str">
        <f aca="false">IF($E785="","",IFERROR(H785/G785,""))</f>
        <v/>
      </c>
      <c r="N785" s="30" t="str">
        <f aca="false">IF($E785="","",IFERROR(E785/H785,"—"))</f>
        <v/>
      </c>
      <c r="O785" s="30" t="str">
        <f aca="false">IF($E785="","",IFERROR(INDEX('Гео-калькулятор'!$K$7:$K$13,MATCH($C785,'Гео-калькулятор'!$B$7:$B$13,0)),""))</f>
        <v/>
      </c>
      <c r="P785" s="38" t="str">
        <f aca="false">IF($E785="","",IFERROR(N785/O785,""))</f>
        <v/>
      </c>
      <c r="Q785" s="39" t="str">
        <f aca="false">IF($E785="","",IF($I785&lt;&gt;"",$I785,N($H785)*IFERROR(INDEX('Гео-калькулятор'!$E$7:$E$13,MATCH($C785,'Гео-калькулятор'!$B$7:$B$13,0)),0)))</f>
        <v/>
      </c>
      <c r="R785" s="38" t="str">
        <f aca="false">IF($E785="","",IFERROR(Q785/H785,""))</f>
        <v/>
      </c>
      <c r="S785" s="30" t="str">
        <f aca="false">IF($E785="","",IFERROR(E785/Q785,"—"))</f>
        <v/>
      </c>
      <c r="T785" s="30" t="str">
        <f aca="false">IF($E785="","",Q785*IFERROR(INDEX('Гео-калькулятор'!$D$7:$D$13,MATCH($C785,'Гео-калькулятор'!$B$7:$B$13,0)),0))</f>
        <v/>
      </c>
      <c r="U785" s="40" t="str">
        <f aca="false">IF($E785="","",T785-E785)</f>
        <v/>
      </c>
      <c r="V785" s="41" t="str">
        <f aca="false">IF($E785="","",IFERROR(U785/E785,""))</f>
        <v/>
      </c>
      <c r="W785" s="10" t="str">
        <f aca="false">IF($E785="","",IF($I785&lt;&gt;"","факт","прогноз"))</f>
        <v/>
      </c>
      <c r="X785" s="1"/>
      <c r="Y785" s="1"/>
      <c r="Z785" s="1"/>
      <c r="AA785" s="1"/>
      <c r="AB785" s="1"/>
      <c r="AC785" s="1"/>
      <c r="AD785" s="1"/>
    </row>
    <row r="786" customFormat="false" ht="18" hidden="false" customHeight="true" outlineLevel="0" collapsed="false">
      <c r="A786" s="1"/>
      <c r="B786" s="35"/>
      <c r="C786" s="8"/>
      <c r="D786" s="26"/>
      <c r="E786" s="27"/>
      <c r="F786" s="36"/>
      <c r="G786" s="36"/>
      <c r="H786" s="36"/>
      <c r="I786" s="36"/>
      <c r="J786" s="37" t="str">
        <f aca="false">IF($E786="","",IFERROR(G786/F786,""))</f>
        <v/>
      </c>
      <c r="K786" s="30" t="str">
        <f aca="false">IF($E786="","",IFERROR(E786/G786,""))</f>
        <v/>
      </c>
      <c r="L786" s="30" t="str">
        <f aca="false">IF($E786="","",IFERROR(E786/F786*1000,""))</f>
        <v/>
      </c>
      <c r="M786" s="37" t="str">
        <f aca="false">IF($E786="","",IFERROR(H786/G786,""))</f>
        <v/>
      </c>
      <c r="N786" s="30" t="str">
        <f aca="false">IF($E786="","",IFERROR(E786/H786,"—"))</f>
        <v/>
      </c>
      <c r="O786" s="30" t="str">
        <f aca="false">IF($E786="","",IFERROR(INDEX('Гео-калькулятор'!$K$7:$K$13,MATCH($C786,'Гео-калькулятор'!$B$7:$B$13,0)),""))</f>
        <v/>
      </c>
      <c r="P786" s="38" t="str">
        <f aca="false">IF($E786="","",IFERROR(N786/O786,""))</f>
        <v/>
      </c>
      <c r="Q786" s="39" t="str">
        <f aca="false">IF($E786="","",IF($I786&lt;&gt;"",$I786,N($H786)*IFERROR(INDEX('Гео-калькулятор'!$E$7:$E$13,MATCH($C786,'Гео-калькулятор'!$B$7:$B$13,0)),0)))</f>
        <v/>
      </c>
      <c r="R786" s="38" t="str">
        <f aca="false">IF($E786="","",IFERROR(Q786/H786,""))</f>
        <v/>
      </c>
      <c r="S786" s="30" t="str">
        <f aca="false">IF($E786="","",IFERROR(E786/Q786,"—"))</f>
        <v/>
      </c>
      <c r="T786" s="30" t="str">
        <f aca="false">IF($E786="","",Q786*IFERROR(INDEX('Гео-калькулятор'!$D$7:$D$13,MATCH($C786,'Гео-калькулятор'!$B$7:$B$13,0)),0))</f>
        <v/>
      </c>
      <c r="U786" s="40" t="str">
        <f aca="false">IF($E786="","",T786-E786)</f>
        <v/>
      </c>
      <c r="V786" s="41" t="str">
        <f aca="false">IF($E786="","",IFERROR(U786/E786,""))</f>
        <v/>
      </c>
      <c r="W786" s="10" t="str">
        <f aca="false">IF($E786="","",IF($I786&lt;&gt;"","факт","прогноз"))</f>
        <v/>
      </c>
      <c r="X786" s="1"/>
      <c r="Y786" s="1"/>
      <c r="Z786" s="1"/>
      <c r="AA786" s="1"/>
      <c r="AB786" s="1"/>
      <c r="AC786" s="1"/>
      <c r="AD786" s="1"/>
    </row>
    <row r="787" customFormat="false" ht="18" hidden="false" customHeight="true" outlineLevel="0" collapsed="false">
      <c r="A787" s="1"/>
      <c r="B787" s="35"/>
      <c r="C787" s="8"/>
      <c r="D787" s="26"/>
      <c r="E787" s="27"/>
      <c r="F787" s="36"/>
      <c r="G787" s="36"/>
      <c r="H787" s="36"/>
      <c r="I787" s="36"/>
      <c r="J787" s="37" t="str">
        <f aca="false">IF($E787="","",IFERROR(G787/F787,""))</f>
        <v/>
      </c>
      <c r="K787" s="30" t="str">
        <f aca="false">IF($E787="","",IFERROR(E787/G787,""))</f>
        <v/>
      </c>
      <c r="L787" s="30" t="str">
        <f aca="false">IF($E787="","",IFERROR(E787/F787*1000,""))</f>
        <v/>
      </c>
      <c r="M787" s="37" t="str">
        <f aca="false">IF($E787="","",IFERROR(H787/G787,""))</f>
        <v/>
      </c>
      <c r="N787" s="30" t="str">
        <f aca="false">IF($E787="","",IFERROR(E787/H787,"—"))</f>
        <v/>
      </c>
      <c r="O787" s="30" t="str">
        <f aca="false">IF($E787="","",IFERROR(INDEX('Гео-калькулятор'!$K$7:$K$13,MATCH($C787,'Гео-калькулятор'!$B$7:$B$13,0)),""))</f>
        <v/>
      </c>
      <c r="P787" s="38" t="str">
        <f aca="false">IF($E787="","",IFERROR(N787/O787,""))</f>
        <v/>
      </c>
      <c r="Q787" s="39" t="str">
        <f aca="false">IF($E787="","",IF($I787&lt;&gt;"",$I787,N($H787)*IFERROR(INDEX('Гео-калькулятор'!$E$7:$E$13,MATCH($C787,'Гео-калькулятор'!$B$7:$B$13,0)),0)))</f>
        <v/>
      </c>
      <c r="R787" s="38" t="str">
        <f aca="false">IF($E787="","",IFERROR(Q787/H787,""))</f>
        <v/>
      </c>
      <c r="S787" s="30" t="str">
        <f aca="false">IF($E787="","",IFERROR(E787/Q787,"—"))</f>
        <v/>
      </c>
      <c r="T787" s="30" t="str">
        <f aca="false">IF($E787="","",Q787*IFERROR(INDEX('Гео-калькулятор'!$D$7:$D$13,MATCH($C787,'Гео-калькулятор'!$B$7:$B$13,0)),0))</f>
        <v/>
      </c>
      <c r="U787" s="40" t="str">
        <f aca="false">IF($E787="","",T787-E787)</f>
        <v/>
      </c>
      <c r="V787" s="41" t="str">
        <f aca="false">IF($E787="","",IFERROR(U787/E787,""))</f>
        <v/>
      </c>
      <c r="W787" s="10" t="str">
        <f aca="false">IF($E787="","",IF($I787&lt;&gt;"","факт","прогноз"))</f>
        <v/>
      </c>
      <c r="X787" s="1"/>
      <c r="Y787" s="1"/>
      <c r="Z787" s="1"/>
      <c r="AA787" s="1"/>
      <c r="AB787" s="1"/>
      <c r="AC787" s="1"/>
      <c r="AD787" s="1"/>
    </row>
    <row r="788" customFormat="false" ht="18" hidden="false" customHeight="true" outlineLevel="0" collapsed="false">
      <c r="A788" s="1"/>
      <c r="B788" s="35"/>
      <c r="C788" s="8"/>
      <c r="D788" s="26"/>
      <c r="E788" s="27"/>
      <c r="F788" s="36"/>
      <c r="G788" s="36"/>
      <c r="H788" s="36"/>
      <c r="I788" s="36"/>
      <c r="J788" s="37" t="str">
        <f aca="false">IF($E788="","",IFERROR(G788/F788,""))</f>
        <v/>
      </c>
      <c r="K788" s="30" t="str">
        <f aca="false">IF($E788="","",IFERROR(E788/G788,""))</f>
        <v/>
      </c>
      <c r="L788" s="30" t="str">
        <f aca="false">IF($E788="","",IFERROR(E788/F788*1000,""))</f>
        <v/>
      </c>
      <c r="M788" s="37" t="str">
        <f aca="false">IF($E788="","",IFERROR(H788/G788,""))</f>
        <v/>
      </c>
      <c r="N788" s="30" t="str">
        <f aca="false">IF($E788="","",IFERROR(E788/H788,"—"))</f>
        <v/>
      </c>
      <c r="O788" s="30" t="str">
        <f aca="false">IF($E788="","",IFERROR(INDEX('Гео-калькулятор'!$K$7:$K$13,MATCH($C788,'Гео-калькулятор'!$B$7:$B$13,0)),""))</f>
        <v/>
      </c>
      <c r="P788" s="38" t="str">
        <f aca="false">IF($E788="","",IFERROR(N788/O788,""))</f>
        <v/>
      </c>
      <c r="Q788" s="39" t="str">
        <f aca="false">IF($E788="","",IF($I788&lt;&gt;"",$I788,N($H788)*IFERROR(INDEX('Гео-калькулятор'!$E$7:$E$13,MATCH($C788,'Гео-калькулятор'!$B$7:$B$13,0)),0)))</f>
        <v/>
      </c>
      <c r="R788" s="38" t="str">
        <f aca="false">IF($E788="","",IFERROR(Q788/H788,""))</f>
        <v/>
      </c>
      <c r="S788" s="30" t="str">
        <f aca="false">IF($E788="","",IFERROR(E788/Q788,"—"))</f>
        <v/>
      </c>
      <c r="T788" s="30" t="str">
        <f aca="false">IF($E788="","",Q788*IFERROR(INDEX('Гео-калькулятор'!$D$7:$D$13,MATCH($C788,'Гео-калькулятор'!$B$7:$B$13,0)),0))</f>
        <v/>
      </c>
      <c r="U788" s="40" t="str">
        <f aca="false">IF($E788="","",T788-E788)</f>
        <v/>
      </c>
      <c r="V788" s="41" t="str">
        <f aca="false">IF($E788="","",IFERROR(U788/E788,""))</f>
        <v/>
      </c>
      <c r="W788" s="10" t="str">
        <f aca="false">IF($E788="","",IF($I788&lt;&gt;"","факт","прогноз"))</f>
        <v/>
      </c>
      <c r="X788" s="1"/>
      <c r="Y788" s="1"/>
      <c r="Z788" s="1"/>
      <c r="AA788" s="1"/>
      <c r="AB788" s="1"/>
      <c r="AC788" s="1"/>
      <c r="AD788" s="1"/>
    </row>
    <row r="789" customFormat="false" ht="18" hidden="false" customHeight="true" outlineLevel="0" collapsed="false">
      <c r="A789" s="1"/>
      <c r="B789" s="35"/>
      <c r="C789" s="8"/>
      <c r="D789" s="26"/>
      <c r="E789" s="27"/>
      <c r="F789" s="36"/>
      <c r="G789" s="36"/>
      <c r="H789" s="36"/>
      <c r="I789" s="36"/>
      <c r="J789" s="37" t="str">
        <f aca="false">IF($E789="","",IFERROR(G789/F789,""))</f>
        <v/>
      </c>
      <c r="K789" s="30" t="str">
        <f aca="false">IF($E789="","",IFERROR(E789/G789,""))</f>
        <v/>
      </c>
      <c r="L789" s="30" t="str">
        <f aca="false">IF($E789="","",IFERROR(E789/F789*1000,""))</f>
        <v/>
      </c>
      <c r="M789" s="37" t="str">
        <f aca="false">IF($E789="","",IFERROR(H789/G789,""))</f>
        <v/>
      </c>
      <c r="N789" s="30" t="str">
        <f aca="false">IF($E789="","",IFERROR(E789/H789,"—"))</f>
        <v/>
      </c>
      <c r="O789" s="30" t="str">
        <f aca="false">IF($E789="","",IFERROR(INDEX('Гео-калькулятор'!$K$7:$K$13,MATCH($C789,'Гео-калькулятор'!$B$7:$B$13,0)),""))</f>
        <v/>
      </c>
      <c r="P789" s="38" t="str">
        <f aca="false">IF($E789="","",IFERROR(N789/O789,""))</f>
        <v/>
      </c>
      <c r="Q789" s="39" t="str">
        <f aca="false">IF($E789="","",IF($I789&lt;&gt;"",$I789,N($H789)*IFERROR(INDEX('Гео-калькулятор'!$E$7:$E$13,MATCH($C789,'Гео-калькулятор'!$B$7:$B$13,0)),0)))</f>
        <v/>
      </c>
      <c r="R789" s="38" t="str">
        <f aca="false">IF($E789="","",IFERROR(Q789/H789,""))</f>
        <v/>
      </c>
      <c r="S789" s="30" t="str">
        <f aca="false">IF($E789="","",IFERROR(E789/Q789,"—"))</f>
        <v/>
      </c>
      <c r="T789" s="30" t="str">
        <f aca="false">IF($E789="","",Q789*IFERROR(INDEX('Гео-калькулятор'!$D$7:$D$13,MATCH($C789,'Гео-калькулятор'!$B$7:$B$13,0)),0))</f>
        <v/>
      </c>
      <c r="U789" s="40" t="str">
        <f aca="false">IF($E789="","",T789-E789)</f>
        <v/>
      </c>
      <c r="V789" s="41" t="str">
        <f aca="false">IF($E789="","",IFERROR(U789/E789,""))</f>
        <v/>
      </c>
      <c r="W789" s="10" t="str">
        <f aca="false">IF($E789="","",IF($I789&lt;&gt;"","факт","прогноз"))</f>
        <v/>
      </c>
      <c r="X789" s="1"/>
      <c r="Y789" s="1"/>
      <c r="Z789" s="1"/>
      <c r="AA789" s="1"/>
      <c r="AB789" s="1"/>
      <c r="AC789" s="1"/>
      <c r="AD789" s="1"/>
    </row>
    <row r="790" customFormat="false" ht="18" hidden="false" customHeight="true" outlineLevel="0" collapsed="false">
      <c r="A790" s="1"/>
      <c r="B790" s="35"/>
      <c r="C790" s="8"/>
      <c r="D790" s="26"/>
      <c r="E790" s="27"/>
      <c r="F790" s="36"/>
      <c r="G790" s="36"/>
      <c r="H790" s="36"/>
      <c r="I790" s="36"/>
      <c r="J790" s="37" t="str">
        <f aca="false">IF($E790="","",IFERROR(G790/F790,""))</f>
        <v/>
      </c>
      <c r="K790" s="30" t="str">
        <f aca="false">IF($E790="","",IFERROR(E790/G790,""))</f>
        <v/>
      </c>
      <c r="L790" s="30" t="str">
        <f aca="false">IF($E790="","",IFERROR(E790/F790*1000,""))</f>
        <v/>
      </c>
      <c r="M790" s="37" t="str">
        <f aca="false">IF($E790="","",IFERROR(H790/G790,""))</f>
        <v/>
      </c>
      <c r="N790" s="30" t="str">
        <f aca="false">IF($E790="","",IFERROR(E790/H790,"—"))</f>
        <v/>
      </c>
      <c r="O790" s="30" t="str">
        <f aca="false">IF($E790="","",IFERROR(INDEX('Гео-калькулятор'!$K$7:$K$13,MATCH($C790,'Гео-калькулятор'!$B$7:$B$13,0)),""))</f>
        <v/>
      </c>
      <c r="P790" s="38" t="str">
        <f aca="false">IF($E790="","",IFERROR(N790/O790,""))</f>
        <v/>
      </c>
      <c r="Q790" s="39" t="str">
        <f aca="false">IF($E790="","",IF($I790&lt;&gt;"",$I790,N($H790)*IFERROR(INDEX('Гео-калькулятор'!$E$7:$E$13,MATCH($C790,'Гео-калькулятор'!$B$7:$B$13,0)),0)))</f>
        <v/>
      </c>
      <c r="R790" s="38" t="str">
        <f aca="false">IF($E790="","",IFERROR(Q790/H790,""))</f>
        <v/>
      </c>
      <c r="S790" s="30" t="str">
        <f aca="false">IF($E790="","",IFERROR(E790/Q790,"—"))</f>
        <v/>
      </c>
      <c r="T790" s="30" t="str">
        <f aca="false">IF($E790="","",Q790*IFERROR(INDEX('Гео-калькулятор'!$D$7:$D$13,MATCH($C790,'Гео-калькулятор'!$B$7:$B$13,0)),0))</f>
        <v/>
      </c>
      <c r="U790" s="40" t="str">
        <f aca="false">IF($E790="","",T790-E790)</f>
        <v/>
      </c>
      <c r="V790" s="41" t="str">
        <f aca="false">IF($E790="","",IFERROR(U790/E790,""))</f>
        <v/>
      </c>
      <c r="W790" s="10" t="str">
        <f aca="false">IF($E790="","",IF($I790&lt;&gt;"","факт","прогноз"))</f>
        <v/>
      </c>
      <c r="X790" s="1"/>
      <c r="Y790" s="1"/>
      <c r="Z790" s="1"/>
      <c r="AA790" s="1"/>
      <c r="AB790" s="1"/>
      <c r="AC790" s="1"/>
      <c r="AD790" s="1"/>
    </row>
    <row r="791" customFormat="false" ht="18" hidden="false" customHeight="true" outlineLevel="0" collapsed="false">
      <c r="A791" s="1"/>
      <c r="B791" s="35"/>
      <c r="C791" s="8"/>
      <c r="D791" s="26"/>
      <c r="E791" s="27"/>
      <c r="F791" s="36"/>
      <c r="G791" s="36"/>
      <c r="H791" s="36"/>
      <c r="I791" s="36"/>
      <c r="J791" s="37" t="str">
        <f aca="false">IF($E791="","",IFERROR(G791/F791,""))</f>
        <v/>
      </c>
      <c r="K791" s="30" t="str">
        <f aca="false">IF($E791="","",IFERROR(E791/G791,""))</f>
        <v/>
      </c>
      <c r="L791" s="30" t="str">
        <f aca="false">IF($E791="","",IFERROR(E791/F791*1000,""))</f>
        <v/>
      </c>
      <c r="M791" s="37" t="str">
        <f aca="false">IF($E791="","",IFERROR(H791/G791,""))</f>
        <v/>
      </c>
      <c r="N791" s="30" t="str">
        <f aca="false">IF($E791="","",IFERROR(E791/H791,"—"))</f>
        <v/>
      </c>
      <c r="O791" s="30" t="str">
        <f aca="false">IF($E791="","",IFERROR(INDEX('Гео-калькулятор'!$K$7:$K$13,MATCH($C791,'Гео-калькулятор'!$B$7:$B$13,0)),""))</f>
        <v/>
      </c>
      <c r="P791" s="38" t="str">
        <f aca="false">IF($E791="","",IFERROR(N791/O791,""))</f>
        <v/>
      </c>
      <c r="Q791" s="39" t="str">
        <f aca="false">IF($E791="","",IF($I791&lt;&gt;"",$I791,N($H791)*IFERROR(INDEX('Гео-калькулятор'!$E$7:$E$13,MATCH($C791,'Гео-калькулятор'!$B$7:$B$13,0)),0)))</f>
        <v/>
      </c>
      <c r="R791" s="38" t="str">
        <f aca="false">IF($E791="","",IFERROR(Q791/H791,""))</f>
        <v/>
      </c>
      <c r="S791" s="30" t="str">
        <f aca="false">IF($E791="","",IFERROR(E791/Q791,"—"))</f>
        <v/>
      </c>
      <c r="T791" s="30" t="str">
        <f aca="false">IF($E791="","",Q791*IFERROR(INDEX('Гео-калькулятор'!$D$7:$D$13,MATCH($C791,'Гео-калькулятор'!$B$7:$B$13,0)),0))</f>
        <v/>
      </c>
      <c r="U791" s="40" t="str">
        <f aca="false">IF($E791="","",T791-E791)</f>
        <v/>
      </c>
      <c r="V791" s="41" t="str">
        <f aca="false">IF($E791="","",IFERROR(U791/E791,""))</f>
        <v/>
      </c>
      <c r="W791" s="10" t="str">
        <f aca="false">IF($E791="","",IF($I791&lt;&gt;"","факт","прогноз"))</f>
        <v/>
      </c>
      <c r="X791" s="1"/>
      <c r="Y791" s="1"/>
      <c r="Z791" s="1"/>
      <c r="AA791" s="1"/>
      <c r="AB791" s="1"/>
      <c r="AC791" s="1"/>
      <c r="AD791" s="1"/>
    </row>
    <row r="792" customFormat="false" ht="18" hidden="false" customHeight="true" outlineLevel="0" collapsed="false">
      <c r="A792" s="1"/>
      <c r="B792" s="35"/>
      <c r="C792" s="8"/>
      <c r="D792" s="26"/>
      <c r="E792" s="27"/>
      <c r="F792" s="36"/>
      <c r="G792" s="36"/>
      <c r="H792" s="36"/>
      <c r="I792" s="36"/>
      <c r="J792" s="37" t="str">
        <f aca="false">IF($E792="","",IFERROR(G792/F792,""))</f>
        <v/>
      </c>
      <c r="K792" s="30" t="str">
        <f aca="false">IF($E792="","",IFERROR(E792/G792,""))</f>
        <v/>
      </c>
      <c r="L792" s="30" t="str">
        <f aca="false">IF($E792="","",IFERROR(E792/F792*1000,""))</f>
        <v/>
      </c>
      <c r="M792" s="37" t="str">
        <f aca="false">IF($E792="","",IFERROR(H792/G792,""))</f>
        <v/>
      </c>
      <c r="N792" s="30" t="str">
        <f aca="false">IF($E792="","",IFERROR(E792/H792,"—"))</f>
        <v/>
      </c>
      <c r="O792" s="30" t="str">
        <f aca="false">IF($E792="","",IFERROR(INDEX('Гео-калькулятор'!$K$7:$K$13,MATCH($C792,'Гео-калькулятор'!$B$7:$B$13,0)),""))</f>
        <v/>
      </c>
      <c r="P792" s="38" t="str">
        <f aca="false">IF($E792="","",IFERROR(N792/O792,""))</f>
        <v/>
      </c>
      <c r="Q792" s="39" t="str">
        <f aca="false">IF($E792="","",IF($I792&lt;&gt;"",$I792,N($H792)*IFERROR(INDEX('Гео-калькулятор'!$E$7:$E$13,MATCH($C792,'Гео-калькулятор'!$B$7:$B$13,0)),0)))</f>
        <v/>
      </c>
      <c r="R792" s="38" t="str">
        <f aca="false">IF($E792="","",IFERROR(Q792/H792,""))</f>
        <v/>
      </c>
      <c r="S792" s="30" t="str">
        <f aca="false">IF($E792="","",IFERROR(E792/Q792,"—"))</f>
        <v/>
      </c>
      <c r="T792" s="30" t="str">
        <f aca="false">IF($E792="","",Q792*IFERROR(INDEX('Гео-калькулятор'!$D$7:$D$13,MATCH($C792,'Гео-калькулятор'!$B$7:$B$13,0)),0))</f>
        <v/>
      </c>
      <c r="U792" s="40" t="str">
        <f aca="false">IF($E792="","",T792-E792)</f>
        <v/>
      </c>
      <c r="V792" s="41" t="str">
        <f aca="false">IF($E792="","",IFERROR(U792/E792,""))</f>
        <v/>
      </c>
      <c r="W792" s="10" t="str">
        <f aca="false">IF($E792="","",IF($I792&lt;&gt;"","факт","прогноз"))</f>
        <v/>
      </c>
      <c r="X792" s="1"/>
      <c r="Y792" s="1"/>
      <c r="Z792" s="1"/>
      <c r="AA792" s="1"/>
      <c r="AB792" s="1"/>
      <c r="AC792" s="1"/>
      <c r="AD792" s="1"/>
    </row>
    <row r="793" customFormat="false" ht="18" hidden="false" customHeight="true" outlineLevel="0" collapsed="false">
      <c r="A793" s="1"/>
      <c r="B793" s="35"/>
      <c r="C793" s="8"/>
      <c r="D793" s="26"/>
      <c r="E793" s="27"/>
      <c r="F793" s="36"/>
      <c r="G793" s="36"/>
      <c r="H793" s="36"/>
      <c r="I793" s="36"/>
      <c r="J793" s="37" t="str">
        <f aca="false">IF($E793="","",IFERROR(G793/F793,""))</f>
        <v/>
      </c>
      <c r="K793" s="30" t="str">
        <f aca="false">IF($E793="","",IFERROR(E793/G793,""))</f>
        <v/>
      </c>
      <c r="L793" s="30" t="str">
        <f aca="false">IF($E793="","",IFERROR(E793/F793*1000,""))</f>
        <v/>
      </c>
      <c r="M793" s="37" t="str">
        <f aca="false">IF($E793="","",IFERROR(H793/G793,""))</f>
        <v/>
      </c>
      <c r="N793" s="30" t="str">
        <f aca="false">IF($E793="","",IFERROR(E793/H793,"—"))</f>
        <v/>
      </c>
      <c r="O793" s="30" t="str">
        <f aca="false">IF($E793="","",IFERROR(INDEX('Гео-калькулятор'!$K$7:$K$13,MATCH($C793,'Гео-калькулятор'!$B$7:$B$13,0)),""))</f>
        <v/>
      </c>
      <c r="P793" s="38" t="str">
        <f aca="false">IF($E793="","",IFERROR(N793/O793,""))</f>
        <v/>
      </c>
      <c r="Q793" s="39" t="str">
        <f aca="false">IF($E793="","",IF($I793&lt;&gt;"",$I793,N($H793)*IFERROR(INDEX('Гео-калькулятор'!$E$7:$E$13,MATCH($C793,'Гео-калькулятор'!$B$7:$B$13,0)),0)))</f>
        <v/>
      </c>
      <c r="R793" s="38" t="str">
        <f aca="false">IF($E793="","",IFERROR(Q793/H793,""))</f>
        <v/>
      </c>
      <c r="S793" s="30" t="str">
        <f aca="false">IF($E793="","",IFERROR(E793/Q793,"—"))</f>
        <v/>
      </c>
      <c r="T793" s="30" t="str">
        <f aca="false">IF($E793="","",Q793*IFERROR(INDEX('Гео-калькулятор'!$D$7:$D$13,MATCH($C793,'Гео-калькулятор'!$B$7:$B$13,0)),0))</f>
        <v/>
      </c>
      <c r="U793" s="40" t="str">
        <f aca="false">IF($E793="","",T793-E793)</f>
        <v/>
      </c>
      <c r="V793" s="41" t="str">
        <f aca="false">IF($E793="","",IFERROR(U793/E793,""))</f>
        <v/>
      </c>
      <c r="W793" s="10" t="str">
        <f aca="false">IF($E793="","",IF($I793&lt;&gt;"","факт","прогноз"))</f>
        <v/>
      </c>
      <c r="X793" s="1"/>
      <c r="Y793" s="1"/>
      <c r="Z793" s="1"/>
      <c r="AA793" s="1"/>
      <c r="AB793" s="1"/>
      <c r="AC793" s="1"/>
      <c r="AD793" s="1"/>
    </row>
    <row r="794" customFormat="false" ht="18" hidden="false" customHeight="true" outlineLevel="0" collapsed="false">
      <c r="A794" s="1"/>
      <c r="B794" s="35"/>
      <c r="C794" s="8"/>
      <c r="D794" s="26"/>
      <c r="E794" s="27"/>
      <c r="F794" s="36"/>
      <c r="G794" s="36"/>
      <c r="H794" s="36"/>
      <c r="I794" s="36"/>
      <c r="J794" s="37" t="str">
        <f aca="false">IF($E794="","",IFERROR(G794/F794,""))</f>
        <v/>
      </c>
      <c r="K794" s="30" t="str">
        <f aca="false">IF($E794="","",IFERROR(E794/G794,""))</f>
        <v/>
      </c>
      <c r="L794" s="30" t="str">
        <f aca="false">IF($E794="","",IFERROR(E794/F794*1000,""))</f>
        <v/>
      </c>
      <c r="M794" s="37" t="str">
        <f aca="false">IF($E794="","",IFERROR(H794/G794,""))</f>
        <v/>
      </c>
      <c r="N794" s="30" t="str">
        <f aca="false">IF($E794="","",IFERROR(E794/H794,"—"))</f>
        <v/>
      </c>
      <c r="O794" s="30" t="str">
        <f aca="false">IF($E794="","",IFERROR(INDEX('Гео-калькулятор'!$K$7:$K$13,MATCH($C794,'Гео-калькулятор'!$B$7:$B$13,0)),""))</f>
        <v/>
      </c>
      <c r="P794" s="38" t="str">
        <f aca="false">IF($E794="","",IFERROR(N794/O794,""))</f>
        <v/>
      </c>
      <c r="Q794" s="39" t="str">
        <f aca="false">IF($E794="","",IF($I794&lt;&gt;"",$I794,N($H794)*IFERROR(INDEX('Гео-калькулятор'!$E$7:$E$13,MATCH($C794,'Гео-калькулятор'!$B$7:$B$13,0)),0)))</f>
        <v/>
      </c>
      <c r="R794" s="38" t="str">
        <f aca="false">IF($E794="","",IFERROR(Q794/H794,""))</f>
        <v/>
      </c>
      <c r="S794" s="30" t="str">
        <f aca="false">IF($E794="","",IFERROR(E794/Q794,"—"))</f>
        <v/>
      </c>
      <c r="T794" s="30" t="str">
        <f aca="false">IF($E794="","",Q794*IFERROR(INDEX('Гео-калькулятор'!$D$7:$D$13,MATCH($C794,'Гео-калькулятор'!$B$7:$B$13,0)),0))</f>
        <v/>
      </c>
      <c r="U794" s="40" t="str">
        <f aca="false">IF($E794="","",T794-E794)</f>
        <v/>
      </c>
      <c r="V794" s="41" t="str">
        <f aca="false">IF($E794="","",IFERROR(U794/E794,""))</f>
        <v/>
      </c>
      <c r="W794" s="10" t="str">
        <f aca="false">IF($E794="","",IF($I794&lt;&gt;"","факт","прогноз"))</f>
        <v/>
      </c>
      <c r="X794" s="1"/>
      <c r="Y794" s="1"/>
      <c r="Z794" s="1"/>
      <c r="AA794" s="1"/>
      <c r="AB794" s="1"/>
      <c r="AC794" s="1"/>
      <c r="AD794" s="1"/>
    </row>
    <row r="795" customFormat="false" ht="18" hidden="false" customHeight="true" outlineLevel="0" collapsed="false">
      <c r="A795" s="1"/>
      <c r="B795" s="35"/>
      <c r="C795" s="8"/>
      <c r="D795" s="26"/>
      <c r="E795" s="27"/>
      <c r="F795" s="36"/>
      <c r="G795" s="36"/>
      <c r="H795" s="36"/>
      <c r="I795" s="36"/>
      <c r="J795" s="37" t="str">
        <f aca="false">IF($E795="","",IFERROR(G795/F795,""))</f>
        <v/>
      </c>
      <c r="K795" s="30" t="str">
        <f aca="false">IF($E795="","",IFERROR(E795/G795,""))</f>
        <v/>
      </c>
      <c r="L795" s="30" t="str">
        <f aca="false">IF($E795="","",IFERROR(E795/F795*1000,""))</f>
        <v/>
      </c>
      <c r="M795" s="37" t="str">
        <f aca="false">IF($E795="","",IFERROR(H795/G795,""))</f>
        <v/>
      </c>
      <c r="N795" s="30" t="str">
        <f aca="false">IF($E795="","",IFERROR(E795/H795,"—"))</f>
        <v/>
      </c>
      <c r="O795" s="30" t="str">
        <f aca="false">IF($E795="","",IFERROR(INDEX('Гео-калькулятор'!$K$7:$K$13,MATCH($C795,'Гео-калькулятор'!$B$7:$B$13,0)),""))</f>
        <v/>
      </c>
      <c r="P795" s="38" t="str">
        <f aca="false">IF($E795="","",IFERROR(N795/O795,""))</f>
        <v/>
      </c>
      <c r="Q795" s="39" t="str">
        <f aca="false">IF($E795="","",IF($I795&lt;&gt;"",$I795,N($H795)*IFERROR(INDEX('Гео-калькулятор'!$E$7:$E$13,MATCH($C795,'Гео-калькулятор'!$B$7:$B$13,0)),0)))</f>
        <v/>
      </c>
      <c r="R795" s="38" t="str">
        <f aca="false">IF($E795="","",IFERROR(Q795/H795,""))</f>
        <v/>
      </c>
      <c r="S795" s="30" t="str">
        <f aca="false">IF($E795="","",IFERROR(E795/Q795,"—"))</f>
        <v/>
      </c>
      <c r="T795" s="30" t="str">
        <f aca="false">IF($E795="","",Q795*IFERROR(INDEX('Гео-калькулятор'!$D$7:$D$13,MATCH($C795,'Гео-калькулятор'!$B$7:$B$13,0)),0))</f>
        <v/>
      </c>
      <c r="U795" s="40" t="str">
        <f aca="false">IF($E795="","",T795-E795)</f>
        <v/>
      </c>
      <c r="V795" s="41" t="str">
        <f aca="false">IF($E795="","",IFERROR(U795/E795,""))</f>
        <v/>
      </c>
      <c r="W795" s="10" t="str">
        <f aca="false">IF($E795="","",IF($I795&lt;&gt;"","факт","прогноз"))</f>
        <v/>
      </c>
      <c r="X795" s="1"/>
      <c r="Y795" s="1"/>
      <c r="Z795" s="1"/>
      <c r="AA795" s="1"/>
      <c r="AB795" s="1"/>
      <c r="AC795" s="1"/>
      <c r="AD795" s="1"/>
    </row>
    <row r="796" customFormat="false" ht="18" hidden="false" customHeight="true" outlineLevel="0" collapsed="false">
      <c r="A796" s="1"/>
      <c r="B796" s="35"/>
      <c r="C796" s="8"/>
      <c r="D796" s="26"/>
      <c r="E796" s="27"/>
      <c r="F796" s="36"/>
      <c r="G796" s="36"/>
      <c r="H796" s="36"/>
      <c r="I796" s="36"/>
      <c r="J796" s="37" t="str">
        <f aca="false">IF($E796="","",IFERROR(G796/F796,""))</f>
        <v/>
      </c>
      <c r="K796" s="30" t="str">
        <f aca="false">IF($E796="","",IFERROR(E796/G796,""))</f>
        <v/>
      </c>
      <c r="L796" s="30" t="str">
        <f aca="false">IF($E796="","",IFERROR(E796/F796*1000,""))</f>
        <v/>
      </c>
      <c r="M796" s="37" t="str">
        <f aca="false">IF($E796="","",IFERROR(H796/G796,""))</f>
        <v/>
      </c>
      <c r="N796" s="30" t="str">
        <f aca="false">IF($E796="","",IFERROR(E796/H796,"—"))</f>
        <v/>
      </c>
      <c r="O796" s="30" t="str">
        <f aca="false">IF($E796="","",IFERROR(INDEX('Гео-калькулятор'!$K$7:$K$13,MATCH($C796,'Гео-калькулятор'!$B$7:$B$13,0)),""))</f>
        <v/>
      </c>
      <c r="P796" s="38" t="str">
        <f aca="false">IF($E796="","",IFERROR(N796/O796,""))</f>
        <v/>
      </c>
      <c r="Q796" s="39" t="str">
        <f aca="false">IF($E796="","",IF($I796&lt;&gt;"",$I796,N($H796)*IFERROR(INDEX('Гео-калькулятор'!$E$7:$E$13,MATCH($C796,'Гео-калькулятор'!$B$7:$B$13,0)),0)))</f>
        <v/>
      </c>
      <c r="R796" s="38" t="str">
        <f aca="false">IF($E796="","",IFERROR(Q796/H796,""))</f>
        <v/>
      </c>
      <c r="S796" s="30" t="str">
        <f aca="false">IF($E796="","",IFERROR(E796/Q796,"—"))</f>
        <v/>
      </c>
      <c r="T796" s="30" t="str">
        <f aca="false">IF($E796="","",Q796*IFERROR(INDEX('Гео-калькулятор'!$D$7:$D$13,MATCH($C796,'Гео-калькулятор'!$B$7:$B$13,0)),0))</f>
        <v/>
      </c>
      <c r="U796" s="40" t="str">
        <f aca="false">IF($E796="","",T796-E796)</f>
        <v/>
      </c>
      <c r="V796" s="41" t="str">
        <f aca="false">IF($E796="","",IFERROR(U796/E796,""))</f>
        <v/>
      </c>
      <c r="W796" s="10" t="str">
        <f aca="false">IF($E796="","",IF($I796&lt;&gt;"","факт","прогноз"))</f>
        <v/>
      </c>
      <c r="X796" s="1"/>
      <c r="Y796" s="1"/>
      <c r="Z796" s="1"/>
      <c r="AA796" s="1"/>
      <c r="AB796" s="1"/>
      <c r="AC796" s="1"/>
      <c r="AD796" s="1"/>
    </row>
    <row r="797" customFormat="false" ht="18" hidden="false" customHeight="true" outlineLevel="0" collapsed="false">
      <c r="A797" s="1"/>
      <c r="B797" s="35"/>
      <c r="C797" s="8"/>
      <c r="D797" s="26"/>
      <c r="E797" s="27"/>
      <c r="F797" s="36"/>
      <c r="G797" s="36"/>
      <c r="H797" s="36"/>
      <c r="I797" s="36"/>
      <c r="J797" s="37" t="str">
        <f aca="false">IF($E797="","",IFERROR(G797/F797,""))</f>
        <v/>
      </c>
      <c r="K797" s="30" t="str">
        <f aca="false">IF($E797="","",IFERROR(E797/G797,""))</f>
        <v/>
      </c>
      <c r="L797" s="30" t="str">
        <f aca="false">IF($E797="","",IFERROR(E797/F797*1000,""))</f>
        <v/>
      </c>
      <c r="M797" s="37" t="str">
        <f aca="false">IF($E797="","",IFERROR(H797/G797,""))</f>
        <v/>
      </c>
      <c r="N797" s="30" t="str">
        <f aca="false">IF($E797="","",IFERROR(E797/H797,"—"))</f>
        <v/>
      </c>
      <c r="O797" s="30" t="str">
        <f aca="false">IF($E797="","",IFERROR(INDEX('Гео-калькулятор'!$K$7:$K$13,MATCH($C797,'Гео-калькулятор'!$B$7:$B$13,0)),""))</f>
        <v/>
      </c>
      <c r="P797" s="38" t="str">
        <f aca="false">IF($E797="","",IFERROR(N797/O797,""))</f>
        <v/>
      </c>
      <c r="Q797" s="39" t="str">
        <f aca="false">IF($E797="","",IF($I797&lt;&gt;"",$I797,N($H797)*IFERROR(INDEX('Гео-калькулятор'!$E$7:$E$13,MATCH($C797,'Гео-калькулятор'!$B$7:$B$13,0)),0)))</f>
        <v/>
      </c>
      <c r="R797" s="38" t="str">
        <f aca="false">IF($E797="","",IFERROR(Q797/H797,""))</f>
        <v/>
      </c>
      <c r="S797" s="30" t="str">
        <f aca="false">IF($E797="","",IFERROR(E797/Q797,"—"))</f>
        <v/>
      </c>
      <c r="T797" s="30" t="str">
        <f aca="false">IF($E797="","",Q797*IFERROR(INDEX('Гео-калькулятор'!$D$7:$D$13,MATCH($C797,'Гео-калькулятор'!$B$7:$B$13,0)),0))</f>
        <v/>
      </c>
      <c r="U797" s="40" t="str">
        <f aca="false">IF($E797="","",T797-E797)</f>
        <v/>
      </c>
      <c r="V797" s="41" t="str">
        <f aca="false">IF($E797="","",IFERROR(U797/E797,""))</f>
        <v/>
      </c>
      <c r="W797" s="10" t="str">
        <f aca="false">IF($E797="","",IF($I797&lt;&gt;"","факт","прогноз"))</f>
        <v/>
      </c>
      <c r="X797" s="1"/>
      <c r="Y797" s="1"/>
      <c r="Z797" s="1"/>
      <c r="AA797" s="1"/>
      <c r="AB797" s="1"/>
      <c r="AC797" s="1"/>
      <c r="AD797" s="1"/>
    </row>
    <row r="798" customFormat="false" ht="18" hidden="false" customHeight="true" outlineLevel="0" collapsed="false">
      <c r="A798" s="1"/>
      <c r="B798" s="35"/>
      <c r="C798" s="8"/>
      <c r="D798" s="26"/>
      <c r="E798" s="27"/>
      <c r="F798" s="36"/>
      <c r="G798" s="36"/>
      <c r="H798" s="36"/>
      <c r="I798" s="36"/>
      <c r="J798" s="37" t="str">
        <f aca="false">IF($E798="","",IFERROR(G798/F798,""))</f>
        <v/>
      </c>
      <c r="K798" s="30" t="str">
        <f aca="false">IF($E798="","",IFERROR(E798/G798,""))</f>
        <v/>
      </c>
      <c r="L798" s="30" t="str">
        <f aca="false">IF($E798="","",IFERROR(E798/F798*1000,""))</f>
        <v/>
      </c>
      <c r="M798" s="37" t="str">
        <f aca="false">IF($E798="","",IFERROR(H798/G798,""))</f>
        <v/>
      </c>
      <c r="N798" s="30" t="str">
        <f aca="false">IF($E798="","",IFERROR(E798/H798,"—"))</f>
        <v/>
      </c>
      <c r="O798" s="30" t="str">
        <f aca="false">IF($E798="","",IFERROR(INDEX('Гео-калькулятор'!$K$7:$K$13,MATCH($C798,'Гео-калькулятор'!$B$7:$B$13,0)),""))</f>
        <v/>
      </c>
      <c r="P798" s="38" t="str">
        <f aca="false">IF($E798="","",IFERROR(N798/O798,""))</f>
        <v/>
      </c>
      <c r="Q798" s="39" t="str">
        <f aca="false">IF($E798="","",IF($I798&lt;&gt;"",$I798,N($H798)*IFERROR(INDEX('Гео-калькулятор'!$E$7:$E$13,MATCH($C798,'Гео-калькулятор'!$B$7:$B$13,0)),0)))</f>
        <v/>
      </c>
      <c r="R798" s="38" t="str">
        <f aca="false">IF($E798="","",IFERROR(Q798/H798,""))</f>
        <v/>
      </c>
      <c r="S798" s="30" t="str">
        <f aca="false">IF($E798="","",IFERROR(E798/Q798,"—"))</f>
        <v/>
      </c>
      <c r="T798" s="30" t="str">
        <f aca="false">IF($E798="","",Q798*IFERROR(INDEX('Гео-калькулятор'!$D$7:$D$13,MATCH($C798,'Гео-калькулятор'!$B$7:$B$13,0)),0))</f>
        <v/>
      </c>
      <c r="U798" s="40" t="str">
        <f aca="false">IF($E798="","",T798-E798)</f>
        <v/>
      </c>
      <c r="V798" s="41" t="str">
        <f aca="false">IF($E798="","",IFERROR(U798/E798,""))</f>
        <v/>
      </c>
      <c r="W798" s="10" t="str">
        <f aca="false">IF($E798="","",IF($I798&lt;&gt;"","факт","прогноз"))</f>
        <v/>
      </c>
      <c r="X798" s="1"/>
      <c r="Y798" s="1"/>
      <c r="Z798" s="1"/>
      <c r="AA798" s="1"/>
      <c r="AB798" s="1"/>
      <c r="AC798" s="1"/>
      <c r="AD798" s="1"/>
    </row>
    <row r="799" customFormat="false" ht="18" hidden="false" customHeight="true" outlineLevel="0" collapsed="false">
      <c r="A799" s="1"/>
      <c r="B799" s="35"/>
      <c r="C799" s="8"/>
      <c r="D799" s="26"/>
      <c r="E799" s="27"/>
      <c r="F799" s="36"/>
      <c r="G799" s="36"/>
      <c r="H799" s="36"/>
      <c r="I799" s="36"/>
      <c r="J799" s="37" t="str">
        <f aca="false">IF($E799="","",IFERROR(G799/F799,""))</f>
        <v/>
      </c>
      <c r="K799" s="30" t="str">
        <f aca="false">IF($E799="","",IFERROR(E799/G799,""))</f>
        <v/>
      </c>
      <c r="L799" s="30" t="str">
        <f aca="false">IF($E799="","",IFERROR(E799/F799*1000,""))</f>
        <v/>
      </c>
      <c r="M799" s="37" t="str">
        <f aca="false">IF($E799="","",IFERROR(H799/G799,""))</f>
        <v/>
      </c>
      <c r="N799" s="30" t="str">
        <f aca="false">IF($E799="","",IFERROR(E799/H799,"—"))</f>
        <v/>
      </c>
      <c r="O799" s="30" t="str">
        <f aca="false">IF($E799="","",IFERROR(INDEX('Гео-калькулятор'!$K$7:$K$13,MATCH($C799,'Гео-калькулятор'!$B$7:$B$13,0)),""))</f>
        <v/>
      </c>
      <c r="P799" s="38" t="str">
        <f aca="false">IF($E799="","",IFERROR(N799/O799,""))</f>
        <v/>
      </c>
      <c r="Q799" s="39" t="str">
        <f aca="false">IF($E799="","",IF($I799&lt;&gt;"",$I799,N($H799)*IFERROR(INDEX('Гео-калькулятор'!$E$7:$E$13,MATCH($C799,'Гео-калькулятор'!$B$7:$B$13,0)),0)))</f>
        <v/>
      </c>
      <c r="R799" s="38" t="str">
        <f aca="false">IF($E799="","",IFERROR(Q799/H799,""))</f>
        <v/>
      </c>
      <c r="S799" s="30" t="str">
        <f aca="false">IF($E799="","",IFERROR(E799/Q799,"—"))</f>
        <v/>
      </c>
      <c r="T799" s="30" t="str">
        <f aca="false">IF($E799="","",Q799*IFERROR(INDEX('Гео-калькулятор'!$D$7:$D$13,MATCH($C799,'Гео-калькулятор'!$B$7:$B$13,0)),0))</f>
        <v/>
      </c>
      <c r="U799" s="40" t="str">
        <f aca="false">IF($E799="","",T799-E799)</f>
        <v/>
      </c>
      <c r="V799" s="41" t="str">
        <f aca="false">IF($E799="","",IFERROR(U799/E799,""))</f>
        <v/>
      </c>
      <c r="W799" s="10" t="str">
        <f aca="false">IF($E799="","",IF($I799&lt;&gt;"","факт","прогноз"))</f>
        <v/>
      </c>
      <c r="X799" s="1"/>
      <c r="Y799" s="1"/>
      <c r="Z799" s="1"/>
      <c r="AA799" s="1"/>
      <c r="AB799" s="1"/>
      <c r="AC799" s="1"/>
      <c r="AD799" s="1"/>
    </row>
    <row r="800" customFormat="false" ht="18" hidden="false" customHeight="true" outlineLevel="0" collapsed="false">
      <c r="A800" s="1"/>
      <c r="B800" s="35"/>
      <c r="C800" s="8"/>
      <c r="D800" s="26"/>
      <c r="E800" s="27"/>
      <c r="F800" s="36"/>
      <c r="G800" s="36"/>
      <c r="H800" s="36"/>
      <c r="I800" s="36"/>
      <c r="J800" s="37" t="str">
        <f aca="false">IF($E800="","",IFERROR(G800/F800,""))</f>
        <v/>
      </c>
      <c r="K800" s="30" t="str">
        <f aca="false">IF($E800="","",IFERROR(E800/G800,""))</f>
        <v/>
      </c>
      <c r="L800" s="30" t="str">
        <f aca="false">IF($E800="","",IFERROR(E800/F800*1000,""))</f>
        <v/>
      </c>
      <c r="M800" s="37" t="str">
        <f aca="false">IF($E800="","",IFERROR(H800/G800,""))</f>
        <v/>
      </c>
      <c r="N800" s="30" t="str">
        <f aca="false">IF($E800="","",IFERROR(E800/H800,"—"))</f>
        <v/>
      </c>
      <c r="O800" s="30" t="str">
        <f aca="false">IF($E800="","",IFERROR(INDEX('Гео-калькулятор'!$K$7:$K$13,MATCH($C800,'Гео-калькулятор'!$B$7:$B$13,0)),""))</f>
        <v/>
      </c>
      <c r="P800" s="38" t="str">
        <f aca="false">IF($E800="","",IFERROR(N800/O800,""))</f>
        <v/>
      </c>
      <c r="Q800" s="39" t="str">
        <f aca="false">IF($E800="","",IF($I800&lt;&gt;"",$I800,N($H800)*IFERROR(INDEX('Гео-калькулятор'!$E$7:$E$13,MATCH($C800,'Гео-калькулятор'!$B$7:$B$13,0)),0)))</f>
        <v/>
      </c>
      <c r="R800" s="38" t="str">
        <f aca="false">IF($E800="","",IFERROR(Q800/H800,""))</f>
        <v/>
      </c>
      <c r="S800" s="30" t="str">
        <f aca="false">IF($E800="","",IFERROR(E800/Q800,"—"))</f>
        <v/>
      </c>
      <c r="T800" s="30" t="str">
        <f aca="false">IF($E800="","",Q800*IFERROR(INDEX('Гео-калькулятор'!$D$7:$D$13,MATCH($C800,'Гео-калькулятор'!$B$7:$B$13,0)),0))</f>
        <v/>
      </c>
      <c r="U800" s="40" t="str">
        <f aca="false">IF($E800="","",T800-E800)</f>
        <v/>
      </c>
      <c r="V800" s="41" t="str">
        <f aca="false">IF($E800="","",IFERROR(U800/E800,""))</f>
        <v/>
      </c>
      <c r="W800" s="10" t="str">
        <f aca="false">IF($E800="","",IF($I800&lt;&gt;"","факт","прогноз"))</f>
        <v/>
      </c>
      <c r="X800" s="1"/>
      <c r="Y800" s="1"/>
      <c r="Z800" s="1"/>
      <c r="AA800" s="1"/>
      <c r="AB800" s="1"/>
      <c r="AC800" s="1"/>
      <c r="AD800" s="1"/>
    </row>
    <row r="801" customFormat="false" ht="18" hidden="false" customHeight="true" outlineLevel="0" collapsed="false">
      <c r="A801" s="1"/>
      <c r="B801" s="35"/>
      <c r="C801" s="8"/>
      <c r="D801" s="26"/>
      <c r="E801" s="27"/>
      <c r="F801" s="36"/>
      <c r="G801" s="36"/>
      <c r="H801" s="36"/>
      <c r="I801" s="36"/>
      <c r="J801" s="37" t="str">
        <f aca="false">IF($E801="","",IFERROR(G801/F801,""))</f>
        <v/>
      </c>
      <c r="K801" s="30" t="str">
        <f aca="false">IF($E801="","",IFERROR(E801/G801,""))</f>
        <v/>
      </c>
      <c r="L801" s="30" t="str">
        <f aca="false">IF($E801="","",IFERROR(E801/F801*1000,""))</f>
        <v/>
      </c>
      <c r="M801" s="37" t="str">
        <f aca="false">IF($E801="","",IFERROR(H801/G801,""))</f>
        <v/>
      </c>
      <c r="N801" s="30" t="str">
        <f aca="false">IF($E801="","",IFERROR(E801/H801,"—"))</f>
        <v/>
      </c>
      <c r="O801" s="30" t="str">
        <f aca="false">IF($E801="","",IFERROR(INDEX('Гео-калькулятор'!$K$7:$K$13,MATCH($C801,'Гео-калькулятор'!$B$7:$B$13,0)),""))</f>
        <v/>
      </c>
      <c r="P801" s="38" t="str">
        <f aca="false">IF($E801="","",IFERROR(N801/O801,""))</f>
        <v/>
      </c>
      <c r="Q801" s="39" t="str">
        <f aca="false">IF($E801="","",IF($I801&lt;&gt;"",$I801,N($H801)*IFERROR(INDEX('Гео-калькулятор'!$E$7:$E$13,MATCH($C801,'Гео-калькулятор'!$B$7:$B$13,0)),0)))</f>
        <v/>
      </c>
      <c r="R801" s="38" t="str">
        <f aca="false">IF($E801="","",IFERROR(Q801/H801,""))</f>
        <v/>
      </c>
      <c r="S801" s="30" t="str">
        <f aca="false">IF($E801="","",IFERROR(E801/Q801,"—"))</f>
        <v/>
      </c>
      <c r="T801" s="30" t="str">
        <f aca="false">IF($E801="","",Q801*IFERROR(INDEX('Гео-калькулятор'!$D$7:$D$13,MATCH($C801,'Гео-калькулятор'!$B$7:$B$13,0)),0))</f>
        <v/>
      </c>
      <c r="U801" s="40" t="str">
        <f aca="false">IF($E801="","",T801-E801)</f>
        <v/>
      </c>
      <c r="V801" s="41" t="str">
        <f aca="false">IF($E801="","",IFERROR(U801/E801,""))</f>
        <v/>
      </c>
      <c r="W801" s="10" t="str">
        <f aca="false">IF($E801="","",IF($I801&lt;&gt;"","факт","прогноз"))</f>
        <v/>
      </c>
      <c r="X801" s="1"/>
      <c r="Y801" s="1"/>
      <c r="Z801" s="1"/>
      <c r="AA801" s="1"/>
      <c r="AB801" s="1"/>
      <c r="AC801" s="1"/>
      <c r="AD801" s="1"/>
    </row>
    <row r="802" customFormat="false" ht="18" hidden="false" customHeight="true" outlineLevel="0" collapsed="false">
      <c r="A802" s="1"/>
      <c r="B802" s="35"/>
      <c r="C802" s="8"/>
      <c r="D802" s="26"/>
      <c r="E802" s="27"/>
      <c r="F802" s="36"/>
      <c r="G802" s="36"/>
      <c r="H802" s="36"/>
      <c r="I802" s="36"/>
      <c r="J802" s="37" t="str">
        <f aca="false">IF($E802="","",IFERROR(G802/F802,""))</f>
        <v/>
      </c>
      <c r="K802" s="30" t="str">
        <f aca="false">IF($E802="","",IFERROR(E802/G802,""))</f>
        <v/>
      </c>
      <c r="L802" s="30" t="str">
        <f aca="false">IF($E802="","",IFERROR(E802/F802*1000,""))</f>
        <v/>
      </c>
      <c r="M802" s="37" t="str">
        <f aca="false">IF($E802="","",IFERROR(H802/G802,""))</f>
        <v/>
      </c>
      <c r="N802" s="30" t="str">
        <f aca="false">IF($E802="","",IFERROR(E802/H802,"—"))</f>
        <v/>
      </c>
      <c r="O802" s="30" t="str">
        <f aca="false">IF($E802="","",IFERROR(INDEX('Гео-калькулятор'!$K$7:$K$13,MATCH($C802,'Гео-калькулятор'!$B$7:$B$13,0)),""))</f>
        <v/>
      </c>
      <c r="P802" s="38" t="str">
        <f aca="false">IF($E802="","",IFERROR(N802/O802,""))</f>
        <v/>
      </c>
      <c r="Q802" s="39" t="str">
        <f aca="false">IF($E802="","",IF($I802&lt;&gt;"",$I802,N($H802)*IFERROR(INDEX('Гео-калькулятор'!$E$7:$E$13,MATCH($C802,'Гео-калькулятор'!$B$7:$B$13,0)),0)))</f>
        <v/>
      </c>
      <c r="R802" s="38" t="str">
        <f aca="false">IF($E802="","",IFERROR(Q802/H802,""))</f>
        <v/>
      </c>
      <c r="S802" s="30" t="str">
        <f aca="false">IF($E802="","",IFERROR(E802/Q802,"—"))</f>
        <v/>
      </c>
      <c r="T802" s="30" t="str">
        <f aca="false">IF($E802="","",Q802*IFERROR(INDEX('Гео-калькулятор'!$D$7:$D$13,MATCH($C802,'Гео-калькулятор'!$B$7:$B$13,0)),0))</f>
        <v/>
      </c>
      <c r="U802" s="40" t="str">
        <f aca="false">IF($E802="","",T802-E802)</f>
        <v/>
      </c>
      <c r="V802" s="41" t="str">
        <f aca="false">IF($E802="","",IFERROR(U802/E802,""))</f>
        <v/>
      </c>
      <c r="W802" s="10" t="str">
        <f aca="false">IF($E802="","",IF($I802&lt;&gt;"","факт","прогноз"))</f>
        <v/>
      </c>
      <c r="X802" s="1"/>
      <c r="Y802" s="1"/>
      <c r="Z802" s="1"/>
      <c r="AA802" s="1"/>
      <c r="AB802" s="1"/>
      <c r="AC802" s="1"/>
      <c r="AD802" s="1"/>
    </row>
    <row r="803" customFormat="false" ht="18" hidden="false" customHeight="true" outlineLevel="0" collapsed="false">
      <c r="A803" s="1"/>
      <c r="B803" s="35"/>
      <c r="C803" s="8"/>
      <c r="D803" s="26"/>
      <c r="E803" s="27"/>
      <c r="F803" s="36"/>
      <c r="G803" s="36"/>
      <c r="H803" s="36"/>
      <c r="I803" s="36"/>
      <c r="J803" s="37" t="str">
        <f aca="false">IF($E803="","",IFERROR(G803/F803,""))</f>
        <v/>
      </c>
      <c r="K803" s="30" t="str">
        <f aca="false">IF($E803="","",IFERROR(E803/G803,""))</f>
        <v/>
      </c>
      <c r="L803" s="30" t="str">
        <f aca="false">IF($E803="","",IFERROR(E803/F803*1000,""))</f>
        <v/>
      </c>
      <c r="M803" s="37" t="str">
        <f aca="false">IF($E803="","",IFERROR(H803/G803,""))</f>
        <v/>
      </c>
      <c r="N803" s="30" t="str">
        <f aca="false">IF($E803="","",IFERROR(E803/H803,"—"))</f>
        <v/>
      </c>
      <c r="O803" s="30" t="str">
        <f aca="false">IF($E803="","",IFERROR(INDEX('Гео-калькулятор'!$K$7:$K$13,MATCH($C803,'Гео-калькулятор'!$B$7:$B$13,0)),""))</f>
        <v/>
      </c>
      <c r="P803" s="38" t="str">
        <f aca="false">IF($E803="","",IFERROR(N803/O803,""))</f>
        <v/>
      </c>
      <c r="Q803" s="39" t="str">
        <f aca="false">IF($E803="","",IF($I803&lt;&gt;"",$I803,N($H803)*IFERROR(INDEX('Гео-калькулятор'!$E$7:$E$13,MATCH($C803,'Гео-калькулятор'!$B$7:$B$13,0)),0)))</f>
        <v/>
      </c>
      <c r="R803" s="38" t="str">
        <f aca="false">IF($E803="","",IFERROR(Q803/H803,""))</f>
        <v/>
      </c>
      <c r="S803" s="30" t="str">
        <f aca="false">IF($E803="","",IFERROR(E803/Q803,"—"))</f>
        <v/>
      </c>
      <c r="T803" s="30" t="str">
        <f aca="false">IF($E803="","",Q803*IFERROR(INDEX('Гео-калькулятор'!$D$7:$D$13,MATCH($C803,'Гео-калькулятор'!$B$7:$B$13,0)),0))</f>
        <v/>
      </c>
      <c r="U803" s="40" t="str">
        <f aca="false">IF($E803="","",T803-E803)</f>
        <v/>
      </c>
      <c r="V803" s="41" t="str">
        <f aca="false">IF($E803="","",IFERROR(U803/E803,""))</f>
        <v/>
      </c>
      <c r="W803" s="10" t="str">
        <f aca="false">IF($E803="","",IF($I803&lt;&gt;"","факт","прогноз"))</f>
        <v/>
      </c>
      <c r="X803" s="1"/>
      <c r="Y803" s="1"/>
      <c r="Z803" s="1"/>
      <c r="AA803" s="1"/>
      <c r="AB803" s="1"/>
      <c r="AC803" s="1"/>
      <c r="AD803" s="1"/>
    </row>
    <row r="804" customFormat="false" ht="18" hidden="false" customHeight="true" outlineLevel="0" collapsed="false">
      <c r="A804" s="1"/>
      <c r="B804" s="35"/>
      <c r="C804" s="8"/>
      <c r="D804" s="26"/>
      <c r="E804" s="27"/>
      <c r="F804" s="36"/>
      <c r="G804" s="36"/>
      <c r="H804" s="36"/>
      <c r="I804" s="36"/>
      <c r="J804" s="37" t="str">
        <f aca="false">IF($E804="","",IFERROR(G804/F804,""))</f>
        <v/>
      </c>
      <c r="K804" s="30" t="str">
        <f aca="false">IF($E804="","",IFERROR(E804/G804,""))</f>
        <v/>
      </c>
      <c r="L804" s="30" t="str">
        <f aca="false">IF($E804="","",IFERROR(E804/F804*1000,""))</f>
        <v/>
      </c>
      <c r="M804" s="37" t="str">
        <f aca="false">IF($E804="","",IFERROR(H804/G804,""))</f>
        <v/>
      </c>
      <c r="N804" s="30" t="str">
        <f aca="false">IF($E804="","",IFERROR(E804/H804,"—"))</f>
        <v/>
      </c>
      <c r="O804" s="30" t="str">
        <f aca="false">IF($E804="","",IFERROR(INDEX('Гео-калькулятор'!$K$7:$K$13,MATCH($C804,'Гео-калькулятор'!$B$7:$B$13,0)),""))</f>
        <v/>
      </c>
      <c r="P804" s="38" t="str">
        <f aca="false">IF($E804="","",IFERROR(N804/O804,""))</f>
        <v/>
      </c>
      <c r="Q804" s="39" t="str">
        <f aca="false">IF($E804="","",IF($I804&lt;&gt;"",$I804,N($H804)*IFERROR(INDEX('Гео-калькулятор'!$E$7:$E$13,MATCH($C804,'Гео-калькулятор'!$B$7:$B$13,0)),0)))</f>
        <v/>
      </c>
      <c r="R804" s="38" t="str">
        <f aca="false">IF($E804="","",IFERROR(Q804/H804,""))</f>
        <v/>
      </c>
      <c r="S804" s="30" t="str">
        <f aca="false">IF($E804="","",IFERROR(E804/Q804,"—"))</f>
        <v/>
      </c>
      <c r="T804" s="30" t="str">
        <f aca="false">IF($E804="","",Q804*IFERROR(INDEX('Гео-калькулятор'!$D$7:$D$13,MATCH($C804,'Гео-калькулятор'!$B$7:$B$13,0)),0))</f>
        <v/>
      </c>
      <c r="U804" s="40" t="str">
        <f aca="false">IF($E804="","",T804-E804)</f>
        <v/>
      </c>
      <c r="V804" s="41" t="str">
        <f aca="false">IF($E804="","",IFERROR(U804/E804,""))</f>
        <v/>
      </c>
      <c r="W804" s="10" t="str">
        <f aca="false">IF($E804="","",IF($I804&lt;&gt;"","факт","прогноз"))</f>
        <v/>
      </c>
      <c r="X804" s="1"/>
      <c r="Y804" s="1"/>
      <c r="Z804" s="1"/>
      <c r="AA804" s="1"/>
      <c r="AB804" s="1"/>
      <c r="AC804" s="1"/>
      <c r="AD804" s="1"/>
    </row>
    <row r="805" customFormat="false" ht="18" hidden="false" customHeight="true" outlineLevel="0" collapsed="false">
      <c r="A805" s="1"/>
      <c r="B805" s="35"/>
      <c r="C805" s="8"/>
      <c r="D805" s="26"/>
      <c r="E805" s="27"/>
      <c r="F805" s="36"/>
      <c r="G805" s="36"/>
      <c r="H805" s="36"/>
      <c r="I805" s="36"/>
      <c r="J805" s="37" t="str">
        <f aca="false">IF($E805="","",IFERROR(G805/F805,""))</f>
        <v/>
      </c>
      <c r="K805" s="30" t="str">
        <f aca="false">IF($E805="","",IFERROR(E805/G805,""))</f>
        <v/>
      </c>
      <c r="L805" s="30" t="str">
        <f aca="false">IF($E805="","",IFERROR(E805/F805*1000,""))</f>
        <v/>
      </c>
      <c r="M805" s="37" t="str">
        <f aca="false">IF($E805="","",IFERROR(H805/G805,""))</f>
        <v/>
      </c>
      <c r="N805" s="30" t="str">
        <f aca="false">IF($E805="","",IFERROR(E805/H805,"—"))</f>
        <v/>
      </c>
      <c r="O805" s="30" t="str">
        <f aca="false">IF($E805="","",IFERROR(INDEX('Гео-калькулятор'!$K$7:$K$13,MATCH($C805,'Гео-калькулятор'!$B$7:$B$13,0)),""))</f>
        <v/>
      </c>
      <c r="P805" s="38" t="str">
        <f aca="false">IF($E805="","",IFERROR(N805/O805,""))</f>
        <v/>
      </c>
      <c r="Q805" s="39" t="str">
        <f aca="false">IF($E805="","",IF($I805&lt;&gt;"",$I805,N($H805)*IFERROR(INDEX('Гео-калькулятор'!$E$7:$E$13,MATCH($C805,'Гео-калькулятор'!$B$7:$B$13,0)),0)))</f>
        <v/>
      </c>
      <c r="R805" s="38" t="str">
        <f aca="false">IF($E805="","",IFERROR(Q805/H805,""))</f>
        <v/>
      </c>
      <c r="S805" s="30" t="str">
        <f aca="false">IF($E805="","",IFERROR(E805/Q805,"—"))</f>
        <v/>
      </c>
      <c r="T805" s="30" t="str">
        <f aca="false">IF($E805="","",Q805*IFERROR(INDEX('Гео-калькулятор'!$D$7:$D$13,MATCH($C805,'Гео-калькулятор'!$B$7:$B$13,0)),0))</f>
        <v/>
      </c>
      <c r="U805" s="40" t="str">
        <f aca="false">IF($E805="","",T805-E805)</f>
        <v/>
      </c>
      <c r="V805" s="41" t="str">
        <f aca="false">IF($E805="","",IFERROR(U805/E805,""))</f>
        <v/>
      </c>
      <c r="W805" s="10" t="str">
        <f aca="false">IF($E805="","",IF($I805&lt;&gt;"","факт","прогноз"))</f>
        <v/>
      </c>
      <c r="X805" s="1"/>
      <c r="Y805" s="1"/>
      <c r="Z805" s="1"/>
      <c r="AA805" s="1"/>
      <c r="AB805" s="1"/>
      <c r="AC805" s="1"/>
      <c r="AD805" s="1"/>
    </row>
    <row r="806" customFormat="false" ht="18" hidden="false" customHeight="true" outlineLevel="0" collapsed="false">
      <c r="A806" s="1"/>
      <c r="B806" s="35"/>
      <c r="C806" s="8"/>
      <c r="D806" s="26"/>
      <c r="E806" s="27"/>
      <c r="F806" s="36"/>
      <c r="G806" s="36"/>
      <c r="H806" s="36"/>
      <c r="I806" s="36"/>
      <c r="J806" s="37" t="str">
        <f aca="false">IF($E806="","",IFERROR(G806/F806,""))</f>
        <v/>
      </c>
      <c r="K806" s="30" t="str">
        <f aca="false">IF($E806="","",IFERROR(E806/G806,""))</f>
        <v/>
      </c>
      <c r="L806" s="30" t="str">
        <f aca="false">IF($E806="","",IFERROR(E806/F806*1000,""))</f>
        <v/>
      </c>
      <c r="M806" s="37" t="str">
        <f aca="false">IF($E806="","",IFERROR(H806/G806,""))</f>
        <v/>
      </c>
      <c r="N806" s="30" t="str">
        <f aca="false">IF($E806="","",IFERROR(E806/H806,"—"))</f>
        <v/>
      </c>
      <c r="O806" s="30" t="str">
        <f aca="false">IF($E806="","",IFERROR(INDEX('Гео-калькулятор'!$K$7:$K$13,MATCH($C806,'Гео-калькулятор'!$B$7:$B$13,0)),""))</f>
        <v/>
      </c>
      <c r="P806" s="38" t="str">
        <f aca="false">IF($E806="","",IFERROR(N806/O806,""))</f>
        <v/>
      </c>
      <c r="Q806" s="39" t="str">
        <f aca="false">IF($E806="","",IF($I806&lt;&gt;"",$I806,N($H806)*IFERROR(INDEX('Гео-калькулятор'!$E$7:$E$13,MATCH($C806,'Гео-калькулятор'!$B$7:$B$13,0)),0)))</f>
        <v/>
      </c>
      <c r="R806" s="38" t="str">
        <f aca="false">IF($E806="","",IFERROR(Q806/H806,""))</f>
        <v/>
      </c>
      <c r="S806" s="30" t="str">
        <f aca="false">IF($E806="","",IFERROR(E806/Q806,"—"))</f>
        <v/>
      </c>
      <c r="T806" s="30" t="str">
        <f aca="false">IF($E806="","",Q806*IFERROR(INDEX('Гео-калькулятор'!$D$7:$D$13,MATCH($C806,'Гео-калькулятор'!$B$7:$B$13,0)),0))</f>
        <v/>
      </c>
      <c r="U806" s="40" t="str">
        <f aca="false">IF($E806="","",T806-E806)</f>
        <v/>
      </c>
      <c r="V806" s="41" t="str">
        <f aca="false">IF($E806="","",IFERROR(U806/E806,""))</f>
        <v/>
      </c>
      <c r="W806" s="10" t="str">
        <f aca="false">IF($E806="","",IF($I806&lt;&gt;"","факт","прогноз"))</f>
        <v/>
      </c>
      <c r="X806" s="1"/>
      <c r="Y806" s="1"/>
      <c r="Z806" s="1"/>
      <c r="AA806" s="1"/>
      <c r="AB806" s="1"/>
      <c r="AC806" s="1"/>
      <c r="AD806" s="1"/>
    </row>
    <row r="807" customFormat="false" ht="18" hidden="false" customHeight="true" outlineLevel="0" collapsed="false">
      <c r="A807" s="1"/>
      <c r="B807" s="35"/>
      <c r="C807" s="8"/>
      <c r="D807" s="26"/>
      <c r="E807" s="27"/>
      <c r="F807" s="36"/>
      <c r="G807" s="36"/>
      <c r="H807" s="36"/>
      <c r="I807" s="36"/>
      <c r="J807" s="37" t="str">
        <f aca="false">IF($E807="","",IFERROR(G807/F807,""))</f>
        <v/>
      </c>
      <c r="K807" s="30" t="str">
        <f aca="false">IF($E807="","",IFERROR(E807/G807,""))</f>
        <v/>
      </c>
      <c r="L807" s="30" t="str">
        <f aca="false">IF($E807="","",IFERROR(E807/F807*1000,""))</f>
        <v/>
      </c>
      <c r="M807" s="37" t="str">
        <f aca="false">IF($E807="","",IFERROR(H807/G807,""))</f>
        <v/>
      </c>
      <c r="N807" s="30" t="str">
        <f aca="false">IF($E807="","",IFERROR(E807/H807,"—"))</f>
        <v/>
      </c>
      <c r="O807" s="30" t="str">
        <f aca="false">IF($E807="","",IFERROR(INDEX('Гео-калькулятор'!$K$7:$K$13,MATCH($C807,'Гео-калькулятор'!$B$7:$B$13,0)),""))</f>
        <v/>
      </c>
      <c r="P807" s="38" t="str">
        <f aca="false">IF($E807="","",IFERROR(N807/O807,""))</f>
        <v/>
      </c>
      <c r="Q807" s="39" t="str">
        <f aca="false">IF($E807="","",IF($I807&lt;&gt;"",$I807,N($H807)*IFERROR(INDEX('Гео-калькулятор'!$E$7:$E$13,MATCH($C807,'Гео-калькулятор'!$B$7:$B$13,0)),0)))</f>
        <v/>
      </c>
      <c r="R807" s="38" t="str">
        <f aca="false">IF($E807="","",IFERROR(Q807/H807,""))</f>
        <v/>
      </c>
      <c r="S807" s="30" t="str">
        <f aca="false">IF($E807="","",IFERROR(E807/Q807,"—"))</f>
        <v/>
      </c>
      <c r="T807" s="30" t="str">
        <f aca="false">IF($E807="","",Q807*IFERROR(INDEX('Гео-калькулятор'!$D$7:$D$13,MATCH($C807,'Гео-калькулятор'!$B$7:$B$13,0)),0))</f>
        <v/>
      </c>
      <c r="U807" s="40" t="str">
        <f aca="false">IF($E807="","",T807-E807)</f>
        <v/>
      </c>
      <c r="V807" s="41" t="str">
        <f aca="false">IF($E807="","",IFERROR(U807/E807,""))</f>
        <v/>
      </c>
      <c r="W807" s="10" t="str">
        <f aca="false">IF($E807="","",IF($I807&lt;&gt;"","факт","прогноз"))</f>
        <v/>
      </c>
      <c r="X807" s="1"/>
      <c r="Y807" s="1"/>
      <c r="Z807" s="1"/>
      <c r="AA807" s="1"/>
      <c r="AB807" s="1"/>
      <c r="AC807" s="1"/>
      <c r="AD807" s="1"/>
    </row>
    <row r="808" customFormat="false" ht="18" hidden="false" customHeight="true" outlineLevel="0" collapsed="false">
      <c r="A808" s="1"/>
      <c r="B808" s="35"/>
      <c r="C808" s="8"/>
      <c r="D808" s="26"/>
      <c r="E808" s="27"/>
      <c r="F808" s="36"/>
      <c r="G808" s="36"/>
      <c r="H808" s="36"/>
      <c r="I808" s="36"/>
      <c r="J808" s="37" t="str">
        <f aca="false">IF($E808="","",IFERROR(G808/F808,""))</f>
        <v/>
      </c>
      <c r="K808" s="30" t="str">
        <f aca="false">IF($E808="","",IFERROR(E808/G808,""))</f>
        <v/>
      </c>
      <c r="L808" s="30" t="str">
        <f aca="false">IF($E808="","",IFERROR(E808/F808*1000,""))</f>
        <v/>
      </c>
      <c r="M808" s="37" t="str">
        <f aca="false">IF($E808="","",IFERROR(H808/G808,""))</f>
        <v/>
      </c>
      <c r="N808" s="30" t="str">
        <f aca="false">IF($E808="","",IFERROR(E808/H808,"—"))</f>
        <v/>
      </c>
      <c r="O808" s="30" t="str">
        <f aca="false">IF($E808="","",IFERROR(INDEX('Гео-калькулятор'!$K$7:$K$13,MATCH($C808,'Гео-калькулятор'!$B$7:$B$13,0)),""))</f>
        <v/>
      </c>
      <c r="P808" s="38" t="str">
        <f aca="false">IF($E808="","",IFERROR(N808/O808,""))</f>
        <v/>
      </c>
      <c r="Q808" s="39" t="str">
        <f aca="false">IF($E808="","",IF($I808&lt;&gt;"",$I808,N($H808)*IFERROR(INDEX('Гео-калькулятор'!$E$7:$E$13,MATCH($C808,'Гео-калькулятор'!$B$7:$B$13,0)),0)))</f>
        <v/>
      </c>
      <c r="R808" s="38" t="str">
        <f aca="false">IF($E808="","",IFERROR(Q808/H808,""))</f>
        <v/>
      </c>
      <c r="S808" s="30" t="str">
        <f aca="false">IF($E808="","",IFERROR(E808/Q808,"—"))</f>
        <v/>
      </c>
      <c r="T808" s="30" t="str">
        <f aca="false">IF($E808="","",Q808*IFERROR(INDEX('Гео-калькулятор'!$D$7:$D$13,MATCH($C808,'Гео-калькулятор'!$B$7:$B$13,0)),0))</f>
        <v/>
      </c>
      <c r="U808" s="40" t="str">
        <f aca="false">IF($E808="","",T808-E808)</f>
        <v/>
      </c>
      <c r="V808" s="41" t="str">
        <f aca="false">IF($E808="","",IFERROR(U808/E808,""))</f>
        <v/>
      </c>
      <c r="W808" s="10" t="str">
        <f aca="false">IF($E808="","",IF($I808&lt;&gt;"","факт","прогноз"))</f>
        <v/>
      </c>
      <c r="X808" s="1"/>
      <c r="Y808" s="1"/>
      <c r="Z808" s="1"/>
      <c r="AA808" s="1"/>
      <c r="AB808" s="1"/>
      <c r="AC808" s="1"/>
      <c r="AD808" s="1"/>
    </row>
    <row r="809" customFormat="false" ht="18" hidden="false" customHeight="true" outlineLevel="0" collapsed="false">
      <c r="A809" s="1"/>
      <c r="B809" s="35"/>
      <c r="C809" s="8"/>
      <c r="D809" s="26"/>
      <c r="E809" s="27"/>
      <c r="F809" s="36"/>
      <c r="G809" s="36"/>
      <c r="H809" s="36"/>
      <c r="I809" s="36"/>
      <c r="J809" s="37" t="str">
        <f aca="false">IF($E809="","",IFERROR(G809/F809,""))</f>
        <v/>
      </c>
      <c r="K809" s="30" t="str">
        <f aca="false">IF($E809="","",IFERROR(E809/G809,""))</f>
        <v/>
      </c>
      <c r="L809" s="30" t="str">
        <f aca="false">IF($E809="","",IFERROR(E809/F809*1000,""))</f>
        <v/>
      </c>
      <c r="M809" s="37" t="str">
        <f aca="false">IF($E809="","",IFERROR(H809/G809,""))</f>
        <v/>
      </c>
      <c r="N809" s="30" t="str">
        <f aca="false">IF($E809="","",IFERROR(E809/H809,"—"))</f>
        <v/>
      </c>
      <c r="O809" s="30" t="str">
        <f aca="false">IF($E809="","",IFERROR(INDEX('Гео-калькулятор'!$K$7:$K$13,MATCH($C809,'Гео-калькулятор'!$B$7:$B$13,0)),""))</f>
        <v/>
      </c>
      <c r="P809" s="38" t="str">
        <f aca="false">IF($E809="","",IFERROR(N809/O809,""))</f>
        <v/>
      </c>
      <c r="Q809" s="39" t="str">
        <f aca="false">IF($E809="","",IF($I809&lt;&gt;"",$I809,N($H809)*IFERROR(INDEX('Гео-калькулятор'!$E$7:$E$13,MATCH($C809,'Гео-калькулятор'!$B$7:$B$13,0)),0)))</f>
        <v/>
      </c>
      <c r="R809" s="38" t="str">
        <f aca="false">IF($E809="","",IFERROR(Q809/H809,""))</f>
        <v/>
      </c>
      <c r="S809" s="30" t="str">
        <f aca="false">IF($E809="","",IFERROR(E809/Q809,"—"))</f>
        <v/>
      </c>
      <c r="T809" s="30" t="str">
        <f aca="false">IF($E809="","",Q809*IFERROR(INDEX('Гео-калькулятор'!$D$7:$D$13,MATCH($C809,'Гео-калькулятор'!$B$7:$B$13,0)),0))</f>
        <v/>
      </c>
      <c r="U809" s="40" t="str">
        <f aca="false">IF($E809="","",T809-E809)</f>
        <v/>
      </c>
      <c r="V809" s="41" t="str">
        <f aca="false">IF($E809="","",IFERROR(U809/E809,""))</f>
        <v/>
      </c>
      <c r="W809" s="10" t="str">
        <f aca="false">IF($E809="","",IF($I809&lt;&gt;"","факт","прогноз"))</f>
        <v/>
      </c>
      <c r="X809" s="1"/>
      <c r="Y809" s="1"/>
      <c r="Z809" s="1"/>
      <c r="AA809" s="1"/>
      <c r="AB809" s="1"/>
      <c r="AC809" s="1"/>
      <c r="AD809" s="1"/>
    </row>
    <row r="810" customFormat="false" ht="18" hidden="false" customHeight="true" outlineLevel="0" collapsed="false">
      <c r="A810" s="1"/>
      <c r="B810" s="35"/>
      <c r="C810" s="8"/>
      <c r="D810" s="26"/>
      <c r="E810" s="27"/>
      <c r="F810" s="36"/>
      <c r="G810" s="36"/>
      <c r="H810" s="36"/>
      <c r="I810" s="36"/>
      <c r="J810" s="37" t="str">
        <f aca="false">IF($E810="","",IFERROR(G810/F810,""))</f>
        <v/>
      </c>
      <c r="K810" s="30" t="str">
        <f aca="false">IF($E810="","",IFERROR(E810/G810,""))</f>
        <v/>
      </c>
      <c r="L810" s="30" t="str">
        <f aca="false">IF($E810="","",IFERROR(E810/F810*1000,""))</f>
        <v/>
      </c>
      <c r="M810" s="37" t="str">
        <f aca="false">IF($E810="","",IFERROR(H810/G810,""))</f>
        <v/>
      </c>
      <c r="N810" s="30" t="str">
        <f aca="false">IF($E810="","",IFERROR(E810/H810,"—"))</f>
        <v/>
      </c>
      <c r="O810" s="30" t="str">
        <f aca="false">IF($E810="","",IFERROR(INDEX('Гео-калькулятор'!$K$7:$K$13,MATCH($C810,'Гео-калькулятор'!$B$7:$B$13,0)),""))</f>
        <v/>
      </c>
      <c r="P810" s="38" t="str">
        <f aca="false">IF($E810="","",IFERROR(N810/O810,""))</f>
        <v/>
      </c>
      <c r="Q810" s="39" t="str">
        <f aca="false">IF($E810="","",IF($I810&lt;&gt;"",$I810,N($H810)*IFERROR(INDEX('Гео-калькулятор'!$E$7:$E$13,MATCH($C810,'Гео-калькулятор'!$B$7:$B$13,0)),0)))</f>
        <v/>
      </c>
      <c r="R810" s="38" t="str">
        <f aca="false">IF($E810="","",IFERROR(Q810/H810,""))</f>
        <v/>
      </c>
      <c r="S810" s="30" t="str">
        <f aca="false">IF($E810="","",IFERROR(E810/Q810,"—"))</f>
        <v/>
      </c>
      <c r="T810" s="30" t="str">
        <f aca="false">IF($E810="","",Q810*IFERROR(INDEX('Гео-калькулятор'!$D$7:$D$13,MATCH($C810,'Гео-калькулятор'!$B$7:$B$13,0)),0))</f>
        <v/>
      </c>
      <c r="U810" s="40" t="str">
        <f aca="false">IF($E810="","",T810-E810)</f>
        <v/>
      </c>
      <c r="V810" s="41" t="str">
        <f aca="false">IF($E810="","",IFERROR(U810/E810,""))</f>
        <v/>
      </c>
      <c r="W810" s="10" t="str">
        <f aca="false">IF($E810="","",IF($I810&lt;&gt;"","факт","прогноз"))</f>
        <v/>
      </c>
      <c r="X810" s="1"/>
      <c r="Y810" s="1"/>
      <c r="Z810" s="1"/>
      <c r="AA810" s="1"/>
      <c r="AB810" s="1"/>
      <c r="AC810" s="1"/>
      <c r="AD810" s="1"/>
    </row>
    <row r="811" customFormat="false" ht="18" hidden="false" customHeight="true" outlineLevel="0" collapsed="false">
      <c r="A811" s="1"/>
      <c r="B811" s="35"/>
      <c r="C811" s="8"/>
      <c r="D811" s="26"/>
      <c r="E811" s="27"/>
      <c r="F811" s="36"/>
      <c r="G811" s="36"/>
      <c r="H811" s="36"/>
      <c r="I811" s="36"/>
      <c r="J811" s="37" t="str">
        <f aca="false">IF($E811="","",IFERROR(G811/F811,""))</f>
        <v/>
      </c>
      <c r="K811" s="30" t="str">
        <f aca="false">IF($E811="","",IFERROR(E811/G811,""))</f>
        <v/>
      </c>
      <c r="L811" s="30" t="str">
        <f aca="false">IF($E811="","",IFERROR(E811/F811*1000,""))</f>
        <v/>
      </c>
      <c r="M811" s="37" t="str">
        <f aca="false">IF($E811="","",IFERROR(H811/G811,""))</f>
        <v/>
      </c>
      <c r="N811" s="30" t="str">
        <f aca="false">IF($E811="","",IFERROR(E811/H811,"—"))</f>
        <v/>
      </c>
      <c r="O811" s="30" t="str">
        <f aca="false">IF($E811="","",IFERROR(INDEX('Гео-калькулятор'!$K$7:$K$13,MATCH($C811,'Гео-калькулятор'!$B$7:$B$13,0)),""))</f>
        <v/>
      </c>
      <c r="P811" s="38" t="str">
        <f aca="false">IF($E811="","",IFERROR(N811/O811,""))</f>
        <v/>
      </c>
      <c r="Q811" s="39" t="str">
        <f aca="false">IF($E811="","",IF($I811&lt;&gt;"",$I811,N($H811)*IFERROR(INDEX('Гео-калькулятор'!$E$7:$E$13,MATCH($C811,'Гео-калькулятор'!$B$7:$B$13,0)),0)))</f>
        <v/>
      </c>
      <c r="R811" s="38" t="str">
        <f aca="false">IF($E811="","",IFERROR(Q811/H811,""))</f>
        <v/>
      </c>
      <c r="S811" s="30" t="str">
        <f aca="false">IF($E811="","",IFERROR(E811/Q811,"—"))</f>
        <v/>
      </c>
      <c r="T811" s="30" t="str">
        <f aca="false">IF($E811="","",Q811*IFERROR(INDEX('Гео-калькулятор'!$D$7:$D$13,MATCH($C811,'Гео-калькулятор'!$B$7:$B$13,0)),0))</f>
        <v/>
      </c>
      <c r="U811" s="40" t="str">
        <f aca="false">IF($E811="","",T811-E811)</f>
        <v/>
      </c>
      <c r="V811" s="41" t="str">
        <f aca="false">IF($E811="","",IFERROR(U811/E811,""))</f>
        <v/>
      </c>
      <c r="W811" s="10" t="str">
        <f aca="false">IF($E811="","",IF($I811&lt;&gt;"","факт","прогноз"))</f>
        <v/>
      </c>
      <c r="X811" s="1"/>
      <c r="Y811" s="1"/>
      <c r="Z811" s="1"/>
      <c r="AA811" s="1"/>
      <c r="AB811" s="1"/>
      <c r="AC811" s="1"/>
      <c r="AD811" s="1"/>
    </row>
    <row r="812" customFormat="false" ht="18" hidden="false" customHeight="true" outlineLevel="0" collapsed="false">
      <c r="A812" s="1"/>
      <c r="B812" s="35"/>
      <c r="C812" s="8"/>
      <c r="D812" s="26"/>
      <c r="E812" s="27"/>
      <c r="F812" s="36"/>
      <c r="G812" s="36"/>
      <c r="H812" s="36"/>
      <c r="I812" s="36"/>
      <c r="J812" s="37" t="str">
        <f aca="false">IF($E812="","",IFERROR(G812/F812,""))</f>
        <v/>
      </c>
      <c r="K812" s="30" t="str">
        <f aca="false">IF($E812="","",IFERROR(E812/G812,""))</f>
        <v/>
      </c>
      <c r="L812" s="30" t="str">
        <f aca="false">IF($E812="","",IFERROR(E812/F812*1000,""))</f>
        <v/>
      </c>
      <c r="M812" s="37" t="str">
        <f aca="false">IF($E812="","",IFERROR(H812/G812,""))</f>
        <v/>
      </c>
      <c r="N812" s="30" t="str">
        <f aca="false">IF($E812="","",IFERROR(E812/H812,"—"))</f>
        <v/>
      </c>
      <c r="O812" s="30" t="str">
        <f aca="false">IF($E812="","",IFERROR(INDEX('Гео-калькулятор'!$K$7:$K$13,MATCH($C812,'Гео-калькулятор'!$B$7:$B$13,0)),""))</f>
        <v/>
      </c>
      <c r="P812" s="38" t="str">
        <f aca="false">IF($E812="","",IFERROR(N812/O812,""))</f>
        <v/>
      </c>
      <c r="Q812" s="39" t="str">
        <f aca="false">IF($E812="","",IF($I812&lt;&gt;"",$I812,N($H812)*IFERROR(INDEX('Гео-калькулятор'!$E$7:$E$13,MATCH($C812,'Гео-калькулятор'!$B$7:$B$13,0)),0)))</f>
        <v/>
      </c>
      <c r="R812" s="38" t="str">
        <f aca="false">IF($E812="","",IFERROR(Q812/H812,""))</f>
        <v/>
      </c>
      <c r="S812" s="30" t="str">
        <f aca="false">IF($E812="","",IFERROR(E812/Q812,"—"))</f>
        <v/>
      </c>
      <c r="T812" s="30" t="str">
        <f aca="false">IF($E812="","",Q812*IFERROR(INDEX('Гео-калькулятор'!$D$7:$D$13,MATCH($C812,'Гео-калькулятор'!$B$7:$B$13,0)),0))</f>
        <v/>
      </c>
      <c r="U812" s="40" t="str">
        <f aca="false">IF($E812="","",T812-E812)</f>
        <v/>
      </c>
      <c r="V812" s="41" t="str">
        <f aca="false">IF($E812="","",IFERROR(U812/E812,""))</f>
        <v/>
      </c>
      <c r="W812" s="10" t="str">
        <f aca="false">IF($E812="","",IF($I812&lt;&gt;"","факт","прогноз"))</f>
        <v/>
      </c>
      <c r="X812" s="1"/>
      <c r="Y812" s="1"/>
      <c r="Z812" s="1"/>
      <c r="AA812" s="1"/>
      <c r="AB812" s="1"/>
      <c r="AC812" s="1"/>
      <c r="AD812" s="1"/>
    </row>
    <row r="813" customFormat="false" ht="18" hidden="false" customHeight="true" outlineLevel="0" collapsed="false">
      <c r="A813" s="1"/>
      <c r="B813" s="35"/>
      <c r="C813" s="8"/>
      <c r="D813" s="26"/>
      <c r="E813" s="27"/>
      <c r="F813" s="36"/>
      <c r="G813" s="36"/>
      <c r="H813" s="36"/>
      <c r="I813" s="36"/>
      <c r="J813" s="37" t="str">
        <f aca="false">IF($E813="","",IFERROR(G813/F813,""))</f>
        <v/>
      </c>
      <c r="K813" s="30" t="str">
        <f aca="false">IF($E813="","",IFERROR(E813/G813,""))</f>
        <v/>
      </c>
      <c r="L813" s="30" t="str">
        <f aca="false">IF($E813="","",IFERROR(E813/F813*1000,""))</f>
        <v/>
      </c>
      <c r="M813" s="37" t="str">
        <f aca="false">IF($E813="","",IFERROR(H813/G813,""))</f>
        <v/>
      </c>
      <c r="N813" s="30" t="str">
        <f aca="false">IF($E813="","",IFERROR(E813/H813,"—"))</f>
        <v/>
      </c>
      <c r="O813" s="30" t="str">
        <f aca="false">IF($E813="","",IFERROR(INDEX('Гео-калькулятор'!$K$7:$K$13,MATCH($C813,'Гео-калькулятор'!$B$7:$B$13,0)),""))</f>
        <v/>
      </c>
      <c r="P813" s="38" t="str">
        <f aca="false">IF($E813="","",IFERROR(N813/O813,""))</f>
        <v/>
      </c>
      <c r="Q813" s="39" t="str">
        <f aca="false">IF($E813="","",IF($I813&lt;&gt;"",$I813,N($H813)*IFERROR(INDEX('Гео-калькулятор'!$E$7:$E$13,MATCH($C813,'Гео-калькулятор'!$B$7:$B$13,0)),0)))</f>
        <v/>
      </c>
      <c r="R813" s="38" t="str">
        <f aca="false">IF($E813="","",IFERROR(Q813/H813,""))</f>
        <v/>
      </c>
      <c r="S813" s="30" t="str">
        <f aca="false">IF($E813="","",IFERROR(E813/Q813,"—"))</f>
        <v/>
      </c>
      <c r="T813" s="30" t="str">
        <f aca="false">IF($E813="","",Q813*IFERROR(INDEX('Гео-калькулятор'!$D$7:$D$13,MATCH($C813,'Гео-калькулятор'!$B$7:$B$13,0)),0))</f>
        <v/>
      </c>
      <c r="U813" s="40" t="str">
        <f aca="false">IF($E813="","",T813-E813)</f>
        <v/>
      </c>
      <c r="V813" s="41" t="str">
        <f aca="false">IF($E813="","",IFERROR(U813/E813,""))</f>
        <v/>
      </c>
      <c r="W813" s="10" t="str">
        <f aca="false">IF($E813="","",IF($I813&lt;&gt;"","факт","прогноз"))</f>
        <v/>
      </c>
      <c r="X813" s="1"/>
      <c r="Y813" s="1"/>
      <c r="Z813" s="1"/>
      <c r="AA813" s="1"/>
      <c r="AB813" s="1"/>
      <c r="AC813" s="1"/>
      <c r="AD813" s="1"/>
    </row>
    <row r="814" customFormat="false" ht="18" hidden="false" customHeight="true" outlineLevel="0" collapsed="false">
      <c r="A814" s="1"/>
      <c r="B814" s="35"/>
      <c r="C814" s="8"/>
      <c r="D814" s="26"/>
      <c r="E814" s="27"/>
      <c r="F814" s="36"/>
      <c r="G814" s="36"/>
      <c r="H814" s="36"/>
      <c r="I814" s="36"/>
      <c r="J814" s="37" t="str">
        <f aca="false">IF($E814="","",IFERROR(G814/F814,""))</f>
        <v/>
      </c>
      <c r="K814" s="30" t="str">
        <f aca="false">IF($E814="","",IFERROR(E814/G814,""))</f>
        <v/>
      </c>
      <c r="L814" s="30" t="str">
        <f aca="false">IF($E814="","",IFERROR(E814/F814*1000,""))</f>
        <v/>
      </c>
      <c r="M814" s="37" t="str">
        <f aca="false">IF($E814="","",IFERROR(H814/G814,""))</f>
        <v/>
      </c>
      <c r="N814" s="30" t="str">
        <f aca="false">IF($E814="","",IFERROR(E814/H814,"—"))</f>
        <v/>
      </c>
      <c r="O814" s="30" t="str">
        <f aca="false">IF($E814="","",IFERROR(INDEX('Гео-калькулятор'!$K$7:$K$13,MATCH($C814,'Гео-калькулятор'!$B$7:$B$13,0)),""))</f>
        <v/>
      </c>
      <c r="P814" s="38" t="str">
        <f aca="false">IF($E814="","",IFERROR(N814/O814,""))</f>
        <v/>
      </c>
      <c r="Q814" s="39" t="str">
        <f aca="false">IF($E814="","",IF($I814&lt;&gt;"",$I814,N($H814)*IFERROR(INDEX('Гео-калькулятор'!$E$7:$E$13,MATCH($C814,'Гео-калькулятор'!$B$7:$B$13,0)),0)))</f>
        <v/>
      </c>
      <c r="R814" s="38" t="str">
        <f aca="false">IF($E814="","",IFERROR(Q814/H814,""))</f>
        <v/>
      </c>
      <c r="S814" s="30" t="str">
        <f aca="false">IF($E814="","",IFERROR(E814/Q814,"—"))</f>
        <v/>
      </c>
      <c r="T814" s="30" t="str">
        <f aca="false">IF($E814="","",Q814*IFERROR(INDEX('Гео-калькулятор'!$D$7:$D$13,MATCH($C814,'Гео-калькулятор'!$B$7:$B$13,0)),0))</f>
        <v/>
      </c>
      <c r="U814" s="40" t="str">
        <f aca="false">IF($E814="","",T814-E814)</f>
        <v/>
      </c>
      <c r="V814" s="41" t="str">
        <f aca="false">IF($E814="","",IFERROR(U814/E814,""))</f>
        <v/>
      </c>
      <c r="W814" s="10" t="str">
        <f aca="false">IF($E814="","",IF($I814&lt;&gt;"","факт","прогноз"))</f>
        <v/>
      </c>
      <c r="X814" s="1"/>
      <c r="Y814" s="1"/>
      <c r="Z814" s="1"/>
      <c r="AA814" s="1"/>
      <c r="AB814" s="1"/>
      <c r="AC814" s="1"/>
      <c r="AD814" s="1"/>
    </row>
    <row r="815" customFormat="false" ht="18" hidden="false" customHeight="true" outlineLevel="0" collapsed="false">
      <c r="A815" s="1"/>
      <c r="B815" s="35"/>
      <c r="C815" s="8"/>
      <c r="D815" s="26"/>
      <c r="E815" s="27"/>
      <c r="F815" s="36"/>
      <c r="G815" s="36"/>
      <c r="H815" s="36"/>
      <c r="I815" s="36"/>
      <c r="J815" s="37" t="str">
        <f aca="false">IF($E815="","",IFERROR(G815/F815,""))</f>
        <v/>
      </c>
      <c r="K815" s="30" t="str">
        <f aca="false">IF($E815="","",IFERROR(E815/G815,""))</f>
        <v/>
      </c>
      <c r="L815" s="30" t="str">
        <f aca="false">IF($E815="","",IFERROR(E815/F815*1000,""))</f>
        <v/>
      </c>
      <c r="M815" s="37" t="str">
        <f aca="false">IF($E815="","",IFERROR(H815/G815,""))</f>
        <v/>
      </c>
      <c r="N815" s="30" t="str">
        <f aca="false">IF($E815="","",IFERROR(E815/H815,"—"))</f>
        <v/>
      </c>
      <c r="O815" s="30" t="str">
        <f aca="false">IF($E815="","",IFERROR(INDEX('Гео-калькулятор'!$K$7:$K$13,MATCH($C815,'Гео-калькулятор'!$B$7:$B$13,0)),""))</f>
        <v/>
      </c>
      <c r="P815" s="38" t="str">
        <f aca="false">IF($E815="","",IFERROR(N815/O815,""))</f>
        <v/>
      </c>
      <c r="Q815" s="39" t="str">
        <f aca="false">IF($E815="","",IF($I815&lt;&gt;"",$I815,N($H815)*IFERROR(INDEX('Гео-калькулятор'!$E$7:$E$13,MATCH($C815,'Гео-калькулятор'!$B$7:$B$13,0)),0)))</f>
        <v/>
      </c>
      <c r="R815" s="38" t="str">
        <f aca="false">IF($E815="","",IFERROR(Q815/H815,""))</f>
        <v/>
      </c>
      <c r="S815" s="30" t="str">
        <f aca="false">IF($E815="","",IFERROR(E815/Q815,"—"))</f>
        <v/>
      </c>
      <c r="T815" s="30" t="str">
        <f aca="false">IF($E815="","",Q815*IFERROR(INDEX('Гео-калькулятор'!$D$7:$D$13,MATCH($C815,'Гео-калькулятор'!$B$7:$B$13,0)),0))</f>
        <v/>
      </c>
      <c r="U815" s="40" t="str">
        <f aca="false">IF($E815="","",T815-E815)</f>
        <v/>
      </c>
      <c r="V815" s="41" t="str">
        <f aca="false">IF($E815="","",IFERROR(U815/E815,""))</f>
        <v/>
      </c>
      <c r="W815" s="10" t="str">
        <f aca="false">IF($E815="","",IF($I815&lt;&gt;"","факт","прогноз"))</f>
        <v/>
      </c>
      <c r="X815" s="1"/>
      <c r="Y815" s="1"/>
      <c r="Z815" s="1"/>
      <c r="AA815" s="1"/>
      <c r="AB815" s="1"/>
      <c r="AC815" s="1"/>
      <c r="AD815" s="1"/>
    </row>
    <row r="816" customFormat="false" ht="18" hidden="false" customHeight="true" outlineLevel="0" collapsed="false">
      <c r="A816" s="1"/>
      <c r="B816" s="35"/>
      <c r="C816" s="8"/>
      <c r="D816" s="26"/>
      <c r="E816" s="27"/>
      <c r="F816" s="36"/>
      <c r="G816" s="36"/>
      <c r="H816" s="36"/>
      <c r="I816" s="36"/>
      <c r="J816" s="37" t="str">
        <f aca="false">IF($E816="","",IFERROR(G816/F816,""))</f>
        <v/>
      </c>
      <c r="K816" s="30" t="str">
        <f aca="false">IF($E816="","",IFERROR(E816/G816,""))</f>
        <v/>
      </c>
      <c r="L816" s="30" t="str">
        <f aca="false">IF($E816="","",IFERROR(E816/F816*1000,""))</f>
        <v/>
      </c>
      <c r="M816" s="37" t="str">
        <f aca="false">IF($E816="","",IFERROR(H816/G816,""))</f>
        <v/>
      </c>
      <c r="N816" s="30" t="str">
        <f aca="false">IF($E816="","",IFERROR(E816/H816,"—"))</f>
        <v/>
      </c>
      <c r="O816" s="30" t="str">
        <f aca="false">IF($E816="","",IFERROR(INDEX('Гео-калькулятор'!$K$7:$K$13,MATCH($C816,'Гео-калькулятор'!$B$7:$B$13,0)),""))</f>
        <v/>
      </c>
      <c r="P816" s="38" t="str">
        <f aca="false">IF($E816="","",IFERROR(N816/O816,""))</f>
        <v/>
      </c>
      <c r="Q816" s="39" t="str">
        <f aca="false">IF($E816="","",IF($I816&lt;&gt;"",$I816,N($H816)*IFERROR(INDEX('Гео-калькулятор'!$E$7:$E$13,MATCH($C816,'Гео-калькулятор'!$B$7:$B$13,0)),0)))</f>
        <v/>
      </c>
      <c r="R816" s="38" t="str">
        <f aca="false">IF($E816="","",IFERROR(Q816/H816,""))</f>
        <v/>
      </c>
      <c r="S816" s="30" t="str">
        <f aca="false">IF($E816="","",IFERROR(E816/Q816,"—"))</f>
        <v/>
      </c>
      <c r="T816" s="30" t="str">
        <f aca="false">IF($E816="","",Q816*IFERROR(INDEX('Гео-калькулятор'!$D$7:$D$13,MATCH($C816,'Гео-калькулятор'!$B$7:$B$13,0)),0))</f>
        <v/>
      </c>
      <c r="U816" s="40" t="str">
        <f aca="false">IF($E816="","",T816-E816)</f>
        <v/>
      </c>
      <c r="V816" s="41" t="str">
        <f aca="false">IF($E816="","",IFERROR(U816/E816,""))</f>
        <v/>
      </c>
      <c r="W816" s="10" t="str">
        <f aca="false">IF($E816="","",IF($I816&lt;&gt;"","факт","прогноз"))</f>
        <v/>
      </c>
      <c r="X816" s="1"/>
      <c r="Y816" s="1"/>
      <c r="Z816" s="1"/>
      <c r="AA816" s="1"/>
      <c r="AB816" s="1"/>
      <c r="AC816" s="1"/>
      <c r="AD816" s="1"/>
    </row>
    <row r="817" customFormat="false" ht="18" hidden="false" customHeight="true" outlineLevel="0" collapsed="false">
      <c r="A817" s="1"/>
      <c r="B817" s="35"/>
      <c r="C817" s="8"/>
      <c r="D817" s="26"/>
      <c r="E817" s="27"/>
      <c r="F817" s="36"/>
      <c r="G817" s="36"/>
      <c r="H817" s="36"/>
      <c r="I817" s="36"/>
      <c r="J817" s="37" t="str">
        <f aca="false">IF($E817="","",IFERROR(G817/F817,""))</f>
        <v/>
      </c>
      <c r="K817" s="30" t="str">
        <f aca="false">IF($E817="","",IFERROR(E817/G817,""))</f>
        <v/>
      </c>
      <c r="L817" s="30" t="str">
        <f aca="false">IF($E817="","",IFERROR(E817/F817*1000,""))</f>
        <v/>
      </c>
      <c r="M817" s="37" t="str">
        <f aca="false">IF($E817="","",IFERROR(H817/G817,""))</f>
        <v/>
      </c>
      <c r="N817" s="30" t="str">
        <f aca="false">IF($E817="","",IFERROR(E817/H817,"—"))</f>
        <v/>
      </c>
      <c r="O817" s="30" t="str">
        <f aca="false">IF($E817="","",IFERROR(INDEX('Гео-калькулятор'!$K$7:$K$13,MATCH($C817,'Гео-калькулятор'!$B$7:$B$13,0)),""))</f>
        <v/>
      </c>
      <c r="P817" s="38" t="str">
        <f aca="false">IF($E817="","",IFERROR(N817/O817,""))</f>
        <v/>
      </c>
      <c r="Q817" s="39" t="str">
        <f aca="false">IF($E817="","",IF($I817&lt;&gt;"",$I817,N($H817)*IFERROR(INDEX('Гео-калькулятор'!$E$7:$E$13,MATCH($C817,'Гео-калькулятор'!$B$7:$B$13,0)),0)))</f>
        <v/>
      </c>
      <c r="R817" s="38" t="str">
        <f aca="false">IF($E817="","",IFERROR(Q817/H817,""))</f>
        <v/>
      </c>
      <c r="S817" s="30" t="str">
        <f aca="false">IF($E817="","",IFERROR(E817/Q817,"—"))</f>
        <v/>
      </c>
      <c r="T817" s="30" t="str">
        <f aca="false">IF($E817="","",Q817*IFERROR(INDEX('Гео-калькулятор'!$D$7:$D$13,MATCH($C817,'Гео-калькулятор'!$B$7:$B$13,0)),0))</f>
        <v/>
      </c>
      <c r="U817" s="40" t="str">
        <f aca="false">IF($E817="","",T817-E817)</f>
        <v/>
      </c>
      <c r="V817" s="41" t="str">
        <f aca="false">IF($E817="","",IFERROR(U817/E817,""))</f>
        <v/>
      </c>
      <c r="W817" s="10" t="str">
        <f aca="false">IF($E817="","",IF($I817&lt;&gt;"","факт","прогноз"))</f>
        <v/>
      </c>
      <c r="X817" s="1"/>
      <c r="Y817" s="1"/>
      <c r="Z817" s="1"/>
      <c r="AA817" s="1"/>
      <c r="AB817" s="1"/>
      <c r="AC817" s="1"/>
      <c r="AD817" s="1"/>
    </row>
    <row r="818" customFormat="false" ht="18" hidden="false" customHeight="true" outlineLevel="0" collapsed="false">
      <c r="A818" s="1"/>
      <c r="B818" s="35"/>
      <c r="C818" s="8"/>
      <c r="D818" s="26"/>
      <c r="E818" s="27"/>
      <c r="F818" s="36"/>
      <c r="G818" s="36"/>
      <c r="H818" s="36"/>
      <c r="I818" s="36"/>
      <c r="J818" s="37" t="str">
        <f aca="false">IF($E818="","",IFERROR(G818/F818,""))</f>
        <v/>
      </c>
      <c r="K818" s="30" t="str">
        <f aca="false">IF($E818="","",IFERROR(E818/G818,""))</f>
        <v/>
      </c>
      <c r="L818" s="30" t="str">
        <f aca="false">IF($E818="","",IFERROR(E818/F818*1000,""))</f>
        <v/>
      </c>
      <c r="M818" s="37" t="str">
        <f aca="false">IF($E818="","",IFERROR(H818/G818,""))</f>
        <v/>
      </c>
      <c r="N818" s="30" t="str">
        <f aca="false">IF($E818="","",IFERROR(E818/H818,"—"))</f>
        <v/>
      </c>
      <c r="O818" s="30" t="str">
        <f aca="false">IF($E818="","",IFERROR(INDEX('Гео-калькулятор'!$K$7:$K$13,MATCH($C818,'Гео-калькулятор'!$B$7:$B$13,0)),""))</f>
        <v/>
      </c>
      <c r="P818" s="38" t="str">
        <f aca="false">IF($E818="","",IFERROR(N818/O818,""))</f>
        <v/>
      </c>
      <c r="Q818" s="39" t="str">
        <f aca="false">IF($E818="","",IF($I818&lt;&gt;"",$I818,N($H818)*IFERROR(INDEX('Гео-калькулятор'!$E$7:$E$13,MATCH($C818,'Гео-калькулятор'!$B$7:$B$13,0)),0)))</f>
        <v/>
      </c>
      <c r="R818" s="38" t="str">
        <f aca="false">IF($E818="","",IFERROR(Q818/H818,""))</f>
        <v/>
      </c>
      <c r="S818" s="30" t="str">
        <f aca="false">IF($E818="","",IFERROR(E818/Q818,"—"))</f>
        <v/>
      </c>
      <c r="T818" s="30" t="str">
        <f aca="false">IF($E818="","",Q818*IFERROR(INDEX('Гео-калькулятор'!$D$7:$D$13,MATCH($C818,'Гео-калькулятор'!$B$7:$B$13,0)),0))</f>
        <v/>
      </c>
      <c r="U818" s="40" t="str">
        <f aca="false">IF($E818="","",T818-E818)</f>
        <v/>
      </c>
      <c r="V818" s="41" t="str">
        <f aca="false">IF($E818="","",IFERROR(U818/E818,""))</f>
        <v/>
      </c>
      <c r="W818" s="10" t="str">
        <f aca="false">IF($E818="","",IF($I818&lt;&gt;"","факт","прогноз"))</f>
        <v/>
      </c>
      <c r="X818" s="1"/>
      <c r="Y818" s="1"/>
      <c r="Z818" s="1"/>
      <c r="AA818" s="1"/>
      <c r="AB818" s="1"/>
      <c r="AC818" s="1"/>
      <c r="AD818" s="1"/>
    </row>
    <row r="819" customFormat="false" ht="18" hidden="false" customHeight="true" outlineLevel="0" collapsed="false">
      <c r="A819" s="1"/>
      <c r="B819" s="35"/>
      <c r="C819" s="8"/>
      <c r="D819" s="26"/>
      <c r="E819" s="27"/>
      <c r="F819" s="36"/>
      <c r="G819" s="36"/>
      <c r="H819" s="36"/>
      <c r="I819" s="36"/>
      <c r="J819" s="37" t="str">
        <f aca="false">IF($E819="","",IFERROR(G819/F819,""))</f>
        <v/>
      </c>
      <c r="K819" s="30" t="str">
        <f aca="false">IF($E819="","",IFERROR(E819/G819,""))</f>
        <v/>
      </c>
      <c r="L819" s="30" t="str">
        <f aca="false">IF($E819="","",IFERROR(E819/F819*1000,""))</f>
        <v/>
      </c>
      <c r="M819" s="37" t="str">
        <f aca="false">IF($E819="","",IFERROR(H819/G819,""))</f>
        <v/>
      </c>
      <c r="N819" s="30" t="str">
        <f aca="false">IF($E819="","",IFERROR(E819/H819,"—"))</f>
        <v/>
      </c>
      <c r="O819" s="30" t="str">
        <f aca="false">IF($E819="","",IFERROR(INDEX('Гео-калькулятор'!$K$7:$K$13,MATCH($C819,'Гео-калькулятор'!$B$7:$B$13,0)),""))</f>
        <v/>
      </c>
      <c r="P819" s="38" t="str">
        <f aca="false">IF($E819="","",IFERROR(N819/O819,""))</f>
        <v/>
      </c>
      <c r="Q819" s="39" t="str">
        <f aca="false">IF($E819="","",IF($I819&lt;&gt;"",$I819,N($H819)*IFERROR(INDEX('Гео-калькулятор'!$E$7:$E$13,MATCH($C819,'Гео-калькулятор'!$B$7:$B$13,0)),0)))</f>
        <v/>
      </c>
      <c r="R819" s="38" t="str">
        <f aca="false">IF($E819="","",IFERROR(Q819/H819,""))</f>
        <v/>
      </c>
      <c r="S819" s="30" t="str">
        <f aca="false">IF($E819="","",IFERROR(E819/Q819,"—"))</f>
        <v/>
      </c>
      <c r="T819" s="30" t="str">
        <f aca="false">IF($E819="","",Q819*IFERROR(INDEX('Гео-калькулятор'!$D$7:$D$13,MATCH($C819,'Гео-калькулятор'!$B$7:$B$13,0)),0))</f>
        <v/>
      </c>
      <c r="U819" s="40" t="str">
        <f aca="false">IF($E819="","",T819-E819)</f>
        <v/>
      </c>
      <c r="V819" s="41" t="str">
        <f aca="false">IF($E819="","",IFERROR(U819/E819,""))</f>
        <v/>
      </c>
      <c r="W819" s="10" t="str">
        <f aca="false">IF($E819="","",IF($I819&lt;&gt;"","факт","прогноз"))</f>
        <v/>
      </c>
      <c r="X819" s="1"/>
      <c r="Y819" s="1"/>
      <c r="Z819" s="1"/>
      <c r="AA819" s="1"/>
      <c r="AB819" s="1"/>
      <c r="AC819" s="1"/>
      <c r="AD819" s="1"/>
    </row>
    <row r="820" customFormat="false" ht="18" hidden="false" customHeight="true" outlineLevel="0" collapsed="false">
      <c r="A820" s="1"/>
      <c r="B820" s="35"/>
      <c r="C820" s="8"/>
      <c r="D820" s="26"/>
      <c r="E820" s="27"/>
      <c r="F820" s="36"/>
      <c r="G820" s="36"/>
      <c r="H820" s="36"/>
      <c r="I820" s="36"/>
      <c r="J820" s="37" t="str">
        <f aca="false">IF($E820="","",IFERROR(G820/F820,""))</f>
        <v/>
      </c>
      <c r="K820" s="30" t="str">
        <f aca="false">IF($E820="","",IFERROR(E820/G820,""))</f>
        <v/>
      </c>
      <c r="L820" s="30" t="str">
        <f aca="false">IF($E820="","",IFERROR(E820/F820*1000,""))</f>
        <v/>
      </c>
      <c r="M820" s="37" t="str">
        <f aca="false">IF($E820="","",IFERROR(H820/G820,""))</f>
        <v/>
      </c>
      <c r="N820" s="30" t="str">
        <f aca="false">IF($E820="","",IFERROR(E820/H820,"—"))</f>
        <v/>
      </c>
      <c r="O820" s="30" t="str">
        <f aca="false">IF($E820="","",IFERROR(INDEX('Гео-калькулятор'!$K$7:$K$13,MATCH($C820,'Гео-калькулятор'!$B$7:$B$13,0)),""))</f>
        <v/>
      </c>
      <c r="P820" s="38" t="str">
        <f aca="false">IF($E820="","",IFERROR(N820/O820,""))</f>
        <v/>
      </c>
      <c r="Q820" s="39" t="str">
        <f aca="false">IF($E820="","",IF($I820&lt;&gt;"",$I820,N($H820)*IFERROR(INDEX('Гео-калькулятор'!$E$7:$E$13,MATCH($C820,'Гео-калькулятор'!$B$7:$B$13,0)),0)))</f>
        <v/>
      </c>
      <c r="R820" s="38" t="str">
        <f aca="false">IF($E820="","",IFERROR(Q820/H820,""))</f>
        <v/>
      </c>
      <c r="S820" s="30" t="str">
        <f aca="false">IF($E820="","",IFERROR(E820/Q820,"—"))</f>
        <v/>
      </c>
      <c r="T820" s="30" t="str">
        <f aca="false">IF($E820="","",Q820*IFERROR(INDEX('Гео-калькулятор'!$D$7:$D$13,MATCH($C820,'Гео-калькулятор'!$B$7:$B$13,0)),0))</f>
        <v/>
      </c>
      <c r="U820" s="40" t="str">
        <f aca="false">IF($E820="","",T820-E820)</f>
        <v/>
      </c>
      <c r="V820" s="41" t="str">
        <f aca="false">IF($E820="","",IFERROR(U820/E820,""))</f>
        <v/>
      </c>
      <c r="W820" s="10" t="str">
        <f aca="false">IF($E820="","",IF($I820&lt;&gt;"","факт","прогноз"))</f>
        <v/>
      </c>
      <c r="X820" s="1"/>
      <c r="Y820" s="1"/>
      <c r="Z820" s="1"/>
      <c r="AA820" s="1"/>
      <c r="AB820" s="1"/>
      <c r="AC820" s="1"/>
      <c r="AD820" s="1"/>
    </row>
    <row r="821" customFormat="false" ht="18" hidden="false" customHeight="true" outlineLevel="0" collapsed="false">
      <c r="A821" s="1"/>
      <c r="B821" s="35"/>
      <c r="C821" s="8"/>
      <c r="D821" s="26"/>
      <c r="E821" s="27"/>
      <c r="F821" s="36"/>
      <c r="G821" s="36"/>
      <c r="H821" s="36"/>
      <c r="I821" s="36"/>
      <c r="J821" s="37" t="str">
        <f aca="false">IF($E821="","",IFERROR(G821/F821,""))</f>
        <v/>
      </c>
      <c r="K821" s="30" t="str">
        <f aca="false">IF($E821="","",IFERROR(E821/G821,""))</f>
        <v/>
      </c>
      <c r="L821" s="30" t="str">
        <f aca="false">IF($E821="","",IFERROR(E821/F821*1000,""))</f>
        <v/>
      </c>
      <c r="M821" s="37" t="str">
        <f aca="false">IF($E821="","",IFERROR(H821/G821,""))</f>
        <v/>
      </c>
      <c r="N821" s="30" t="str">
        <f aca="false">IF($E821="","",IFERROR(E821/H821,"—"))</f>
        <v/>
      </c>
      <c r="O821" s="30" t="str">
        <f aca="false">IF($E821="","",IFERROR(INDEX('Гео-калькулятор'!$K$7:$K$13,MATCH($C821,'Гео-калькулятор'!$B$7:$B$13,0)),""))</f>
        <v/>
      </c>
      <c r="P821" s="38" t="str">
        <f aca="false">IF($E821="","",IFERROR(N821/O821,""))</f>
        <v/>
      </c>
      <c r="Q821" s="39" t="str">
        <f aca="false">IF($E821="","",IF($I821&lt;&gt;"",$I821,N($H821)*IFERROR(INDEX('Гео-калькулятор'!$E$7:$E$13,MATCH($C821,'Гео-калькулятор'!$B$7:$B$13,0)),0)))</f>
        <v/>
      </c>
      <c r="R821" s="38" t="str">
        <f aca="false">IF($E821="","",IFERROR(Q821/H821,""))</f>
        <v/>
      </c>
      <c r="S821" s="30" t="str">
        <f aca="false">IF($E821="","",IFERROR(E821/Q821,"—"))</f>
        <v/>
      </c>
      <c r="T821" s="30" t="str">
        <f aca="false">IF($E821="","",Q821*IFERROR(INDEX('Гео-калькулятор'!$D$7:$D$13,MATCH($C821,'Гео-калькулятор'!$B$7:$B$13,0)),0))</f>
        <v/>
      </c>
      <c r="U821" s="40" t="str">
        <f aca="false">IF($E821="","",T821-E821)</f>
        <v/>
      </c>
      <c r="V821" s="41" t="str">
        <f aca="false">IF($E821="","",IFERROR(U821/E821,""))</f>
        <v/>
      </c>
      <c r="W821" s="10" t="str">
        <f aca="false">IF($E821="","",IF($I821&lt;&gt;"","факт","прогноз"))</f>
        <v/>
      </c>
      <c r="X821" s="1"/>
      <c r="Y821" s="1"/>
      <c r="Z821" s="1"/>
      <c r="AA821" s="1"/>
      <c r="AB821" s="1"/>
      <c r="AC821" s="1"/>
      <c r="AD821" s="1"/>
    </row>
    <row r="822" customFormat="false" ht="18" hidden="false" customHeight="true" outlineLevel="0" collapsed="false">
      <c r="A822" s="1"/>
      <c r="B822" s="35"/>
      <c r="C822" s="8"/>
      <c r="D822" s="26"/>
      <c r="E822" s="27"/>
      <c r="F822" s="36"/>
      <c r="G822" s="36"/>
      <c r="H822" s="36"/>
      <c r="I822" s="36"/>
      <c r="J822" s="37" t="str">
        <f aca="false">IF($E822="","",IFERROR(G822/F822,""))</f>
        <v/>
      </c>
      <c r="K822" s="30" t="str">
        <f aca="false">IF($E822="","",IFERROR(E822/G822,""))</f>
        <v/>
      </c>
      <c r="L822" s="30" t="str">
        <f aca="false">IF($E822="","",IFERROR(E822/F822*1000,""))</f>
        <v/>
      </c>
      <c r="M822" s="37" t="str">
        <f aca="false">IF($E822="","",IFERROR(H822/G822,""))</f>
        <v/>
      </c>
      <c r="N822" s="30" t="str">
        <f aca="false">IF($E822="","",IFERROR(E822/H822,"—"))</f>
        <v/>
      </c>
      <c r="O822" s="30" t="str">
        <f aca="false">IF($E822="","",IFERROR(INDEX('Гео-калькулятор'!$K$7:$K$13,MATCH($C822,'Гео-калькулятор'!$B$7:$B$13,0)),""))</f>
        <v/>
      </c>
      <c r="P822" s="38" t="str">
        <f aca="false">IF($E822="","",IFERROR(N822/O822,""))</f>
        <v/>
      </c>
      <c r="Q822" s="39" t="str">
        <f aca="false">IF($E822="","",IF($I822&lt;&gt;"",$I822,N($H822)*IFERROR(INDEX('Гео-калькулятор'!$E$7:$E$13,MATCH($C822,'Гео-калькулятор'!$B$7:$B$13,0)),0)))</f>
        <v/>
      </c>
      <c r="R822" s="38" t="str">
        <f aca="false">IF($E822="","",IFERROR(Q822/H822,""))</f>
        <v/>
      </c>
      <c r="S822" s="30" t="str">
        <f aca="false">IF($E822="","",IFERROR(E822/Q822,"—"))</f>
        <v/>
      </c>
      <c r="T822" s="30" t="str">
        <f aca="false">IF($E822="","",Q822*IFERROR(INDEX('Гео-калькулятор'!$D$7:$D$13,MATCH($C822,'Гео-калькулятор'!$B$7:$B$13,0)),0))</f>
        <v/>
      </c>
      <c r="U822" s="40" t="str">
        <f aca="false">IF($E822="","",T822-E822)</f>
        <v/>
      </c>
      <c r="V822" s="41" t="str">
        <f aca="false">IF($E822="","",IFERROR(U822/E822,""))</f>
        <v/>
      </c>
      <c r="W822" s="10" t="str">
        <f aca="false">IF($E822="","",IF($I822&lt;&gt;"","факт","прогноз"))</f>
        <v/>
      </c>
      <c r="X822" s="1"/>
      <c r="Y822" s="1"/>
      <c r="Z822" s="1"/>
      <c r="AA822" s="1"/>
      <c r="AB822" s="1"/>
      <c r="AC822" s="1"/>
      <c r="AD822" s="1"/>
    </row>
    <row r="823" customFormat="false" ht="18" hidden="false" customHeight="true" outlineLevel="0" collapsed="false">
      <c r="A823" s="1"/>
      <c r="B823" s="35"/>
      <c r="C823" s="8"/>
      <c r="D823" s="26"/>
      <c r="E823" s="27"/>
      <c r="F823" s="36"/>
      <c r="G823" s="36"/>
      <c r="H823" s="36"/>
      <c r="I823" s="36"/>
      <c r="J823" s="37" t="str">
        <f aca="false">IF($E823="","",IFERROR(G823/F823,""))</f>
        <v/>
      </c>
      <c r="K823" s="30" t="str">
        <f aca="false">IF($E823="","",IFERROR(E823/G823,""))</f>
        <v/>
      </c>
      <c r="L823" s="30" t="str">
        <f aca="false">IF($E823="","",IFERROR(E823/F823*1000,""))</f>
        <v/>
      </c>
      <c r="M823" s="37" t="str">
        <f aca="false">IF($E823="","",IFERROR(H823/G823,""))</f>
        <v/>
      </c>
      <c r="N823" s="30" t="str">
        <f aca="false">IF($E823="","",IFERROR(E823/H823,"—"))</f>
        <v/>
      </c>
      <c r="O823" s="30" t="str">
        <f aca="false">IF($E823="","",IFERROR(INDEX('Гео-калькулятор'!$K$7:$K$13,MATCH($C823,'Гео-калькулятор'!$B$7:$B$13,0)),""))</f>
        <v/>
      </c>
      <c r="P823" s="38" t="str">
        <f aca="false">IF($E823="","",IFERROR(N823/O823,""))</f>
        <v/>
      </c>
      <c r="Q823" s="39" t="str">
        <f aca="false">IF($E823="","",IF($I823&lt;&gt;"",$I823,N($H823)*IFERROR(INDEX('Гео-калькулятор'!$E$7:$E$13,MATCH($C823,'Гео-калькулятор'!$B$7:$B$13,0)),0)))</f>
        <v/>
      </c>
      <c r="R823" s="38" t="str">
        <f aca="false">IF($E823="","",IFERROR(Q823/H823,""))</f>
        <v/>
      </c>
      <c r="S823" s="30" t="str">
        <f aca="false">IF($E823="","",IFERROR(E823/Q823,"—"))</f>
        <v/>
      </c>
      <c r="T823" s="30" t="str">
        <f aca="false">IF($E823="","",Q823*IFERROR(INDEX('Гео-калькулятор'!$D$7:$D$13,MATCH($C823,'Гео-калькулятор'!$B$7:$B$13,0)),0))</f>
        <v/>
      </c>
      <c r="U823" s="40" t="str">
        <f aca="false">IF($E823="","",T823-E823)</f>
        <v/>
      </c>
      <c r="V823" s="41" t="str">
        <f aca="false">IF($E823="","",IFERROR(U823/E823,""))</f>
        <v/>
      </c>
      <c r="W823" s="10" t="str">
        <f aca="false">IF($E823="","",IF($I823&lt;&gt;"","факт","прогноз"))</f>
        <v/>
      </c>
      <c r="X823" s="1"/>
      <c r="Y823" s="1"/>
      <c r="Z823" s="1"/>
      <c r="AA823" s="1"/>
      <c r="AB823" s="1"/>
      <c r="AC823" s="1"/>
      <c r="AD823" s="1"/>
    </row>
    <row r="824" customFormat="false" ht="18" hidden="false" customHeight="true" outlineLevel="0" collapsed="false">
      <c r="A824" s="1"/>
      <c r="B824" s="35"/>
      <c r="C824" s="8"/>
      <c r="D824" s="26"/>
      <c r="E824" s="27"/>
      <c r="F824" s="36"/>
      <c r="G824" s="36"/>
      <c r="H824" s="36"/>
      <c r="I824" s="36"/>
      <c r="J824" s="37" t="str">
        <f aca="false">IF($E824="","",IFERROR(G824/F824,""))</f>
        <v/>
      </c>
      <c r="K824" s="30" t="str">
        <f aca="false">IF($E824="","",IFERROR(E824/G824,""))</f>
        <v/>
      </c>
      <c r="L824" s="30" t="str">
        <f aca="false">IF($E824="","",IFERROR(E824/F824*1000,""))</f>
        <v/>
      </c>
      <c r="M824" s="37" t="str">
        <f aca="false">IF($E824="","",IFERROR(H824/G824,""))</f>
        <v/>
      </c>
      <c r="N824" s="30" t="str">
        <f aca="false">IF($E824="","",IFERROR(E824/H824,"—"))</f>
        <v/>
      </c>
      <c r="O824" s="30" t="str">
        <f aca="false">IF($E824="","",IFERROR(INDEX('Гео-калькулятор'!$K$7:$K$13,MATCH($C824,'Гео-калькулятор'!$B$7:$B$13,0)),""))</f>
        <v/>
      </c>
      <c r="P824" s="38" t="str">
        <f aca="false">IF($E824="","",IFERROR(N824/O824,""))</f>
        <v/>
      </c>
      <c r="Q824" s="39" t="str">
        <f aca="false">IF($E824="","",IF($I824&lt;&gt;"",$I824,N($H824)*IFERROR(INDEX('Гео-калькулятор'!$E$7:$E$13,MATCH($C824,'Гео-калькулятор'!$B$7:$B$13,0)),0)))</f>
        <v/>
      </c>
      <c r="R824" s="38" t="str">
        <f aca="false">IF($E824="","",IFERROR(Q824/H824,""))</f>
        <v/>
      </c>
      <c r="S824" s="30" t="str">
        <f aca="false">IF($E824="","",IFERROR(E824/Q824,"—"))</f>
        <v/>
      </c>
      <c r="T824" s="30" t="str">
        <f aca="false">IF($E824="","",Q824*IFERROR(INDEX('Гео-калькулятор'!$D$7:$D$13,MATCH($C824,'Гео-калькулятор'!$B$7:$B$13,0)),0))</f>
        <v/>
      </c>
      <c r="U824" s="40" t="str">
        <f aca="false">IF($E824="","",T824-E824)</f>
        <v/>
      </c>
      <c r="V824" s="41" t="str">
        <f aca="false">IF($E824="","",IFERROR(U824/E824,""))</f>
        <v/>
      </c>
      <c r="W824" s="10" t="str">
        <f aca="false">IF($E824="","",IF($I824&lt;&gt;"","факт","прогноз"))</f>
        <v/>
      </c>
      <c r="X824" s="1"/>
      <c r="Y824" s="1"/>
      <c r="Z824" s="1"/>
      <c r="AA824" s="1"/>
      <c r="AB824" s="1"/>
      <c r="AC824" s="1"/>
      <c r="AD824" s="1"/>
    </row>
    <row r="825" customFormat="false" ht="18" hidden="false" customHeight="true" outlineLevel="0" collapsed="false">
      <c r="A825" s="1"/>
      <c r="B825" s="35"/>
      <c r="C825" s="8"/>
      <c r="D825" s="26"/>
      <c r="E825" s="27"/>
      <c r="F825" s="36"/>
      <c r="G825" s="36"/>
      <c r="H825" s="36"/>
      <c r="I825" s="36"/>
      <c r="J825" s="37" t="str">
        <f aca="false">IF($E825="","",IFERROR(G825/F825,""))</f>
        <v/>
      </c>
      <c r="K825" s="30" t="str">
        <f aca="false">IF($E825="","",IFERROR(E825/G825,""))</f>
        <v/>
      </c>
      <c r="L825" s="30" t="str">
        <f aca="false">IF($E825="","",IFERROR(E825/F825*1000,""))</f>
        <v/>
      </c>
      <c r="M825" s="37" t="str">
        <f aca="false">IF($E825="","",IFERROR(H825/G825,""))</f>
        <v/>
      </c>
      <c r="N825" s="30" t="str">
        <f aca="false">IF($E825="","",IFERROR(E825/H825,"—"))</f>
        <v/>
      </c>
      <c r="O825" s="30" t="str">
        <f aca="false">IF($E825="","",IFERROR(INDEX('Гео-калькулятор'!$K$7:$K$13,MATCH($C825,'Гео-калькулятор'!$B$7:$B$13,0)),""))</f>
        <v/>
      </c>
      <c r="P825" s="38" t="str">
        <f aca="false">IF($E825="","",IFERROR(N825/O825,""))</f>
        <v/>
      </c>
      <c r="Q825" s="39" t="str">
        <f aca="false">IF($E825="","",IF($I825&lt;&gt;"",$I825,N($H825)*IFERROR(INDEX('Гео-калькулятор'!$E$7:$E$13,MATCH($C825,'Гео-калькулятор'!$B$7:$B$13,0)),0)))</f>
        <v/>
      </c>
      <c r="R825" s="38" t="str">
        <f aca="false">IF($E825="","",IFERROR(Q825/H825,""))</f>
        <v/>
      </c>
      <c r="S825" s="30" t="str">
        <f aca="false">IF($E825="","",IFERROR(E825/Q825,"—"))</f>
        <v/>
      </c>
      <c r="T825" s="30" t="str">
        <f aca="false">IF($E825="","",Q825*IFERROR(INDEX('Гео-калькулятор'!$D$7:$D$13,MATCH($C825,'Гео-калькулятор'!$B$7:$B$13,0)),0))</f>
        <v/>
      </c>
      <c r="U825" s="40" t="str">
        <f aca="false">IF($E825="","",T825-E825)</f>
        <v/>
      </c>
      <c r="V825" s="41" t="str">
        <f aca="false">IF($E825="","",IFERROR(U825/E825,""))</f>
        <v/>
      </c>
      <c r="W825" s="10" t="str">
        <f aca="false">IF($E825="","",IF($I825&lt;&gt;"","факт","прогноз"))</f>
        <v/>
      </c>
      <c r="X825" s="1"/>
      <c r="Y825" s="1"/>
      <c r="Z825" s="1"/>
      <c r="AA825" s="1"/>
      <c r="AB825" s="1"/>
      <c r="AC825" s="1"/>
      <c r="AD825" s="1"/>
    </row>
    <row r="826" customFormat="false" ht="18" hidden="false" customHeight="true" outlineLevel="0" collapsed="false">
      <c r="A826" s="1"/>
      <c r="B826" s="35"/>
      <c r="C826" s="8"/>
      <c r="D826" s="26"/>
      <c r="E826" s="27"/>
      <c r="F826" s="36"/>
      <c r="G826" s="36"/>
      <c r="H826" s="36"/>
      <c r="I826" s="36"/>
      <c r="J826" s="37" t="str">
        <f aca="false">IF($E826="","",IFERROR(G826/F826,""))</f>
        <v/>
      </c>
      <c r="K826" s="30" t="str">
        <f aca="false">IF($E826="","",IFERROR(E826/G826,""))</f>
        <v/>
      </c>
      <c r="L826" s="30" t="str">
        <f aca="false">IF($E826="","",IFERROR(E826/F826*1000,""))</f>
        <v/>
      </c>
      <c r="M826" s="37" t="str">
        <f aca="false">IF($E826="","",IFERROR(H826/G826,""))</f>
        <v/>
      </c>
      <c r="N826" s="30" t="str">
        <f aca="false">IF($E826="","",IFERROR(E826/H826,"—"))</f>
        <v/>
      </c>
      <c r="O826" s="30" t="str">
        <f aca="false">IF($E826="","",IFERROR(INDEX('Гео-калькулятор'!$K$7:$K$13,MATCH($C826,'Гео-калькулятор'!$B$7:$B$13,0)),""))</f>
        <v/>
      </c>
      <c r="P826" s="38" t="str">
        <f aca="false">IF($E826="","",IFERROR(N826/O826,""))</f>
        <v/>
      </c>
      <c r="Q826" s="39" t="str">
        <f aca="false">IF($E826="","",IF($I826&lt;&gt;"",$I826,N($H826)*IFERROR(INDEX('Гео-калькулятор'!$E$7:$E$13,MATCH($C826,'Гео-калькулятор'!$B$7:$B$13,0)),0)))</f>
        <v/>
      </c>
      <c r="R826" s="38" t="str">
        <f aca="false">IF($E826="","",IFERROR(Q826/H826,""))</f>
        <v/>
      </c>
      <c r="S826" s="30" t="str">
        <f aca="false">IF($E826="","",IFERROR(E826/Q826,"—"))</f>
        <v/>
      </c>
      <c r="T826" s="30" t="str">
        <f aca="false">IF($E826="","",Q826*IFERROR(INDEX('Гео-калькулятор'!$D$7:$D$13,MATCH($C826,'Гео-калькулятор'!$B$7:$B$13,0)),0))</f>
        <v/>
      </c>
      <c r="U826" s="40" t="str">
        <f aca="false">IF($E826="","",T826-E826)</f>
        <v/>
      </c>
      <c r="V826" s="41" t="str">
        <f aca="false">IF($E826="","",IFERROR(U826/E826,""))</f>
        <v/>
      </c>
      <c r="W826" s="10" t="str">
        <f aca="false">IF($E826="","",IF($I826&lt;&gt;"","факт","прогноз"))</f>
        <v/>
      </c>
      <c r="X826" s="1"/>
      <c r="Y826" s="1"/>
      <c r="Z826" s="1"/>
      <c r="AA826" s="1"/>
      <c r="AB826" s="1"/>
      <c r="AC826" s="1"/>
      <c r="AD826" s="1"/>
    </row>
    <row r="827" customFormat="false" ht="18" hidden="false" customHeight="true" outlineLevel="0" collapsed="false">
      <c r="A827" s="1"/>
      <c r="B827" s="35"/>
      <c r="C827" s="8"/>
      <c r="D827" s="26"/>
      <c r="E827" s="27"/>
      <c r="F827" s="36"/>
      <c r="G827" s="36"/>
      <c r="H827" s="36"/>
      <c r="I827" s="36"/>
      <c r="J827" s="37" t="str">
        <f aca="false">IF($E827="","",IFERROR(G827/F827,""))</f>
        <v/>
      </c>
      <c r="K827" s="30" t="str">
        <f aca="false">IF($E827="","",IFERROR(E827/G827,""))</f>
        <v/>
      </c>
      <c r="L827" s="30" t="str">
        <f aca="false">IF($E827="","",IFERROR(E827/F827*1000,""))</f>
        <v/>
      </c>
      <c r="M827" s="37" t="str">
        <f aca="false">IF($E827="","",IFERROR(H827/G827,""))</f>
        <v/>
      </c>
      <c r="N827" s="30" t="str">
        <f aca="false">IF($E827="","",IFERROR(E827/H827,"—"))</f>
        <v/>
      </c>
      <c r="O827" s="30" t="str">
        <f aca="false">IF($E827="","",IFERROR(INDEX('Гео-калькулятор'!$K$7:$K$13,MATCH($C827,'Гео-калькулятор'!$B$7:$B$13,0)),""))</f>
        <v/>
      </c>
      <c r="P827" s="38" t="str">
        <f aca="false">IF($E827="","",IFERROR(N827/O827,""))</f>
        <v/>
      </c>
      <c r="Q827" s="39" t="str">
        <f aca="false">IF($E827="","",IF($I827&lt;&gt;"",$I827,N($H827)*IFERROR(INDEX('Гео-калькулятор'!$E$7:$E$13,MATCH($C827,'Гео-калькулятор'!$B$7:$B$13,0)),0)))</f>
        <v/>
      </c>
      <c r="R827" s="38" t="str">
        <f aca="false">IF($E827="","",IFERROR(Q827/H827,""))</f>
        <v/>
      </c>
      <c r="S827" s="30" t="str">
        <f aca="false">IF($E827="","",IFERROR(E827/Q827,"—"))</f>
        <v/>
      </c>
      <c r="T827" s="30" t="str">
        <f aca="false">IF($E827="","",Q827*IFERROR(INDEX('Гео-калькулятор'!$D$7:$D$13,MATCH($C827,'Гео-калькулятор'!$B$7:$B$13,0)),0))</f>
        <v/>
      </c>
      <c r="U827" s="40" t="str">
        <f aca="false">IF($E827="","",T827-E827)</f>
        <v/>
      </c>
      <c r="V827" s="41" t="str">
        <f aca="false">IF($E827="","",IFERROR(U827/E827,""))</f>
        <v/>
      </c>
      <c r="W827" s="10" t="str">
        <f aca="false">IF($E827="","",IF($I827&lt;&gt;"","факт","прогноз"))</f>
        <v/>
      </c>
      <c r="X827" s="1"/>
      <c r="Y827" s="1"/>
      <c r="Z827" s="1"/>
      <c r="AA827" s="1"/>
      <c r="AB827" s="1"/>
      <c r="AC827" s="1"/>
      <c r="AD827" s="1"/>
    </row>
    <row r="828" customFormat="false" ht="18" hidden="false" customHeight="true" outlineLevel="0" collapsed="false">
      <c r="A828" s="1"/>
      <c r="B828" s="35"/>
      <c r="C828" s="8"/>
      <c r="D828" s="26"/>
      <c r="E828" s="27"/>
      <c r="F828" s="36"/>
      <c r="G828" s="36"/>
      <c r="H828" s="36"/>
      <c r="I828" s="36"/>
      <c r="J828" s="37" t="str">
        <f aca="false">IF($E828="","",IFERROR(G828/F828,""))</f>
        <v/>
      </c>
      <c r="K828" s="30" t="str">
        <f aca="false">IF($E828="","",IFERROR(E828/G828,""))</f>
        <v/>
      </c>
      <c r="L828" s="30" t="str">
        <f aca="false">IF($E828="","",IFERROR(E828/F828*1000,""))</f>
        <v/>
      </c>
      <c r="M828" s="37" t="str">
        <f aca="false">IF($E828="","",IFERROR(H828/G828,""))</f>
        <v/>
      </c>
      <c r="N828" s="30" t="str">
        <f aca="false">IF($E828="","",IFERROR(E828/H828,"—"))</f>
        <v/>
      </c>
      <c r="O828" s="30" t="str">
        <f aca="false">IF($E828="","",IFERROR(INDEX('Гео-калькулятор'!$K$7:$K$13,MATCH($C828,'Гео-калькулятор'!$B$7:$B$13,0)),""))</f>
        <v/>
      </c>
      <c r="P828" s="38" t="str">
        <f aca="false">IF($E828="","",IFERROR(N828/O828,""))</f>
        <v/>
      </c>
      <c r="Q828" s="39" t="str">
        <f aca="false">IF($E828="","",IF($I828&lt;&gt;"",$I828,N($H828)*IFERROR(INDEX('Гео-калькулятор'!$E$7:$E$13,MATCH($C828,'Гео-калькулятор'!$B$7:$B$13,0)),0)))</f>
        <v/>
      </c>
      <c r="R828" s="38" t="str">
        <f aca="false">IF($E828="","",IFERROR(Q828/H828,""))</f>
        <v/>
      </c>
      <c r="S828" s="30" t="str">
        <f aca="false">IF($E828="","",IFERROR(E828/Q828,"—"))</f>
        <v/>
      </c>
      <c r="T828" s="30" t="str">
        <f aca="false">IF($E828="","",Q828*IFERROR(INDEX('Гео-калькулятор'!$D$7:$D$13,MATCH($C828,'Гео-калькулятор'!$B$7:$B$13,0)),0))</f>
        <v/>
      </c>
      <c r="U828" s="40" t="str">
        <f aca="false">IF($E828="","",T828-E828)</f>
        <v/>
      </c>
      <c r="V828" s="41" t="str">
        <f aca="false">IF($E828="","",IFERROR(U828/E828,""))</f>
        <v/>
      </c>
      <c r="W828" s="10" t="str">
        <f aca="false">IF($E828="","",IF($I828&lt;&gt;"","факт","прогноз"))</f>
        <v/>
      </c>
      <c r="X828" s="1"/>
      <c r="Y828" s="1"/>
      <c r="Z828" s="1"/>
      <c r="AA828" s="1"/>
      <c r="AB828" s="1"/>
      <c r="AC828" s="1"/>
      <c r="AD828" s="1"/>
    </row>
    <row r="829" customFormat="false" ht="18" hidden="false" customHeight="true" outlineLevel="0" collapsed="false">
      <c r="A829" s="1"/>
      <c r="B829" s="35"/>
      <c r="C829" s="8"/>
      <c r="D829" s="26"/>
      <c r="E829" s="27"/>
      <c r="F829" s="36"/>
      <c r="G829" s="36"/>
      <c r="H829" s="36"/>
      <c r="I829" s="36"/>
      <c r="J829" s="37" t="str">
        <f aca="false">IF($E829="","",IFERROR(G829/F829,""))</f>
        <v/>
      </c>
      <c r="K829" s="30" t="str">
        <f aca="false">IF($E829="","",IFERROR(E829/G829,""))</f>
        <v/>
      </c>
      <c r="L829" s="30" t="str">
        <f aca="false">IF($E829="","",IFERROR(E829/F829*1000,""))</f>
        <v/>
      </c>
      <c r="M829" s="37" t="str">
        <f aca="false">IF($E829="","",IFERROR(H829/G829,""))</f>
        <v/>
      </c>
      <c r="N829" s="30" t="str">
        <f aca="false">IF($E829="","",IFERROR(E829/H829,"—"))</f>
        <v/>
      </c>
      <c r="O829" s="30" t="str">
        <f aca="false">IF($E829="","",IFERROR(INDEX('Гео-калькулятор'!$K$7:$K$13,MATCH($C829,'Гео-калькулятор'!$B$7:$B$13,0)),""))</f>
        <v/>
      </c>
      <c r="P829" s="38" t="str">
        <f aca="false">IF($E829="","",IFERROR(N829/O829,""))</f>
        <v/>
      </c>
      <c r="Q829" s="39" t="str">
        <f aca="false">IF($E829="","",IF($I829&lt;&gt;"",$I829,N($H829)*IFERROR(INDEX('Гео-калькулятор'!$E$7:$E$13,MATCH($C829,'Гео-калькулятор'!$B$7:$B$13,0)),0)))</f>
        <v/>
      </c>
      <c r="R829" s="38" t="str">
        <f aca="false">IF($E829="","",IFERROR(Q829/H829,""))</f>
        <v/>
      </c>
      <c r="S829" s="30" t="str">
        <f aca="false">IF($E829="","",IFERROR(E829/Q829,"—"))</f>
        <v/>
      </c>
      <c r="T829" s="30" t="str">
        <f aca="false">IF($E829="","",Q829*IFERROR(INDEX('Гео-калькулятор'!$D$7:$D$13,MATCH($C829,'Гео-калькулятор'!$B$7:$B$13,0)),0))</f>
        <v/>
      </c>
      <c r="U829" s="40" t="str">
        <f aca="false">IF($E829="","",T829-E829)</f>
        <v/>
      </c>
      <c r="V829" s="41" t="str">
        <f aca="false">IF($E829="","",IFERROR(U829/E829,""))</f>
        <v/>
      </c>
      <c r="W829" s="10" t="str">
        <f aca="false">IF($E829="","",IF($I829&lt;&gt;"","факт","прогноз"))</f>
        <v/>
      </c>
      <c r="X829" s="1"/>
      <c r="Y829" s="1"/>
      <c r="Z829" s="1"/>
      <c r="AA829" s="1"/>
      <c r="AB829" s="1"/>
      <c r="AC829" s="1"/>
      <c r="AD829" s="1"/>
    </row>
    <row r="830" customFormat="false" ht="18" hidden="false" customHeight="true" outlineLevel="0" collapsed="false">
      <c r="A830" s="1"/>
      <c r="B830" s="35"/>
      <c r="C830" s="8"/>
      <c r="D830" s="26"/>
      <c r="E830" s="27"/>
      <c r="F830" s="36"/>
      <c r="G830" s="36"/>
      <c r="H830" s="36"/>
      <c r="I830" s="36"/>
      <c r="J830" s="37" t="str">
        <f aca="false">IF($E830="","",IFERROR(G830/F830,""))</f>
        <v/>
      </c>
      <c r="K830" s="30" t="str">
        <f aca="false">IF($E830="","",IFERROR(E830/G830,""))</f>
        <v/>
      </c>
      <c r="L830" s="30" t="str">
        <f aca="false">IF($E830="","",IFERROR(E830/F830*1000,""))</f>
        <v/>
      </c>
      <c r="M830" s="37" t="str">
        <f aca="false">IF($E830="","",IFERROR(H830/G830,""))</f>
        <v/>
      </c>
      <c r="N830" s="30" t="str">
        <f aca="false">IF($E830="","",IFERROR(E830/H830,"—"))</f>
        <v/>
      </c>
      <c r="O830" s="30" t="str">
        <f aca="false">IF($E830="","",IFERROR(INDEX('Гео-калькулятор'!$K$7:$K$13,MATCH($C830,'Гео-калькулятор'!$B$7:$B$13,0)),""))</f>
        <v/>
      </c>
      <c r="P830" s="38" t="str">
        <f aca="false">IF($E830="","",IFERROR(N830/O830,""))</f>
        <v/>
      </c>
      <c r="Q830" s="39" t="str">
        <f aca="false">IF($E830="","",IF($I830&lt;&gt;"",$I830,N($H830)*IFERROR(INDEX('Гео-калькулятор'!$E$7:$E$13,MATCH($C830,'Гео-калькулятор'!$B$7:$B$13,0)),0)))</f>
        <v/>
      </c>
      <c r="R830" s="38" t="str">
        <f aca="false">IF($E830="","",IFERROR(Q830/H830,""))</f>
        <v/>
      </c>
      <c r="S830" s="30" t="str">
        <f aca="false">IF($E830="","",IFERROR(E830/Q830,"—"))</f>
        <v/>
      </c>
      <c r="T830" s="30" t="str">
        <f aca="false">IF($E830="","",Q830*IFERROR(INDEX('Гео-калькулятор'!$D$7:$D$13,MATCH($C830,'Гео-калькулятор'!$B$7:$B$13,0)),0))</f>
        <v/>
      </c>
      <c r="U830" s="40" t="str">
        <f aca="false">IF($E830="","",T830-E830)</f>
        <v/>
      </c>
      <c r="V830" s="41" t="str">
        <f aca="false">IF($E830="","",IFERROR(U830/E830,""))</f>
        <v/>
      </c>
      <c r="W830" s="10" t="str">
        <f aca="false">IF($E830="","",IF($I830&lt;&gt;"","факт","прогноз"))</f>
        <v/>
      </c>
      <c r="X830" s="1"/>
      <c r="Y830" s="1"/>
      <c r="Z830" s="1"/>
      <c r="AA830" s="1"/>
      <c r="AB830" s="1"/>
      <c r="AC830" s="1"/>
      <c r="AD830" s="1"/>
    </row>
    <row r="831" customFormat="false" ht="18" hidden="false" customHeight="true" outlineLevel="0" collapsed="false">
      <c r="A831" s="1"/>
      <c r="B831" s="35"/>
      <c r="C831" s="8"/>
      <c r="D831" s="26"/>
      <c r="E831" s="27"/>
      <c r="F831" s="36"/>
      <c r="G831" s="36"/>
      <c r="H831" s="36"/>
      <c r="I831" s="36"/>
      <c r="J831" s="37" t="str">
        <f aca="false">IF($E831="","",IFERROR(G831/F831,""))</f>
        <v/>
      </c>
      <c r="K831" s="30" t="str">
        <f aca="false">IF($E831="","",IFERROR(E831/G831,""))</f>
        <v/>
      </c>
      <c r="L831" s="30" t="str">
        <f aca="false">IF($E831="","",IFERROR(E831/F831*1000,""))</f>
        <v/>
      </c>
      <c r="M831" s="37" t="str">
        <f aca="false">IF($E831="","",IFERROR(H831/G831,""))</f>
        <v/>
      </c>
      <c r="N831" s="30" t="str">
        <f aca="false">IF($E831="","",IFERROR(E831/H831,"—"))</f>
        <v/>
      </c>
      <c r="O831" s="30" t="str">
        <f aca="false">IF($E831="","",IFERROR(INDEX('Гео-калькулятор'!$K$7:$K$13,MATCH($C831,'Гео-калькулятор'!$B$7:$B$13,0)),""))</f>
        <v/>
      </c>
      <c r="P831" s="38" t="str">
        <f aca="false">IF($E831="","",IFERROR(N831/O831,""))</f>
        <v/>
      </c>
      <c r="Q831" s="39" t="str">
        <f aca="false">IF($E831="","",IF($I831&lt;&gt;"",$I831,N($H831)*IFERROR(INDEX('Гео-калькулятор'!$E$7:$E$13,MATCH($C831,'Гео-калькулятор'!$B$7:$B$13,0)),0)))</f>
        <v/>
      </c>
      <c r="R831" s="38" t="str">
        <f aca="false">IF($E831="","",IFERROR(Q831/H831,""))</f>
        <v/>
      </c>
      <c r="S831" s="30" t="str">
        <f aca="false">IF($E831="","",IFERROR(E831/Q831,"—"))</f>
        <v/>
      </c>
      <c r="T831" s="30" t="str">
        <f aca="false">IF($E831="","",Q831*IFERROR(INDEX('Гео-калькулятор'!$D$7:$D$13,MATCH($C831,'Гео-калькулятор'!$B$7:$B$13,0)),0))</f>
        <v/>
      </c>
      <c r="U831" s="40" t="str">
        <f aca="false">IF($E831="","",T831-E831)</f>
        <v/>
      </c>
      <c r="V831" s="41" t="str">
        <f aca="false">IF($E831="","",IFERROR(U831/E831,""))</f>
        <v/>
      </c>
      <c r="W831" s="10" t="str">
        <f aca="false">IF($E831="","",IF($I831&lt;&gt;"","факт","прогноз"))</f>
        <v/>
      </c>
      <c r="X831" s="1"/>
      <c r="Y831" s="1"/>
      <c r="Z831" s="1"/>
      <c r="AA831" s="1"/>
      <c r="AB831" s="1"/>
      <c r="AC831" s="1"/>
      <c r="AD831" s="1"/>
    </row>
    <row r="832" customFormat="false" ht="18" hidden="false" customHeight="true" outlineLevel="0" collapsed="false">
      <c r="A832" s="1"/>
      <c r="B832" s="35"/>
      <c r="C832" s="8"/>
      <c r="D832" s="26"/>
      <c r="E832" s="27"/>
      <c r="F832" s="36"/>
      <c r="G832" s="36"/>
      <c r="H832" s="36"/>
      <c r="I832" s="36"/>
      <c r="J832" s="37" t="str">
        <f aca="false">IF($E832="","",IFERROR(G832/F832,""))</f>
        <v/>
      </c>
      <c r="K832" s="30" t="str">
        <f aca="false">IF($E832="","",IFERROR(E832/G832,""))</f>
        <v/>
      </c>
      <c r="L832" s="30" t="str">
        <f aca="false">IF($E832="","",IFERROR(E832/F832*1000,""))</f>
        <v/>
      </c>
      <c r="M832" s="37" t="str">
        <f aca="false">IF($E832="","",IFERROR(H832/G832,""))</f>
        <v/>
      </c>
      <c r="N832" s="30" t="str">
        <f aca="false">IF($E832="","",IFERROR(E832/H832,"—"))</f>
        <v/>
      </c>
      <c r="O832" s="30" t="str">
        <f aca="false">IF($E832="","",IFERROR(INDEX('Гео-калькулятор'!$K$7:$K$13,MATCH($C832,'Гео-калькулятор'!$B$7:$B$13,0)),""))</f>
        <v/>
      </c>
      <c r="P832" s="38" t="str">
        <f aca="false">IF($E832="","",IFERROR(N832/O832,""))</f>
        <v/>
      </c>
      <c r="Q832" s="39" t="str">
        <f aca="false">IF($E832="","",IF($I832&lt;&gt;"",$I832,N($H832)*IFERROR(INDEX('Гео-калькулятор'!$E$7:$E$13,MATCH($C832,'Гео-калькулятор'!$B$7:$B$13,0)),0)))</f>
        <v/>
      </c>
      <c r="R832" s="38" t="str">
        <f aca="false">IF($E832="","",IFERROR(Q832/H832,""))</f>
        <v/>
      </c>
      <c r="S832" s="30" t="str">
        <f aca="false">IF($E832="","",IFERROR(E832/Q832,"—"))</f>
        <v/>
      </c>
      <c r="T832" s="30" t="str">
        <f aca="false">IF($E832="","",Q832*IFERROR(INDEX('Гео-калькулятор'!$D$7:$D$13,MATCH($C832,'Гео-калькулятор'!$B$7:$B$13,0)),0))</f>
        <v/>
      </c>
      <c r="U832" s="40" t="str">
        <f aca="false">IF($E832="","",T832-E832)</f>
        <v/>
      </c>
      <c r="V832" s="41" t="str">
        <f aca="false">IF($E832="","",IFERROR(U832/E832,""))</f>
        <v/>
      </c>
      <c r="W832" s="10" t="str">
        <f aca="false">IF($E832="","",IF($I832&lt;&gt;"","факт","прогноз"))</f>
        <v/>
      </c>
      <c r="X832" s="1"/>
      <c r="Y832" s="1"/>
      <c r="Z832" s="1"/>
      <c r="AA832" s="1"/>
      <c r="AB832" s="1"/>
      <c r="AC832" s="1"/>
      <c r="AD832" s="1"/>
    </row>
    <row r="833" customFormat="false" ht="18" hidden="false" customHeight="true" outlineLevel="0" collapsed="false">
      <c r="A833" s="1"/>
      <c r="B833" s="35"/>
      <c r="C833" s="8"/>
      <c r="D833" s="26"/>
      <c r="E833" s="27"/>
      <c r="F833" s="36"/>
      <c r="G833" s="36"/>
      <c r="H833" s="36"/>
      <c r="I833" s="36"/>
      <c r="J833" s="37" t="str">
        <f aca="false">IF($E833="","",IFERROR(G833/F833,""))</f>
        <v/>
      </c>
      <c r="K833" s="30" t="str">
        <f aca="false">IF($E833="","",IFERROR(E833/G833,""))</f>
        <v/>
      </c>
      <c r="L833" s="30" t="str">
        <f aca="false">IF($E833="","",IFERROR(E833/F833*1000,""))</f>
        <v/>
      </c>
      <c r="M833" s="37" t="str">
        <f aca="false">IF($E833="","",IFERROR(H833/G833,""))</f>
        <v/>
      </c>
      <c r="N833" s="30" t="str">
        <f aca="false">IF($E833="","",IFERROR(E833/H833,"—"))</f>
        <v/>
      </c>
      <c r="O833" s="30" t="str">
        <f aca="false">IF($E833="","",IFERROR(INDEX('Гео-калькулятор'!$K$7:$K$13,MATCH($C833,'Гео-калькулятор'!$B$7:$B$13,0)),""))</f>
        <v/>
      </c>
      <c r="P833" s="38" t="str">
        <f aca="false">IF($E833="","",IFERROR(N833/O833,""))</f>
        <v/>
      </c>
      <c r="Q833" s="39" t="str">
        <f aca="false">IF($E833="","",IF($I833&lt;&gt;"",$I833,N($H833)*IFERROR(INDEX('Гео-калькулятор'!$E$7:$E$13,MATCH($C833,'Гео-калькулятор'!$B$7:$B$13,0)),0)))</f>
        <v/>
      </c>
      <c r="R833" s="38" t="str">
        <f aca="false">IF($E833="","",IFERROR(Q833/H833,""))</f>
        <v/>
      </c>
      <c r="S833" s="30" t="str">
        <f aca="false">IF($E833="","",IFERROR(E833/Q833,"—"))</f>
        <v/>
      </c>
      <c r="T833" s="30" t="str">
        <f aca="false">IF($E833="","",Q833*IFERROR(INDEX('Гео-калькулятор'!$D$7:$D$13,MATCH($C833,'Гео-калькулятор'!$B$7:$B$13,0)),0))</f>
        <v/>
      </c>
      <c r="U833" s="40" t="str">
        <f aca="false">IF($E833="","",T833-E833)</f>
        <v/>
      </c>
      <c r="V833" s="41" t="str">
        <f aca="false">IF($E833="","",IFERROR(U833/E833,""))</f>
        <v/>
      </c>
      <c r="W833" s="10" t="str">
        <f aca="false">IF($E833="","",IF($I833&lt;&gt;"","факт","прогноз"))</f>
        <v/>
      </c>
      <c r="X833" s="1"/>
      <c r="Y833" s="1"/>
      <c r="Z833" s="1"/>
      <c r="AA833" s="1"/>
      <c r="AB833" s="1"/>
      <c r="AC833" s="1"/>
      <c r="AD833" s="1"/>
    </row>
    <row r="834" customFormat="false" ht="18" hidden="false" customHeight="true" outlineLevel="0" collapsed="false">
      <c r="A834" s="1"/>
      <c r="B834" s="35"/>
      <c r="C834" s="8"/>
      <c r="D834" s="26"/>
      <c r="E834" s="27"/>
      <c r="F834" s="36"/>
      <c r="G834" s="36"/>
      <c r="H834" s="36"/>
      <c r="I834" s="36"/>
      <c r="J834" s="37" t="str">
        <f aca="false">IF($E834="","",IFERROR(G834/F834,""))</f>
        <v/>
      </c>
      <c r="K834" s="30" t="str">
        <f aca="false">IF($E834="","",IFERROR(E834/G834,""))</f>
        <v/>
      </c>
      <c r="L834" s="30" t="str">
        <f aca="false">IF($E834="","",IFERROR(E834/F834*1000,""))</f>
        <v/>
      </c>
      <c r="M834" s="37" t="str">
        <f aca="false">IF($E834="","",IFERROR(H834/G834,""))</f>
        <v/>
      </c>
      <c r="N834" s="30" t="str">
        <f aca="false">IF($E834="","",IFERROR(E834/H834,"—"))</f>
        <v/>
      </c>
      <c r="O834" s="30" t="str">
        <f aca="false">IF($E834="","",IFERROR(INDEX('Гео-калькулятор'!$K$7:$K$13,MATCH($C834,'Гео-калькулятор'!$B$7:$B$13,0)),""))</f>
        <v/>
      </c>
      <c r="P834" s="38" t="str">
        <f aca="false">IF($E834="","",IFERROR(N834/O834,""))</f>
        <v/>
      </c>
      <c r="Q834" s="39" t="str">
        <f aca="false">IF($E834="","",IF($I834&lt;&gt;"",$I834,N($H834)*IFERROR(INDEX('Гео-калькулятор'!$E$7:$E$13,MATCH($C834,'Гео-калькулятор'!$B$7:$B$13,0)),0)))</f>
        <v/>
      </c>
      <c r="R834" s="38" t="str">
        <f aca="false">IF($E834="","",IFERROR(Q834/H834,""))</f>
        <v/>
      </c>
      <c r="S834" s="30" t="str">
        <f aca="false">IF($E834="","",IFERROR(E834/Q834,"—"))</f>
        <v/>
      </c>
      <c r="T834" s="30" t="str">
        <f aca="false">IF($E834="","",Q834*IFERROR(INDEX('Гео-калькулятор'!$D$7:$D$13,MATCH($C834,'Гео-калькулятор'!$B$7:$B$13,0)),0))</f>
        <v/>
      </c>
      <c r="U834" s="40" t="str">
        <f aca="false">IF($E834="","",T834-E834)</f>
        <v/>
      </c>
      <c r="V834" s="41" t="str">
        <f aca="false">IF($E834="","",IFERROR(U834/E834,""))</f>
        <v/>
      </c>
      <c r="W834" s="10" t="str">
        <f aca="false">IF($E834="","",IF($I834&lt;&gt;"","факт","прогноз"))</f>
        <v/>
      </c>
      <c r="X834" s="1"/>
      <c r="Y834" s="1"/>
      <c r="Z834" s="1"/>
      <c r="AA834" s="1"/>
      <c r="AB834" s="1"/>
      <c r="AC834" s="1"/>
      <c r="AD834" s="1"/>
    </row>
    <row r="835" customFormat="false" ht="18" hidden="false" customHeight="true" outlineLevel="0" collapsed="false">
      <c r="A835" s="1"/>
      <c r="B835" s="35"/>
      <c r="C835" s="8"/>
      <c r="D835" s="26"/>
      <c r="E835" s="27"/>
      <c r="F835" s="36"/>
      <c r="G835" s="36"/>
      <c r="H835" s="36"/>
      <c r="I835" s="36"/>
      <c r="J835" s="37" t="str">
        <f aca="false">IF($E835="","",IFERROR(G835/F835,""))</f>
        <v/>
      </c>
      <c r="K835" s="30" t="str">
        <f aca="false">IF($E835="","",IFERROR(E835/G835,""))</f>
        <v/>
      </c>
      <c r="L835" s="30" t="str">
        <f aca="false">IF($E835="","",IFERROR(E835/F835*1000,""))</f>
        <v/>
      </c>
      <c r="M835" s="37" t="str">
        <f aca="false">IF($E835="","",IFERROR(H835/G835,""))</f>
        <v/>
      </c>
      <c r="N835" s="30" t="str">
        <f aca="false">IF($E835="","",IFERROR(E835/H835,"—"))</f>
        <v/>
      </c>
      <c r="O835" s="30" t="str">
        <f aca="false">IF($E835="","",IFERROR(INDEX('Гео-калькулятор'!$K$7:$K$13,MATCH($C835,'Гео-калькулятор'!$B$7:$B$13,0)),""))</f>
        <v/>
      </c>
      <c r="P835" s="38" t="str">
        <f aca="false">IF($E835="","",IFERROR(N835/O835,""))</f>
        <v/>
      </c>
      <c r="Q835" s="39" t="str">
        <f aca="false">IF($E835="","",IF($I835&lt;&gt;"",$I835,N($H835)*IFERROR(INDEX('Гео-калькулятор'!$E$7:$E$13,MATCH($C835,'Гео-калькулятор'!$B$7:$B$13,0)),0)))</f>
        <v/>
      </c>
      <c r="R835" s="38" t="str">
        <f aca="false">IF($E835="","",IFERROR(Q835/H835,""))</f>
        <v/>
      </c>
      <c r="S835" s="30" t="str">
        <f aca="false">IF($E835="","",IFERROR(E835/Q835,"—"))</f>
        <v/>
      </c>
      <c r="T835" s="30" t="str">
        <f aca="false">IF($E835="","",Q835*IFERROR(INDEX('Гео-калькулятор'!$D$7:$D$13,MATCH($C835,'Гео-калькулятор'!$B$7:$B$13,0)),0))</f>
        <v/>
      </c>
      <c r="U835" s="40" t="str">
        <f aca="false">IF($E835="","",T835-E835)</f>
        <v/>
      </c>
      <c r="V835" s="41" t="str">
        <f aca="false">IF($E835="","",IFERROR(U835/E835,""))</f>
        <v/>
      </c>
      <c r="W835" s="10" t="str">
        <f aca="false">IF($E835="","",IF($I835&lt;&gt;"","факт","прогноз"))</f>
        <v/>
      </c>
      <c r="X835" s="1"/>
      <c r="Y835" s="1"/>
      <c r="Z835" s="1"/>
      <c r="AA835" s="1"/>
      <c r="AB835" s="1"/>
      <c r="AC835" s="1"/>
      <c r="AD835" s="1"/>
    </row>
    <row r="836" customFormat="false" ht="18" hidden="false" customHeight="true" outlineLevel="0" collapsed="false">
      <c r="A836" s="1"/>
      <c r="B836" s="35"/>
      <c r="C836" s="8"/>
      <c r="D836" s="26"/>
      <c r="E836" s="27"/>
      <c r="F836" s="36"/>
      <c r="G836" s="36"/>
      <c r="H836" s="36"/>
      <c r="I836" s="36"/>
      <c r="J836" s="37" t="str">
        <f aca="false">IF($E836="","",IFERROR(G836/F836,""))</f>
        <v/>
      </c>
      <c r="K836" s="30" t="str">
        <f aca="false">IF($E836="","",IFERROR(E836/G836,""))</f>
        <v/>
      </c>
      <c r="L836" s="30" t="str">
        <f aca="false">IF($E836="","",IFERROR(E836/F836*1000,""))</f>
        <v/>
      </c>
      <c r="M836" s="37" t="str">
        <f aca="false">IF($E836="","",IFERROR(H836/G836,""))</f>
        <v/>
      </c>
      <c r="N836" s="30" t="str">
        <f aca="false">IF($E836="","",IFERROR(E836/H836,"—"))</f>
        <v/>
      </c>
      <c r="O836" s="30" t="str">
        <f aca="false">IF($E836="","",IFERROR(INDEX('Гео-калькулятор'!$K$7:$K$13,MATCH($C836,'Гео-калькулятор'!$B$7:$B$13,0)),""))</f>
        <v/>
      </c>
      <c r="P836" s="38" t="str">
        <f aca="false">IF($E836="","",IFERROR(N836/O836,""))</f>
        <v/>
      </c>
      <c r="Q836" s="39" t="str">
        <f aca="false">IF($E836="","",IF($I836&lt;&gt;"",$I836,N($H836)*IFERROR(INDEX('Гео-калькулятор'!$E$7:$E$13,MATCH($C836,'Гео-калькулятор'!$B$7:$B$13,0)),0)))</f>
        <v/>
      </c>
      <c r="R836" s="38" t="str">
        <f aca="false">IF($E836="","",IFERROR(Q836/H836,""))</f>
        <v/>
      </c>
      <c r="S836" s="30" t="str">
        <f aca="false">IF($E836="","",IFERROR(E836/Q836,"—"))</f>
        <v/>
      </c>
      <c r="T836" s="30" t="str">
        <f aca="false">IF($E836="","",Q836*IFERROR(INDEX('Гео-калькулятор'!$D$7:$D$13,MATCH($C836,'Гео-калькулятор'!$B$7:$B$13,0)),0))</f>
        <v/>
      </c>
      <c r="U836" s="40" t="str">
        <f aca="false">IF($E836="","",T836-E836)</f>
        <v/>
      </c>
      <c r="V836" s="41" t="str">
        <f aca="false">IF($E836="","",IFERROR(U836/E836,""))</f>
        <v/>
      </c>
      <c r="W836" s="10" t="str">
        <f aca="false">IF($E836="","",IF($I836&lt;&gt;"","факт","прогноз"))</f>
        <v/>
      </c>
      <c r="X836" s="1"/>
      <c r="Y836" s="1"/>
      <c r="Z836" s="1"/>
      <c r="AA836" s="1"/>
      <c r="AB836" s="1"/>
      <c r="AC836" s="1"/>
      <c r="AD836" s="1"/>
    </row>
    <row r="837" customFormat="false" ht="18" hidden="false" customHeight="true" outlineLevel="0" collapsed="false">
      <c r="A837" s="1"/>
      <c r="B837" s="35"/>
      <c r="C837" s="8"/>
      <c r="D837" s="26"/>
      <c r="E837" s="27"/>
      <c r="F837" s="36"/>
      <c r="G837" s="36"/>
      <c r="H837" s="36"/>
      <c r="I837" s="36"/>
      <c r="J837" s="37" t="str">
        <f aca="false">IF($E837="","",IFERROR(G837/F837,""))</f>
        <v/>
      </c>
      <c r="K837" s="30" t="str">
        <f aca="false">IF($E837="","",IFERROR(E837/G837,""))</f>
        <v/>
      </c>
      <c r="L837" s="30" t="str">
        <f aca="false">IF($E837="","",IFERROR(E837/F837*1000,""))</f>
        <v/>
      </c>
      <c r="M837" s="37" t="str">
        <f aca="false">IF($E837="","",IFERROR(H837/G837,""))</f>
        <v/>
      </c>
      <c r="N837" s="30" t="str">
        <f aca="false">IF($E837="","",IFERROR(E837/H837,"—"))</f>
        <v/>
      </c>
      <c r="O837" s="30" t="str">
        <f aca="false">IF($E837="","",IFERROR(INDEX('Гео-калькулятор'!$K$7:$K$13,MATCH($C837,'Гео-калькулятор'!$B$7:$B$13,0)),""))</f>
        <v/>
      </c>
      <c r="P837" s="38" t="str">
        <f aca="false">IF($E837="","",IFERROR(N837/O837,""))</f>
        <v/>
      </c>
      <c r="Q837" s="39" t="str">
        <f aca="false">IF($E837="","",IF($I837&lt;&gt;"",$I837,N($H837)*IFERROR(INDEX('Гео-калькулятор'!$E$7:$E$13,MATCH($C837,'Гео-калькулятор'!$B$7:$B$13,0)),0)))</f>
        <v/>
      </c>
      <c r="R837" s="38" t="str">
        <f aca="false">IF($E837="","",IFERROR(Q837/H837,""))</f>
        <v/>
      </c>
      <c r="S837" s="30" t="str">
        <f aca="false">IF($E837="","",IFERROR(E837/Q837,"—"))</f>
        <v/>
      </c>
      <c r="T837" s="30" t="str">
        <f aca="false">IF($E837="","",Q837*IFERROR(INDEX('Гео-калькулятор'!$D$7:$D$13,MATCH($C837,'Гео-калькулятор'!$B$7:$B$13,0)),0))</f>
        <v/>
      </c>
      <c r="U837" s="40" t="str">
        <f aca="false">IF($E837="","",T837-E837)</f>
        <v/>
      </c>
      <c r="V837" s="41" t="str">
        <f aca="false">IF($E837="","",IFERROR(U837/E837,""))</f>
        <v/>
      </c>
      <c r="W837" s="10" t="str">
        <f aca="false">IF($E837="","",IF($I837&lt;&gt;"","факт","прогноз"))</f>
        <v/>
      </c>
      <c r="X837" s="1"/>
      <c r="Y837" s="1"/>
      <c r="Z837" s="1"/>
      <c r="AA837" s="1"/>
      <c r="AB837" s="1"/>
      <c r="AC837" s="1"/>
      <c r="AD837" s="1"/>
    </row>
    <row r="838" customFormat="false" ht="18" hidden="false" customHeight="true" outlineLevel="0" collapsed="false">
      <c r="A838" s="1"/>
      <c r="B838" s="35"/>
      <c r="C838" s="8"/>
      <c r="D838" s="26"/>
      <c r="E838" s="27"/>
      <c r="F838" s="36"/>
      <c r="G838" s="36"/>
      <c r="H838" s="36"/>
      <c r="I838" s="36"/>
      <c r="J838" s="37" t="str">
        <f aca="false">IF($E838="","",IFERROR(G838/F838,""))</f>
        <v/>
      </c>
      <c r="K838" s="30" t="str">
        <f aca="false">IF($E838="","",IFERROR(E838/G838,""))</f>
        <v/>
      </c>
      <c r="L838" s="30" t="str">
        <f aca="false">IF($E838="","",IFERROR(E838/F838*1000,""))</f>
        <v/>
      </c>
      <c r="M838" s="37" t="str">
        <f aca="false">IF($E838="","",IFERROR(H838/G838,""))</f>
        <v/>
      </c>
      <c r="N838" s="30" t="str">
        <f aca="false">IF($E838="","",IFERROR(E838/H838,"—"))</f>
        <v/>
      </c>
      <c r="O838" s="30" t="str">
        <f aca="false">IF($E838="","",IFERROR(INDEX('Гео-калькулятор'!$K$7:$K$13,MATCH($C838,'Гео-калькулятор'!$B$7:$B$13,0)),""))</f>
        <v/>
      </c>
      <c r="P838" s="38" t="str">
        <f aca="false">IF($E838="","",IFERROR(N838/O838,""))</f>
        <v/>
      </c>
      <c r="Q838" s="39" t="str">
        <f aca="false">IF($E838="","",IF($I838&lt;&gt;"",$I838,N($H838)*IFERROR(INDEX('Гео-калькулятор'!$E$7:$E$13,MATCH($C838,'Гео-калькулятор'!$B$7:$B$13,0)),0)))</f>
        <v/>
      </c>
      <c r="R838" s="38" t="str">
        <f aca="false">IF($E838="","",IFERROR(Q838/H838,""))</f>
        <v/>
      </c>
      <c r="S838" s="30" t="str">
        <f aca="false">IF($E838="","",IFERROR(E838/Q838,"—"))</f>
        <v/>
      </c>
      <c r="T838" s="30" t="str">
        <f aca="false">IF($E838="","",Q838*IFERROR(INDEX('Гео-калькулятор'!$D$7:$D$13,MATCH($C838,'Гео-калькулятор'!$B$7:$B$13,0)),0))</f>
        <v/>
      </c>
      <c r="U838" s="40" t="str">
        <f aca="false">IF($E838="","",T838-E838)</f>
        <v/>
      </c>
      <c r="V838" s="41" t="str">
        <f aca="false">IF($E838="","",IFERROR(U838/E838,""))</f>
        <v/>
      </c>
      <c r="W838" s="10" t="str">
        <f aca="false">IF($E838="","",IF($I838&lt;&gt;"","факт","прогноз"))</f>
        <v/>
      </c>
      <c r="X838" s="1"/>
      <c r="Y838" s="1"/>
      <c r="Z838" s="1"/>
      <c r="AA838" s="1"/>
      <c r="AB838" s="1"/>
      <c r="AC838" s="1"/>
      <c r="AD838" s="1"/>
    </row>
    <row r="839" customFormat="false" ht="18" hidden="false" customHeight="true" outlineLevel="0" collapsed="false">
      <c r="A839" s="1"/>
      <c r="B839" s="35"/>
      <c r="C839" s="8"/>
      <c r="D839" s="26"/>
      <c r="E839" s="27"/>
      <c r="F839" s="36"/>
      <c r="G839" s="36"/>
      <c r="H839" s="36"/>
      <c r="I839" s="36"/>
      <c r="J839" s="37" t="str">
        <f aca="false">IF($E839="","",IFERROR(G839/F839,""))</f>
        <v/>
      </c>
      <c r="K839" s="30" t="str">
        <f aca="false">IF($E839="","",IFERROR(E839/G839,""))</f>
        <v/>
      </c>
      <c r="L839" s="30" t="str">
        <f aca="false">IF($E839="","",IFERROR(E839/F839*1000,""))</f>
        <v/>
      </c>
      <c r="M839" s="37" t="str">
        <f aca="false">IF($E839="","",IFERROR(H839/G839,""))</f>
        <v/>
      </c>
      <c r="N839" s="30" t="str">
        <f aca="false">IF($E839="","",IFERROR(E839/H839,"—"))</f>
        <v/>
      </c>
      <c r="O839" s="30" t="str">
        <f aca="false">IF($E839="","",IFERROR(INDEX('Гео-калькулятор'!$K$7:$K$13,MATCH($C839,'Гео-калькулятор'!$B$7:$B$13,0)),""))</f>
        <v/>
      </c>
      <c r="P839" s="38" t="str">
        <f aca="false">IF($E839="","",IFERROR(N839/O839,""))</f>
        <v/>
      </c>
      <c r="Q839" s="39" t="str">
        <f aca="false">IF($E839="","",IF($I839&lt;&gt;"",$I839,N($H839)*IFERROR(INDEX('Гео-калькулятор'!$E$7:$E$13,MATCH($C839,'Гео-калькулятор'!$B$7:$B$13,0)),0)))</f>
        <v/>
      </c>
      <c r="R839" s="38" t="str">
        <f aca="false">IF($E839="","",IFERROR(Q839/H839,""))</f>
        <v/>
      </c>
      <c r="S839" s="30" t="str">
        <f aca="false">IF($E839="","",IFERROR(E839/Q839,"—"))</f>
        <v/>
      </c>
      <c r="T839" s="30" t="str">
        <f aca="false">IF($E839="","",Q839*IFERROR(INDEX('Гео-калькулятор'!$D$7:$D$13,MATCH($C839,'Гео-калькулятор'!$B$7:$B$13,0)),0))</f>
        <v/>
      </c>
      <c r="U839" s="40" t="str">
        <f aca="false">IF($E839="","",T839-E839)</f>
        <v/>
      </c>
      <c r="V839" s="41" t="str">
        <f aca="false">IF($E839="","",IFERROR(U839/E839,""))</f>
        <v/>
      </c>
      <c r="W839" s="10" t="str">
        <f aca="false">IF($E839="","",IF($I839&lt;&gt;"","факт","прогноз"))</f>
        <v/>
      </c>
      <c r="X839" s="1"/>
      <c r="Y839" s="1"/>
      <c r="Z839" s="1"/>
      <c r="AA839" s="1"/>
      <c r="AB839" s="1"/>
      <c r="AC839" s="1"/>
      <c r="AD839" s="1"/>
    </row>
    <row r="840" customFormat="false" ht="18" hidden="false" customHeight="true" outlineLevel="0" collapsed="false">
      <c r="A840" s="1"/>
      <c r="B840" s="35"/>
      <c r="C840" s="8"/>
      <c r="D840" s="26"/>
      <c r="E840" s="27"/>
      <c r="F840" s="36"/>
      <c r="G840" s="36"/>
      <c r="H840" s="36"/>
      <c r="I840" s="36"/>
      <c r="J840" s="37" t="str">
        <f aca="false">IF($E840="","",IFERROR(G840/F840,""))</f>
        <v/>
      </c>
      <c r="K840" s="30" t="str">
        <f aca="false">IF($E840="","",IFERROR(E840/G840,""))</f>
        <v/>
      </c>
      <c r="L840" s="30" t="str">
        <f aca="false">IF($E840="","",IFERROR(E840/F840*1000,""))</f>
        <v/>
      </c>
      <c r="M840" s="37" t="str">
        <f aca="false">IF($E840="","",IFERROR(H840/G840,""))</f>
        <v/>
      </c>
      <c r="N840" s="30" t="str">
        <f aca="false">IF($E840="","",IFERROR(E840/H840,"—"))</f>
        <v/>
      </c>
      <c r="O840" s="30" t="str">
        <f aca="false">IF($E840="","",IFERROR(INDEX('Гео-калькулятор'!$K$7:$K$13,MATCH($C840,'Гео-калькулятор'!$B$7:$B$13,0)),""))</f>
        <v/>
      </c>
      <c r="P840" s="38" t="str">
        <f aca="false">IF($E840="","",IFERROR(N840/O840,""))</f>
        <v/>
      </c>
      <c r="Q840" s="39" t="str">
        <f aca="false">IF($E840="","",IF($I840&lt;&gt;"",$I840,N($H840)*IFERROR(INDEX('Гео-калькулятор'!$E$7:$E$13,MATCH($C840,'Гео-калькулятор'!$B$7:$B$13,0)),0)))</f>
        <v/>
      </c>
      <c r="R840" s="38" t="str">
        <f aca="false">IF($E840="","",IFERROR(Q840/H840,""))</f>
        <v/>
      </c>
      <c r="S840" s="30" t="str">
        <f aca="false">IF($E840="","",IFERROR(E840/Q840,"—"))</f>
        <v/>
      </c>
      <c r="T840" s="30" t="str">
        <f aca="false">IF($E840="","",Q840*IFERROR(INDEX('Гео-калькулятор'!$D$7:$D$13,MATCH($C840,'Гео-калькулятор'!$B$7:$B$13,0)),0))</f>
        <v/>
      </c>
      <c r="U840" s="40" t="str">
        <f aca="false">IF($E840="","",T840-E840)</f>
        <v/>
      </c>
      <c r="V840" s="41" t="str">
        <f aca="false">IF($E840="","",IFERROR(U840/E840,""))</f>
        <v/>
      </c>
      <c r="W840" s="10" t="str">
        <f aca="false">IF($E840="","",IF($I840&lt;&gt;"","факт","прогноз"))</f>
        <v/>
      </c>
      <c r="X840" s="1"/>
      <c r="Y840" s="1"/>
      <c r="Z840" s="1"/>
      <c r="AA840" s="1"/>
      <c r="AB840" s="1"/>
      <c r="AC840" s="1"/>
      <c r="AD840" s="1"/>
    </row>
    <row r="841" customFormat="false" ht="18" hidden="false" customHeight="true" outlineLevel="0" collapsed="false">
      <c r="A841" s="1"/>
      <c r="B841" s="35"/>
      <c r="C841" s="8"/>
      <c r="D841" s="26"/>
      <c r="E841" s="27"/>
      <c r="F841" s="36"/>
      <c r="G841" s="36"/>
      <c r="H841" s="36"/>
      <c r="I841" s="36"/>
      <c r="J841" s="37" t="str">
        <f aca="false">IF($E841="","",IFERROR(G841/F841,""))</f>
        <v/>
      </c>
      <c r="K841" s="30" t="str">
        <f aca="false">IF($E841="","",IFERROR(E841/G841,""))</f>
        <v/>
      </c>
      <c r="L841" s="30" t="str">
        <f aca="false">IF($E841="","",IFERROR(E841/F841*1000,""))</f>
        <v/>
      </c>
      <c r="M841" s="37" t="str">
        <f aca="false">IF($E841="","",IFERROR(H841/G841,""))</f>
        <v/>
      </c>
      <c r="N841" s="30" t="str">
        <f aca="false">IF($E841="","",IFERROR(E841/H841,"—"))</f>
        <v/>
      </c>
      <c r="O841" s="30" t="str">
        <f aca="false">IF($E841="","",IFERROR(INDEX('Гео-калькулятор'!$K$7:$K$13,MATCH($C841,'Гео-калькулятор'!$B$7:$B$13,0)),""))</f>
        <v/>
      </c>
      <c r="P841" s="38" t="str">
        <f aca="false">IF($E841="","",IFERROR(N841/O841,""))</f>
        <v/>
      </c>
      <c r="Q841" s="39" t="str">
        <f aca="false">IF($E841="","",IF($I841&lt;&gt;"",$I841,N($H841)*IFERROR(INDEX('Гео-калькулятор'!$E$7:$E$13,MATCH($C841,'Гео-калькулятор'!$B$7:$B$13,0)),0)))</f>
        <v/>
      </c>
      <c r="R841" s="38" t="str">
        <f aca="false">IF($E841="","",IFERROR(Q841/H841,""))</f>
        <v/>
      </c>
      <c r="S841" s="30" t="str">
        <f aca="false">IF($E841="","",IFERROR(E841/Q841,"—"))</f>
        <v/>
      </c>
      <c r="T841" s="30" t="str">
        <f aca="false">IF($E841="","",Q841*IFERROR(INDEX('Гео-калькулятор'!$D$7:$D$13,MATCH($C841,'Гео-калькулятор'!$B$7:$B$13,0)),0))</f>
        <v/>
      </c>
      <c r="U841" s="40" t="str">
        <f aca="false">IF($E841="","",T841-E841)</f>
        <v/>
      </c>
      <c r="V841" s="41" t="str">
        <f aca="false">IF($E841="","",IFERROR(U841/E841,""))</f>
        <v/>
      </c>
      <c r="W841" s="10" t="str">
        <f aca="false">IF($E841="","",IF($I841&lt;&gt;"","факт","прогноз"))</f>
        <v/>
      </c>
      <c r="X841" s="1"/>
      <c r="Y841" s="1"/>
      <c r="Z841" s="1"/>
      <c r="AA841" s="1"/>
      <c r="AB841" s="1"/>
      <c r="AC841" s="1"/>
      <c r="AD841" s="1"/>
    </row>
    <row r="842" customFormat="false" ht="18" hidden="false" customHeight="true" outlineLevel="0" collapsed="false">
      <c r="A842" s="1"/>
      <c r="B842" s="35"/>
      <c r="C842" s="8"/>
      <c r="D842" s="26"/>
      <c r="E842" s="27"/>
      <c r="F842" s="36"/>
      <c r="G842" s="36"/>
      <c r="H842" s="36"/>
      <c r="I842" s="36"/>
      <c r="J842" s="37" t="str">
        <f aca="false">IF($E842="","",IFERROR(G842/F842,""))</f>
        <v/>
      </c>
      <c r="K842" s="30" t="str">
        <f aca="false">IF($E842="","",IFERROR(E842/G842,""))</f>
        <v/>
      </c>
      <c r="L842" s="30" t="str">
        <f aca="false">IF($E842="","",IFERROR(E842/F842*1000,""))</f>
        <v/>
      </c>
      <c r="M842" s="37" t="str">
        <f aca="false">IF($E842="","",IFERROR(H842/G842,""))</f>
        <v/>
      </c>
      <c r="N842" s="30" t="str">
        <f aca="false">IF($E842="","",IFERROR(E842/H842,"—"))</f>
        <v/>
      </c>
      <c r="O842" s="30" t="str">
        <f aca="false">IF($E842="","",IFERROR(INDEX('Гео-калькулятор'!$K$7:$K$13,MATCH($C842,'Гео-калькулятор'!$B$7:$B$13,0)),""))</f>
        <v/>
      </c>
      <c r="P842" s="38" t="str">
        <f aca="false">IF($E842="","",IFERROR(N842/O842,""))</f>
        <v/>
      </c>
      <c r="Q842" s="39" t="str">
        <f aca="false">IF($E842="","",IF($I842&lt;&gt;"",$I842,N($H842)*IFERROR(INDEX('Гео-калькулятор'!$E$7:$E$13,MATCH($C842,'Гео-калькулятор'!$B$7:$B$13,0)),0)))</f>
        <v/>
      </c>
      <c r="R842" s="38" t="str">
        <f aca="false">IF($E842="","",IFERROR(Q842/H842,""))</f>
        <v/>
      </c>
      <c r="S842" s="30" t="str">
        <f aca="false">IF($E842="","",IFERROR(E842/Q842,"—"))</f>
        <v/>
      </c>
      <c r="T842" s="30" t="str">
        <f aca="false">IF($E842="","",Q842*IFERROR(INDEX('Гео-калькулятор'!$D$7:$D$13,MATCH($C842,'Гео-калькулятор'!$B$7:$B$13,0)),0))</f>
        <v/>
      </c>
      <c r="U842" s="40" t="str">
        <f aca="false">IF($E842="","",T842-E842)</f>
        <v/>
      </c>
      <c r="V842" s="41" t="str">
        <f aca="false">IF($E842="","",IFERROR(U842/E842,""))</f>
        <v/>
      </c>
      <c r="W842" s="10" t="str">
        <f aca="false">IF($E842="","",IF($I842&lt;&gt;"","факт","прогноз"))</f>
        <v/>
      </c>
      <c r="X842" s="1"/>
      <c r="Y842" s="1"/>
      <c r="Z842" s="1"/>
      <c r="AA842" s="1"/>
      <c r="AB842" s="1"/>
      <c r="AC842" s="1"/>
      <c r="AD842" s="1"/>
    </row>
    <row r="843" customFormat="false" ht="18" hidden="false" customHeight="true" outlineLevel="0" collapsed="false">
      <c r="A843" s="1"/>
      <c r="B843" s="35"/>
      <c r="C843" s="8"/>
      <c r="D843" s="26"/>
      <c r="E843" s="27"/>
      <c r="F843" s="36"/>
      <c r="G843" s="36"/>
      <c r="H843" s="36"/>
      <c r="I843" s="36"/>
      <c r="J843" s="37" t="str">
        <f aca="false">IF($E843="","",IFERROR(G843/F843,""))</f>
        <v/>
      </c>
      <c r="K843" s="30" t="str">
        <f aca="false">IF($E843="","",IFERROR(E843/G843,""))</f>
        <v/>
      </c>
      <c r="L843" s="30" t="str">
        <f aca="false">IF($E843="","",IFERROR(E843/F843*1000,""))</f>
        <v/>
      </c>
      <c r="M843" s="37" t="str">
        <f aca="false">IF($E843="","",IFERROR(H843/G843,""))</f>
        <v/>
      </c>
      <c r="N843" s="30" t="str">
        <f aca="false">IF($E843="","",IFERROR(E843/H843,"—"))</f>
        <v/>
      </c>
      <c r="O843" s="30" t="str">
        <f aca="false">IF($E843="","",IFERROR(INDEX('Гео-калькулятор'!$K$7:$K$13,MATCH($C843,'Гео-калькулятор'!$B$7:$B$13,0)),""))</f>
        <v/>
      </c>
      <c r="P843" s="38" t="str">
        <f aca="false">IF($E843="","",IFERROR(N843/O843,""))</f>
        <v/>
      </c>
      <c r="Q843" s="39" t="str">
        <f aca="false">IF($E843="","",IF($I843&lt;&gt;"",$I843,N($H843)*IFERROR(INDEX('Гео-калькулятор'!$E$7:$E$13,MATCH($C843,'Гео-калькулятор'!$B$7:$B$13,0)),0)))</f>
        <v/>
      </c>
      <c r="R843" s="38" t="str">
        <f aca="false">IF($E843="","",IFERROR(Q843/H843,""))</f>
        <v/>
      </c>
      <c r="S843" s="30" t="str">
        <f aca="false">IF($E843="","",IFERROR(E843/Q843,"—"))</f>
        <v/>
      </c>
      <c r="T843" s="30" t="str">
        <f aca="false">IF($E843="","",Q843*IFERROR(INDEX('Гео-калькулятор'!$D$7:$D$13,MATCH($C843,'Гео-калькулятор'!$B$7:$B$13,0)),0))</f>
        <v/>
      </c>
      <c r="U843" s="40" t="str">
        <f aca="false">IF($E843="","",T843-E843)</f>
        <v/>
      </c>
      <c r="V843" s="41" t="str">
        <f aca="false">IF($E843="","",IFERROR(U843/E843,""))</f>
        <v/>
      </c>
      <c r="W843" s="10" t="str">
        <f aca="false">IF($E843="","",IF($I843&lt;&gt;"","факт","прогноз"))</f>
        <v/>
      </c>
      <c r="X843" s="1"/>
      <c r="Y843" s="1"/>
      <c r="Z843" s="1"/>
      <c r="AA843" s="1"/>
      <c r="AB843" s="1"/>
      <c r="AC843" s="1"/>
      <c r="AD843" s="1"/>
    </row>
    <row r="844" customFormat="false" ht="18" hidden="false" customHeight="true" outlineLevel="0" collapsed="false">
      <c r="A844" s="1"/>
      <c r="B844" s="35"/>
      <c r="C844" s="8"/>
      <c r="D844" s="26"/>
      <c r="E844" s="27"/>
      <c r="F844" s="36"/>
      <c r="G844" s="36"/>
      <c r="H844" s="36"/>
      <c r="I844" s="36"/>
      <c r="J844" s="37" t="str">
        <f aca="false">IF($E844="","",IFERROR(G844/F844,""))</f>
        <v/>
      </c>
      <c r="K844" s="30" t="str">
        <f aca="false">IF($E844="","",IFERROR(E844/G844,""))</f>
        <v/>
      </c>
      <c r="L844" s="30" t="str">
        <f aca="false">IF($E844="","",IFERROR(E844/F844*1000,""))</f>
        <v/>
      </c>
      <c r="M844" s="37" t="str">
        <f aca="false">IF($E844="","",IFERROR(H844/G844,""))</f>
        <v/>
      </c>
      <c r="N844" s="30" t="str">
        <f aca="false">IF($E844="","",IFERROR(E844/H844,"—"))</f>
        <v/>
      </c>
      <c r="O844" s="30" t="str">
        <f aca="false">IF($E844="","",IFERROR(INDEX('Гео-калькулятор'!$K$7:$K$13,MATCH($C844,'Гео-калькулятор'!$B$7:$B$13,0)),""))</f>
        <v/>
      </c>
      <c r="P844" s="38" t="str">
        <f aca="false">IF($E844="","",IFERROR(N844/O844,""))</f>
        <v/>
      </c>
      <c r="Q844" s="39" t="str">
        <f aca="false">IF($E844="","",IF($I844&lt;&gt;"",$I844,N($H844)*IFERROR(INDEX('Гео-калькулятор'!$E$7:$E$13,MATCH($C844,'Гео-калькулятор'!$B$7:$B$13,0)),0)))</f>
        <v/>
      </c>
      <c r="R844" s="38" t="str">
        <f aca="false">IF($E844="","",IFERROR(Q844/H844,""))</f>
        <v/>
      </c>
      <c r="S844" s="30" t="str">
        <f aca="false">IF($E844="","",IFERROR(E844/Q844,"—"))</f>
        <v/>
      </c>
      <c r="T844" s="30" t="str">
        <f aca="false">IF($E844="","",Q844*IFERROR(INDEX('Гео-калькулятор'!$D$7:$D$13,MATCH($C844,'Гео-калькулятор'!$B$7:$B$13,0)),0))</f>
        <v/>
      </c>
      <c r="U844" s="40" t="str">
        <f aca="false">IF($E844="","",T844-E844)</f>
        <v/>
      </c>
      <c r="V844" s="41" t="str">
        <f aca="false">IF($E844="","",IFERROR(U844/E844,""))</f>
        <v/>
      </c>
      <c r="W844" s="10" t="str">
        <f aca="false">IF($E844="","",IF($I844&lt;&gt;"","факт","прогноз"))</f>
        <v/>
      </c>
      <c r="X844" s="1"/>
      <c r="Y844" s="1"/>
      <c r="Z844" s="1"/>
      <c r="AA844" s="1"/>
      <c r="AB844" s="1"/>
      <c r="AC844" s="1"/>
      <c r="AD844" s="1"/>
    </row>
    <row r="845" customFormat="false" ht="18" hidden="false" customHeight="true" outlineLevel="0" collapsed="false">
      <c r="A845" s="1"/>
      <c r="B845" s="35"/>
      <c r="C845" s="8"/>
      <c r="D845" s="26"/>
      <c r="E845" s="27"/>
      <c r="F845" s="36"/>
      <c r="G845" s="36"/>
      <c r="H845" s="36"/>
      <c r="I845" s="36"/>
      <c r="J845" s="37" t="str">
        <f aca="false">IF($E845="","",IFERROR(G845/F845,""))</f>
        <v/>
      </c>
      <c r="K845" s="30" t="str">
        <f aca="false">IF($E845="","",IFERROR(E845/G845,""))</f>
        <v/>
      </c>
      <c r="L845" s="30" t="str">
        <f aca="false">IF($E845="","",IFERROR(E845/F845*1000,""))</f>
        <v/>
      </c>
      <c r="M845" s="37" t="str">
        <f aca="false">IF($E845="","",IFERROR(H845/G845,""))</f>
        <v/>
      </c>
      <c r="N845" s="30" t="str">
        <f aca="false">IF($E845="","",IFERROR(E845/H845,"—"))</f>
        <v/>
      </c>
      <c r="O845" s="30" t="str">
        <f aca="false">IF($E845="","",IFERROR(INDEX('Гео-калькулятор'!$K$7:$K$13,MATCH($C845,'Гео-калькулятор'!$B$7:$B$13,0)),""))</f>
        <v/>
      </c>
      <c r="P845" s="38" t="str">
        <f aca="false">IF($E845="","",IFERROR(N845/O845,""))</f>
        <v/>
      </c>
      <c r="Q845" s="39" t="str">
        <f aca="false">IF($E845="","",IF($I845&lt;&gt;"",$I845,N($H845)*IFERROR(INDEX('Гео-калькулятор'!$E$7:$E$13,MATCH($C845,'Гео-калькулятор'!$B$7:$B$13,0)),0)))</f>
        <v/>
      </c>
      <c r="R845" s="38" t="str">
        <f aca="false">IF($E845="","",IFERROR(Q845/H845,""))</f>
        <v/>
      </c>
      <c r="S845" s="30" t="str">
        <f aca="false">IF($E845="","",IFERROR(E845/Q845,"—"))</f>
        <v/>
      </c>
      <c r="T845" s="30" t="str">
        <f aca="false">IF($E845="","",Q845*IFERROR(INDEX('Гео-калькулятор'!$D$7:$D$13,MATCH($C845,'Гео-калькулятор'!$B$7:$B$13,0)),0))</f>
        <v/>
      </c>
      <c r="U845" s="40" t="str">
        <f aca="false">IF($E845="","",T845-E845)</f>
        <v/>
      </c>
      <c r="V845" s="41" t="str">
        <f aca="false">IF($E845="","",IFERROR(U845/E845,""))</f>
        <v/>
      </c>
      <c r="W845" s="10" t="str">
        <f aca="false">IF($E845="","",IF($I845&lt;&gt;"","факт","прогноз"))</f>
        <v/>
      </c>
      <c r="X845" s="1"/>
      <c r="Y845" s="1"/>
      <c r="Z845" s="1"/>
      <c r="AA845" s="1"/>
      <c r="AB845" s="1"/>
      <c r="AC845" s="1"/>
      <c r="AD845" s="1"/>
    </row>
    <row r="846" customFormat="false" ht="18" hidden="false" customHeight="true" outlineLevel="0" collapsed="false">
      <c r="A846" s="1"/>
      <c r="B846" s="35"/>
      <c r="C846" s="8"/>
      <c r="D846" s="26"/>
      <c r="E846" s="27"/>
      <c r="F846" s="36"/>
      <c r="G846" s="36"/>
      <c r="H846" s="36"/>
      <c r="I846" s="36"/>
      <c r="J846" s="37" t="str">
        <f aca="false">IF($E846="","",IFERROR(G846/F846,""))</f>
        <v/>
      </c>
      <c r="K846" s="30" t="str">
        <f aca="false">IF($E846="","",IFERROR(E846/G846,""))</f>
        <v/>
      </c>
      <c r="L846" s="30" t="str">
        <f aca="false">IF($E846="","",IFERROR(E846/F846*1000,""))</f>
        <v/>
      </c>
      <c r="M846" s="37" t="str">
        <f aca="false">IF($E846="","",IFERROR(H846/G846,""))</f>
        <v/>
      </c>
      <c r="N846" s="30" t="str">
        <f aca="false">IF($E846="","",IFERROR(E846/H846,"—"))</f>
        <v/>
      </c>
      <c r="O846" s="30" t="str">
        <f aca="false">IF($E846="","",IFERROR(INDEX('Гео-калькулятор'!$K$7:$K$13,MATCH($C846,'Гео-калькулятор'!$B$7:$B$13,0)),""))</f>
        <v/>
      </c>
      <c r="P846" s="38" t="str">
        <f aca="false">IF($E846="","",IFERROR(N846/O846,""))</f>
        <v/>
      </c>
      <c r="Q846" s="39" t="str">
        <f aca="false">IF($E846="","",IF($I846&lt;&gt;"",$I846,N($H846)*IFERROR(INDEX('Гео-калькулятор'!$E$7:$E$13,MATCH($C846,'Гео-калькулятор'!$B$7:$B$13,0)),0)))</f>
        <v/>
      </c>
      <c r="R846" s="38" t="str">
        <f aca="false">IF($E846="","",IFERROR(Q846/H846,""))</f>
        <v/>
      </c>
      <c r="S846" s="30" t="str">
        <f aca="false">IF($E846="","",IFERROR(E846/Q846,"—"))</f>
        <v/>
      </c>
      <c r="T846" s="30" t="str">
        <f aca="false">IF($E846="","",Q846*IFERROR(INDEX('Гео-калькулятор'!$D$7:$D$13,MATCH($C846,'Гео-калькулятор'!$B$7:$B$13,0)),0))</f>
        <v/>
      </c>
      <c r="U846" s="40" t="str">
        <f aca="false">IF($E846="","",T846-E846)</f>
        <v/>
      </c>
      <c r="V846" s="41" t="str">
        <f aca="false">IF($E846="","",IFERROR(U846/E846,""))</f>
        <v/>
      </c>
      <c r="W846" s="10" t="str">
        <f aca="false">IF($E846="","",IF($I846&lt;&gt;"","факт","прогноз"))</f>
        <v/>
      </c>
      <c r="X846" s="1"/>
      <c r="Y846" s="1"/>
      <c r="Z846" s="1"/>
      <c r="AA846" s="1"/>
      <c r="AB846" s="1"/>
      <c r="AC846" s="1"/>
      <c r="AD846" s="1"/>
    </row>
    <row r="847" customFormat="false" ht="18" hidden="false" customHeight="true" outlineLevel="0" collapsed="false">
      <c r="A847" s="1"/>
      <c r="B847" s="35"/>
      <c r="C847" s="8"/>
      <c r="D847" s="26"/>
      <c r="E847" s="27"/>
      <c r="F847" s="36"/>
      <c r="G847" s="36"/>
      <c r="H847" s="36"/>
      <c r="I847" s="36"/>
      <c r="J847" s="37" t="str">
        <f aca="false">IF($E847="","",IFERROR(G847/F847,""))</f>
        <v/>
      </c>
      <c r="K847" s="30" t="str">
        <f aca="false">IF($E847="","",IFERROR(E847/G847,""))</f>
        <v/>
      </c>
      <c r="L847" s="30" t="str">
        <f aca="false">IF($E847="","",IFERROR(E847/F847*1000,""))</f>
        <v/>
      </c>
      <c r="M847" s="37" t="str">
        <f aca="false">IF($E847="","",IFERROR(H847/G847,""))</f>
        <v/>
      </c>
      <c r="N847" s="30" t="str">
        <f aca="false">IF($E847="","",IFERROR(E847/H847,"—"))</f>
        <v/>
      </c>
      <c r="O847" s="30" t="str">
        <f aca="false">IF($E847="","",IFERROR(INDEX('Гео-калькулятор'!$K$7:$K$13,MATCH($C847,'Гео-калькулятор'!$B$7:$B$13,0)),""))</f>
        <v/>
      </c>
      <c r="P847" s="38" t="str">
        <f aca="false">IF($E847="","",IFERROR(N847/O847,""))</f>
        <v/>
      </c>
      <c r="Q847" s="39" t="str">
        <f aca="false">IF($E847="","",IF($I847&lt;&gt;"",$I847,N($H847)*IFERROR(INDEX('Гео-калькулятор'!$E$7:$E$13,MATCH($C847,'Гео-калькулятор'!$B$7:$B$13,0)),0)))</f>
        <v/>
      </c>
      <c r="R847" s="38" t="str">
        <f aca="false">IF($E847="","",IFERROR(Q847/H847,""))</f>
        <v/>
      </c>
      <c r="S847" s="30" t="str">
        <f aca="false">IF($E847="","",IFERROR(E847/Q847,"—"))</f>
        <v/>
      </c>
      <c r="T847" s="30" t="str">
        <f aca="false">IF($E847="","",Q847*IFERROR(INDEX('Гео-калькулятор'!$D$7:$D$13,MATCH($C847,'Гео-калькулятор'!$B$7:$B$13,0)),0))</f>
        <v/>
      </c>
      <c r="U847" s="40" t="str">
        <f aca="false">IF($E847="","",T847-E847)</f>
        <v/>
      </c>
      <c r="V847" s="41" t="str">
        <f aca="false">IF($E847="","",IFERROR(U847/E847,""))</f>
        <v/>
      </c>
      <c r="W847" s="10" t="str">
        <f aca="false">IF($E847="","",IF($I847&lt;&gt;"","факт","прогноз"))</f>
        <v/>
      </c>
      <c r="X847" s="1"/>
      <c r="Y847" s="1"/>
      <c r="Z847" s="1"/>
      <c r="AA847" s="1"/>
      <c r="AB847" s="1"/>
      <c r="AC847" s="1"/>
      <c r="AD847" s="1"/>
    </row>
    <row r="848" customFormat="false" ht="18" hidden="false" customHeight="true" outlineLevel="0" collapsed="false">
      <c r="A848" s="1"/>
      <c r="B848" s="35"/>
      <c r="C848" s="8"/>
      <c r="D848" s="26"/>
      <c r="E848" s="27"/>
      <c r="F848" s="36"/>
      <c r="G848" s="36"/>
      <c r="H848" s="36"/>
      <c r="I848" s="36"/>
      <c r="J848" s="37" t="str">
        <f aca="false">IF($E848="","",IFERROR(G848/F848,""))</f>
        <v/>
      </c>
      <c r="K848" s="30" t="str">
        <f aca="false">IF($E848="","",IFERROR(E848/G848,""))</f>
        <v/>
      </c>
      <c r="L848" s="30" t="str">
        <f aca="false">IF($E848="","",IFERROR(E848/F848*1000,""))</f>
        <v/>
      </c>
      <c r="M848" s="37" t="str">
        <f aca="false">IF($E848="","",IFERROR(H848/G848,""))</f>
        <v/>
      </c>
      <c r="N848" s="30" t="str">
        <f aca="false">IF($E848="","",IFERROR(E848/H848,"—"))</f>
        <v/>
      </c>
      <c r="O848" s="30" t="str">
        <f aca="false">IF($E848="","",IFERROR(INDEX('Гео-калькулятор'!$K$7:$K$13,MATCH($C848,'Гео-калькулятор'!$B$7:$B$13,0)),""))</f>
        <v/>
      </c>
      <c r="P848" s="38" t="str">
        <f aca="false">IF($E848="","",IFERROR(N848/O848,""))</f>
        <v/>
      </c>
      <c r="Q848" s="39" t="str">
        <f aca="false">IF($E848="","",IF($I848&lt;&gt;"",$I848,N($H848)*IFERROR(INDEX('Гео-калькулятор'!$E$7:$E$13,MATCH($C848,'Гео-калькулятор'!$B$7:$B$13,0)),0)))</f>
        <v/>
      </c>
      <c r="R848" s="38" t="str">
        <f aca="false">IF($E848="","",IFERROR(Q848/H848,""))</f>
        <v/>
      </c>
      <c r="S848" s="30" t="str">
        <f aca="false">IF($E848="","",IFERROR(E848/Q848,"—"))</f>
        <v/>
      </c>
      <c r="T848" s="30" t="str">
        <f aca="false">IF($E848="","",Q848*IFERROR(INDEX('Гео-калькулятор'!$D$7:$D$13,MATCH($C848,'Гео-калькулятор'!$B$7:$B$13,0)),0))</f>
        <v/>
      </c>
      <c r="U848" s="40" t="str">
        <f aca="false">IF($E848="","",T848-E848)</f>
        <v/>
      </c>
      <c r="V848" s="41" t="str">
        <f aca="false">IF($E848="","",IFERROR(U848/E848,""))</f>
        <v/>
      </c>
      <c r="W848" s="10" t="str">
        <f aca="false">IF($E848="","",IF($I848&lt;&gt;"","факт","прогноз"))</f>
        <v/>
      </c>
      <c r="X848" s="1"/>
      <c r="Y848" s="1"/>
      <c r="Z848" s="1"/>
      <c r="AA848" s="1"/>
      <c r="AB848" s="1"/>
      <c r="AC848" s="1"/>
      <c r="AD848" s="1"/>
    </row>
    <row r="849" customFormat="false" ht="18" hidden="false" customHeight="true" outlineLevel="0" collapsed="false">
      <c r="A849" s="1"/>
      <c r="B849" s="35"/>
      <c r="C849" s="8"/>
      <c r="D849" s="26"/>
      <c r="E849" s="27"/>
      <c r="F849" s="36"/>
      <c r="G849" s="36"/>
      <c r="H849" s="36"/>
      <c r="I849" s="36"/>
      <c r="J849" s="37" t="str">
        <f aca="false">IF($E849="","",IFERROR(G849/F849,""))</f>
        <v/>
      </c>
      <c r="K849" s="30" t="str">
        <f aca="false">IF($E849="","",IFERROR(E849/G849,""))</f>
        <v/>
      </c>
      <c r="L849" s="30" t="str">
        <f aca="false">IF($E849="","",IFERROR(E849/F849*1000,""))</f>
        <v/>
      </c>
      <c r="M849" s="37" t="str">
        <f aca="false">IF($E849="","",IFERROR(H849/G849,""))</f>
        <v/>
      </c>
      <c r="N849" s="30" t="str">
        <f aca="false">IF($E849="","",IFERROR(E849/H849,"—"))</f>
        <v/>
      </c>
      <c r="O849" s="30" t="str">
        <f aca="false">IF($E849="","",IFERROR(INDEX('Гео-калькулятор'!$K$7:$K$13,MATCH($C849,'Гео-калькулятор'!$B$7:$B$13,0)),""))</f>
        <v/>
      </c>
      <c r="P849" s="38" t="str">
        <f aca="false">IF($E849="","",IFERROR(N849/O849,""))</f>
        <v/>
      </c>
      <c r="Q849" s="39" t="str">
        <f aca="false">IF($E849="","",IF($I849&lt;&gt;"",$I849,N($H849)*IFERROR(INDEX('Гео-калькулятор'!$E$7:$E$13,MATCH($C849,'Гео-калькулятор'!$B$7:$B$13,0)),0)))</f>
        <v/>
      </c>
      <c r="R849" s="38" t="str">
        <f aca="false">IF($E849="","",IFERROR(Q849/H849,""))</f>
        <v/>
      </c>
      <c r="S849" s="30" t="str">
        <f aca="false">IF($E849="","",IFERROR(E849/Q849,"—"))</f>
        <v/>
      </c>
      <c r="T849" s="30" t="str">
        <f aca="false">IF($E849="","",Q849*IFERROR(INDEX('Гео-калькулятор'!$D$7:$D$13,MATCH($C849,'Гео-калькулятор'!$B$7:$B$13,0)),0))</f>
        <v/>
      </c>
      <c r="U849" s="40" t="str">
        <f aca="false">IF($E849="","",T849-E849)</f>
        <v/>
      </c>
      <c r="V849" s="41" t="str">
        <f aca="false">IF($E849="","",IFERROR(U849/E849,""))</f>
        <v/>
      </c>
      <c r="W849" s="10" t="str">
        <f aca="false">IF($E849="","",IF($I849&lt;&gt;"","факт","прогноз"))</f>
        <v/>
      </c>
      <c r="X849" s="1"/>
      <c r="Y849" s="1"/>
      <c r="Z849" s="1"/>
      <c r="AA849" s="1"/>
      <c r="AB849" s="1"/>
      <c r="AC849" s="1"/>
      <c r="AD849" s="1"/>
    </row>
    <row r="850" customFormat="false" ht="18" hidden="false" customHeight="true" outlineLevel="0" collapsed="false">
      <c r="A850" s="1"/>
      <c r="B850" s="35"/>
      <c r="C850" s="8"/>
      <c r="D850" s="26"/>
      <c r="E850" s="27"/>
      <c r="F850" s="36"/>
      <c r="G850" s="36"/>
      <c r="H850" s="36"/>
      <c r="I850" s="36"/>
      <c r="J850" s="37" t="str">
        <f aca="false">IF($E850="","",IFERROR(G850/F850,""))</f>
        <v/>
      </c>
      <c r="K850" s="30" t="str">
        <f aca="false">IF($E850="","",IFERROR(E850/G850,""))</f>
        <v/>
      </c>
      <c r="L850" s="30" t="str">
        <f aca="false">IF($E850="","",IFERROR(E850/F850*1000,""))</f>
        <v/>
      </c>
      <c r="M850" s="37" t="str">
        <f aca="false">IF($E850="","",IFERROR(H850/G850,""))</f>
        <v/>
      </c>
      <c r="N850" s="30" t="str">
        <f aca="false">IF($E850="","",IFERROR(E850/H850,"—"))</f>
        <v/>
      </c>
      <c r="O850" s="30" t="str">
        <f aca="false">IF($E850="","",IFERROR(INDEX('Гео-калькулятор'!$K$7:$K$13,MATCH($C850,'Гео-калькулятор'!$B$7:$B$13,0)),""))</f>
        <v/>
      </c>
      <c r="P850" s="38" t="str">
        <f aca="false">IF($E850="","",IFERROR(N850/O850,""))</f>
        <v/>
      </c>
      <c r="Q850" s="39" t="str">
        <f aca="false">IF($E850="","",IF($I850&lt;&gt;"",$I850,N($H850)*IFERROR(INDEX('Гео-калькулятор'!$E$7:$E$13,MATCH($C850,'Гео-калькулятор'!$B$7:$B$13,0)),0)))</f>
        <v/>
      </c>
      <c r="R850" s="38" t="str">
        <f aca="false">IF($E850="","",IFERROR(Q850/H850,""))</f>
        <v/>
      </c>
      <c r="S850" s="30" t="str">
        <f aca="false">IF($E850="","",IFERROR(E850/Q850,"—"))</f>
        <v/>
      </c>
      <c r="T850" s="30" t="str">
        <f aca="false">IF($E850="","",Q850*IFERROR(INDEX('Гео-калькулятор'!$D$7:$D$13,MATCH($C850,'Гео-калькулятор'!$B$7:$B$13,0)),0))</f>
        <v/>
      </c>
      <c r="U850" s="40" t="str">
        <f aca="false">IF($E850="","",T850-E850)</f>
        <v/>
      </c>
      <c r="V850" s="41" t="str">
        <f aca="false">IF($E850="","",IFERROR(U850/E850,""))</f>
        <v/>
      </c>
      <c r="W850" s="10" t="str">
        <f aca="false">IF($E850="","",IF($I850&lt;&gt;"","факт","прогноз"))</f>
        <v/>
      </c>
      <c r="X850" s="1"/>
      <c r="Y850" s="1"/>
      <c r="Z850" s="1"/>
      <c r="AA850" s="1"/>
      <c r="AB850" s="1"/>
      <c r="AC850" s="1"/>
      <c r="AD850" s="1"/>
    </row>
    <row r="851" customFormat="false" ht="18" hidden="false" customHeight="true" outlineLevel="0" collapsed="false">
      <c r="A851" s="1"/>
      <c r="B851" s="35"/>
      <c r="C851" s="8"/>
      <c r="D851" s="26"/>
      <c r="E851" s="27"/>
      <c r="F851" s="36"/>
      <c r="G851" s="36"/>
      <c r="H851" s="36"/>
      <c r="I851" s="36"/>
      <c r="J851" s="37" t="str">
        <f aca="false">IF($E851="","",IFERROR(G851/F851,""))</f>
        <v/>
      </c>
      <c r="K851" s="30" t="str">
        <f aca="false">IF($E851="","",IFERROR(E851/G851,""))</f>
        <v/>
      </c>
      <c r="L851" s="30" t="str">
        <f aca="false">IF($E851="","",IFERROR(E851/F851*1000,""))</f>
        <v/>
      </c>
      <c r="M851" s="37" t="str">
        <f aca="false">IF($E851="","",IFERROR(H851/G851,""))</f>
        <v/>
      </c>
      <c r="N851" s="30" t="str">
        <f aca="false">IF($E851="","",IFERROR(E851/H851,"—"))</f>
        <v/>
      </c>
      <c r="O851" s="30" t="str">
        <f aca="false">IF($E851="","",IFERROR(INDEX('Гео-калькулятор'!$K$7:$K$13,MATCH($C851,'Гео-калькулятор'!$B$7:$B$13,0)),""))</f>
        <v/>
      </c>
      <c r="P851" s="38" t="str">
        <f aca="false">IF($E851="","",IFERROR(N851/O851,""))</f>
        <v/>
      </c>
      <c r="Q851" s="39" t="str">
        <f aca="false">IF($E851="","",IF($I851&lt;&gt;"",$I851,N($H851)*IFERROR(INDEX('Гео-калькулятор'!$E$7:$E$13,MATCH($C851,'Гео-калькулятор'!$B$7:$B$13,0)),0)))</f>
        <v/>
      </c>
      <c r="R851" s="38" t="str">
        <f aca="false">IF($E851="","",IFERROR(Q851/H851,""))</f>
        <v/>
      </c>
      <c r="S851" s="30" t="str">
        <f aca="false">IF($E851="","",IFERROR(E851/Q851,"—"))</f>
        <v/>
      </c>
      <c r="T851" s="30" t="str">
        <f aca="false">IF($E851="","",Q851*IFERROR(INDEX('Гео-калькулятор'!$D$7:$D$13,MATCH($C851,'Гео-калькулятор'!$B$7:$B$13,0)),0))</f>
        <v/>
      </c>
      <c r="U851" s="40" t="str">
        <f aca="false">IF($E851="","",T851-E851)</f>
        <v/>
      </c>
      <c r="V851" s="41" t="str">
        <f aca="false">IF($E851="","",IFERROR(U851/E851,""))</f>
        <v/>
      </c>
      <c r="W851" s="10" t="str">
        <f aca="false">IF($E851="","",IF($I851&lt;&gt;"","факт","прогноз"))</f>
        <v/>
      </c>
      <c r="X851" s="1"/>
      <c r="Y851" s="1"/>
      <c r="Z851" s="1"/>
      <c r="AA851" s="1"/>
      <c r="AB851" s="1"/>
      <c r="AC851" s="1"/>
      <c r="AD851" s="1"/>
    </row>
    <row r="852" customFormat="false" ht="18" hidden="false" customHeight="true" outlineLevel="0" collapsed="false">
      <c r="A852" s="1"/>
      <c r="B852" s="35"/>
      <c r="C852" s="8"/>
      <c r="D852" s="26"/>
      <c r="E852" s="27"/>
      <c r="F852" s="36"/>
      <c r="G852" s="36"/>
      <c r="H852" s="36"/>
      <c r="I852" s="36"/>
      <c r="J852" s="37" t="str">
        <f aca="false">IF($E852="","",IFERROR(G852/F852,""))</f>
        <v/>
      </c>
      <c r="K852" s="30" t="str">
        <f aca="false">IF($E852="","",IFERROR(E852/G852,""))</f>
        <v/>
      </c>
      <c r="L852" s="30" t="str">
        <f aca="false">IF($E852="","",IFERROR(E852/F852*1000,""))</f>
        <v/>
      </c>
      <c r="M852" s="37" t="str">
        <f aca="false">IF($E852="","",IFERROR(H852/G852,""))</f>
        <v/>
      </c>
      <c r="N852" s="30" t="str">
        <f aca="false">IF($E852="","",IFERROR(E852/H852,"—"))</f>
        <v/>
      </c>
      <c r="O852" s="30" t="str">
        <f aca="false">IF($E852="","",IFERROR(INDEX('Гео-калькулятор'!$K$7:$K$13,MATCH($C852,'Гео-калькулятор'!$B$7:$B$13,0)),""))</f>
        <v/>
      </c>
      <c r="P852" s="38" t="str">
        <f aca="false">IF($E852="","",IFERROR(N852/O852,""))</f>
        <v/>
      </c>
      <c r="Q852" s="39" t="str">
        <f aca="false">IF($E852="","",IF($I852&lt;&gt;"",$I852,N($H852)*IFERROR(INDEX('Гео-калькулятор'!$E$7:$E$13,MATCH($C852,'Гео-калькулятор'!$B$7:$B$13,0)),0)))</f>
        <v/>
      </c>
      <c r="R852" s="38" t="str">
        <f aca="false">IF($E852="","",IFERROR(Q852/H852,""))</f>
        <v/>
      </c>
      <c r="S852" s="30" t="str">
        <f aca="false">IF($E852="","",IFERROR(E852/Q852,"—"))</f>
        <v/>
      </c>
      <c r="T852" s="30" t="str">
        <f aca="false">IF($E852="","",Q852*IFERROR(INDEX('Гео-калькулятор'!$D$7:$D$13,MATCH($C852,'Гео-калькулятор'!$B$7:$B$13,0)),0))</f>
        <v/>
      </c>
      <c r="U852" s="40" t="str">
        <f aca="false">IF($E852="","",T852-E852)</f>
        <v/>
      </c>
      <c r="V852" s="41" t="str">
        <f aca="false">IF($E852="","",IFERROR(U852/E852,""))</f>
        <v/>
      </c>
      <c r="W852" s="10" t="str">
        <f aca="false">IF($E852="","",IF($I852&lt;&gt;"","факт","прогноз"))</f>
        <v/>
      </c>
      <c r="X852" s="1"/>
      <c r="Y852" s="1"/>
      <c r="Z852" s="1"/>
      <c r="AA852" s="1"/>
      <c r="AB852" s="1"/>
      <c r="AC852" s="1"/>
      <c r="AD852" s="1"/>
    </row>
    <row r="853" customFormat="false" ht="18" hidden="false" customHeight="true" outlineLevel="0" collapsed="false">
      <c r="A853" s="1"/>
      <c r="B853" s="35"/>
      <c r="C853" s="8"/>
      <c r="D853" s="26"/>
      <c r="E853" s="27"/>
      <c r="F853" s="36"/>
      <c r="G853" s="36"/>
      <c r="H853" s="36"/>
      <c r="I853" s="36"/>
      <c r="J853" s="37" t="str">
        <f aca="false">IF($E853="","",IFERROR(G853/F853,""))</f>
        <v/>
      </c>
      <c r="K853" s="30" t="str">
        <f aca="false">IF($E853="","",IFERROR(E853/G853,""))</f>
        <v/>
      </c>
      <c r="L853" s="30" t="str">
        <f aca="false">IF($E853="","",IFERROR(E853/F853*1000,""))</f>
        <v/>
      </c>
      <c r="M853" s="37" t="str">
        <f aca="false">IF($E853="","",IFERROR(H853/G853,""))</f>
        <v/>
      </c>
      <c r="N853" s="30" t="str">
        <f aca="false">IF($E853="","",IFERROR(E853/H853,"—"))</f>
        <v/>
      </c>
      <c r="O853" s="30" t="str">
        <f aca="false">IF($E853="","",IFERROR(INDEX('Гео-калькулятор'!$K$7:$K$13,MATCH($C853,'Гео-калькулятор'!$B$7:$B$13,0)),""))</f>
        <v/>
      </c>
      <c r="P853" s="38" t="str">
        <f aca="false">IF($E853="","",IFERROR(N853/O853,""))</f>
        <v/>
      </c>
      <c r="Q853" s="39" t="str">
        <f aca="false">IF($E853="","",IF($I853&lt;&gt;"",$I853,N($H853)*IFERROR(INDEX('Гео-калькулятор'!$E$7:$E$13,MATCH($C853,'Гео-калькулятор'!$B$7:$B$13,0)),0)))</f>
        <v/>
      </c>
      <c r="R853" s="38" t="str">
        <f aca="false">IF($E853="","",IFERROR(Q853/H853,""))</f>
        <v/>
      </c>
      <c r="S853" s="30" t="str">
        <f aca="false">IF($E853="","",IFERROR(E853/Q853,"—"))</f>
        <v/>
      </c>
      <c r="T853" s="30" t="str">
        <f aca="false">IF($E853="","",Q853*IFERROR(INDEX('Гео-калькулятор'!$D$7:$D$13,MATCH($C853,'Гео-калькулятор'!$B$7:$B$13,0)),0))</f>
        <v/>
      </c>
      <c r="U853" s="40" t="str">
        <f aca="false">IF($E853="","",T853-E853)</f>
        <v/>
      </c>
      <c r="V853" s="41" t="str">
        <f aca="false">IF($E853="","",IFERROR(U853/E853,""))</f>
        <v/>
      </c>
      <c r="W853" s="10" t="str">
        <f aca="false">IF($E853="","",IF($I853&lt;&gt;"","факт","прогноз"))</f>
        <v/>
      </c>
      <c r="X853" s="1"/>
      <c r="Y853" s="1"/>
      <c r="Z853" s="1"/>
      <c r="AA853" s="1"/>
      <c r="AB853" s="1"/>
      <c r="AC853" s="1"/>
      <c r="AD853" s="1"/>
    </row>
    <row r="854" customFormat="false" ht="18" hidden="false" customHeight="true" outlineLevel="0" collapsed="false">
      <c r="A854" s="1"/>
      <c r="B854" s="35"/>
      <c r="C854" s="8"/>
      <c r="D854" s="26"/>
      <c r="E854" s="27"/>
      <c r="F854" s="36"/>
      <c r="G854" s="36"/>
      <c r="H854" s="36"/>
      <c r="I854" s="36"/>
      <c r="J854" s="37" t="str">
        <f aca="false">IF($E854="","",IFERROR(G854/F854,""))</f>
        <v/>
      </c>
      <c r="K854" s="30" t="str">
        <f aca="false">IF($E854="","",IFERROR(E854/G854,""))</f>
        <v/>
      </c>
      <c r="L854" s="30" t="str">
        <f aca="false">IF($E854="","",IFERROR(E854/F854*1000,""))</f>
        <v/>
      </c>
      <c r="M854" s="37" t="str">
        <f aca="false">IF($E854="","",IFERROR(H854/G854,""))</f>
        <v/>
      </c>
      <c r="N854" s="30" t="str">
        <f aca="false">IF($E854="","",IFERROR(E854/H854,"—"))</f>
        <v/>
      </c>
      <c r="O854" s="30" t="str">
        <f aca="false">IF($E854="","",IFERROR(INDEX('Гео-калькулятор'!$K$7:$K$13,MATCH($C854,'Гео-калькулятор'!$B$7:$B$13,0)),""))</f>
        <v/>
      </c>
      <c r="P854" s="38" t="str">
        <f aca="false">IF($E854="","",IFERROR(N854/O854,""))</f>
        <v/>
      </c>
      <c r="Q854" s="39" t="str">
        <f aca="false">IF($E854="","",IF($I854&lt;&gt;"",$I854,N($H854)*IFERROR(INDEX('Гео-калькулятор'!$E$7:$E$13,MATCH($C854,'Гео-калькулятор'!$B$7:$B$13,0)),0)))</f>
        <v/>
      </c>
      <c r="R854" s="38" t="str">
        <f aca="false">IF($E854="","",IFERROR(Q854/H854,""))</f>
        <v/>
      </c>
      <c r="S854" s="30" t="str">
        <f aca="false">IF($E854="","",IFERROR(E854/Q854,"—"))</f>
        <v/>
      </c>
      <c r="T854" s="30" t="str">
        <f aca="false">IF($E854="","",Q854*IFERROR(INDEX('Гео-калькулятор'!$D$7:$D$13,MATCH($C854,'Гео-калькулятор'!$B$7:$B$13,0)),0))</f>
        <v/>
      </c>
      <c r="U854" s="40" t="str">
        <f aca="false">IF($E854="","",T854-E854)</f>
        <v/>
      </c>
      <c r="V854" s="41" t="str">
        <f aca="false">IF($E854="","",IFERROR(U854/E854,""))</f>
        <v/>
      </c>
      <c r="W854" s="10" t="str">
        <f aca="false">IF($E854="","",IF($I854&lt;&gt;"","факт","прогноз"))</f>
        <v/>
      </c>
      <c r="X854" s="1"/>
      <c r="Y854" s="1"/>
      <c r="Z854" s="1"/>
      <c r="AA854" s="1"/>
      <c r="AB854" s="1"/>
      <c r="AC854" s="1"/>
      <c r="AD854" s="1"/>
    </row>
    <row r="855" customFormat="false" ht="18" hidden="false" customHeight="true" outlineLevel="0" collapsed="false">
      <c r="A855" s="1"/>
      <c r="B855" s="35"/>
      <c r="C855" s="8"/>
      <c r="D855" s="26"/>
      <c r="E855" s="27"/>
      <c r="F855" s="36"/>
      <c r="G855" s="36"/>
      <c r="H855" s="36"/>
      <c r="I855" s="36"/>
      <c r="J855" s="37" t="str">
        <f aca="false">IF($E855="","",IFERROR(G855/F855,""))</f>
        <v/>
      </c>
      <c r="K855" s="30" t="str">
        <f aca="false">IF($E855="","",IFERROR(E855/G855,""))</f>
        <v/>
      </c>
      <c r="L855" s="30" t="str">
        <f aca="false">IF($E855="","",IFERROR(E855/F855*1000,""))</f>
        <v/>
      </c>
      <c r="M855" s="37" t="str">
        <f aca="false">IF($E855="","",IFERROR(H855/G855,""))</f>
        <v/>
      </c>
      <c r="N855" s="30" t="str">
        <f aca="false">IF($E855="","",IFERROR(E855/H855,"—"))</f>
        <v/>
      </c>
      <c r="O855" s="30" t="str">
        <f aca="false">IF($E855="","",IFERROR(INDEX('Гео-калькулятор'!$K$7:$K$13,MATCH($C855,'Гео-калькулятор'!$B$7:$B$13,0)),""))</f>
        <v/>
      </c>
      <c r="P855" s="38" t="str">
        <f aca="false">IF($E855="","",IFERROR(N855/O855,""))</f>
        <v/>
      </c>
      <c r="Q855" s="39" t="str">
        <f aca="false">IF($E855="","",IF($I855&lt;&gt;"",$I855,N($H855)*IFERROR(INDEX('Гео-калькулятор'!$E$7:$E$13,MATCH($C855,'Гео-калькулятор'!$B$7:$B$13,0)),0)))</f>
        <v/>
      </c>
      <c r="R855" s="38" t="str">
        <f aca="false">IF($E855="","",IFERROR(Q855/H855,""))</f>
        <v/>
      </c>
      <c r="S855" s="30" t="str">
        <f aca="false">IF($E855="","",IFERROR(E855/Q855,"—"))</f>
        <v/>
      </c>
      <c r="T855" s="30" t="str">
        <f aca="false">IF($E855="","",Q855*IFERROR(INDEX('Гео-калькулятор'!$D$7:$D$13,MATCH($C855,'Гео-калькулятор'!$B$7:$B$13,0)),0))</f>
        <v/>
      </c>
      <c r="U855" s="40" t="str">
        <f aca="false">IF($E855="","",T855-E855)</f>
        <v/>
      </c>
      <c r="V855" s="41" t="str">
        <f aca="false">IF($E855="","",IFERROR(U855/E855,""))</f>
        <v/>
      </c>
      <c r="W855" s="10" t="str">
        <f aca="false">IF($E855="","",IF($I855&lt;&gt;"","факт","прогноз"))</f>
        <v/>
      </c>
      <c r="X855" s="1"/>
      <c r="Y855" s="1"/>
      <c r="Z855" s="1"/>
      <c r="AA855" s="1"/>
      <c r="AB855" s="1"/>
      <c r="AC855" s="1"/>
      <c r="AD855" s="1"/>
    </row>
    <row r="856" customFormat="false" ht="18" hidden="false" customHeight="true" outlineLevel="0" collapsed="false">
      <c r="A856" s="1"/>
      <c r="B856" s="35"/>
      <c r="C856" s="8"/>
      <c r="D856" s="26"/>
      <c r="E856" s="27"/>
      <c r="F856" s="36"/>
      <c r="G856" s="36"/>
      <c r="H856" s="36"/>
      <c r="I856" s="36"/>
      <c r="J856" s="37" t="str">
        <f aca="false">IF($E856="","",IFERROR(G856/F856,""))</f>
        <v/>
      </c>
      <c r="K856" s="30" t="str">
        <f aca="false">IF($E856="","",IFERROR(E856/G856,""))</f>
        <v/>
      </c>
      <c r="L856" s="30" t="str">
        <f aca="false">IF($E856="","",IFERROR(E856/F856*1000,""))</f>
        <v/>
      </c>
      <c r="M856" s="37" t="str">
        <f aca="false">IF($E856="","",IFERROR(H856/G856,""))</f>
        <v/>
      </c>
      <c r="N856" s="30" t="str">
        <f aca="false">IF($E856="","",IFERROR(E856/H856,"—"))</f>
        <v/>
      </c>
      <c r="O856" s="30" t="str">
        <f aca="false">IF($E856="","",IFERROR(INDEX('Гео-калькулятор'!$K$7:$K$13,MATCH($C856,'Гео-калькулятор'!$B$7:$B$13,0)),""))</f>
        <v/>
      </c>
      <c r="P856" s="38" t="str">
        <f aca="false">IF($E856="","",IFERROR(N856/O856,""))</f>
        <v/>
      </c>
      <c r="Q856" s="39" t="str">
        <f aca="false">IF($E856="","",IF($I856&lt;&gt;"",$I856,N($H856)*IFERROR(INDEX('Гео-калькулятор'!$E$7:$E$13,MATCH($C856,'Гео-калькулятор'!$B$7:$B$13,0)),0)))</f>
        <v/>
      </c>
      <c r="R856" s="38" t="str">
        <f aca="false">IF($E856="","",IFERROR(Q856/H856,""))</f>
        <v/>
      </c>
      <c r="S856" s="30" t="str">
        <f aca="false">IF($E856="","",IFERROR(E856/Q856,"—"))</f>
        <v/>
      </c>
      <c r="T856" s="30" t="str">
        <f aca="false">IF($E856="","",Q856*IFERROR(INDEX('Гео-калькулятор'!$D$7:$D$13,MATCH($C856,'Гео-калькулятор'!$B$7:$B$13,0)),0))</f>
        <v/>
      </c>
      <c r="U856" s="40" t="str">
        <f aca="false">IF($E856="","",T856-E856)</f>
        <v/>
      </c>
      <c r="V856" s="41" t="str">
        <f aca="false">IF($E856="","",IFERROR(U856/E856,""))</f>
        <v/>
      </c>
      <c r="W856" s="10" t="str">
        <f aca="false">IF($E856="","",IF($I856&lt;&gt;"","факт","прогноз"))</f>
        <v/>
      </c>
      <c r="X856" s="1"/>
      <c r="Y856" s="1"/>
      <c r="Z856" s="1"/>
      <c r="AA856" s="1"/>
      <c r="AB856" s="1"/>
      <c r="AC856" s="1"/>
      <c r="AD856" s="1"/>
    </row>
    <row r="857" customFormat="false" ht="18" hidden="false" customHeight="true" outlineLevel="0" collapsed="false">
      <c r="A857" s="1"/>
      <c r="B857" s="35"/>
      <c r="C857" s="8"/>
      <c r="D857" s="26"/>
      <c r="E857" s="27"/>
      <c r="F857" s="36"/>
      <c r="G857" s="36"/>
      <c r="H857" s="36"/>
      <c r="I857" s="36"/>
      <c r="J857" s="37" t="str">
        <f aca="false">IF($E857="","",IFERROR(G857/F857,""))</f>
        <v/>
      </c>
      <c r="K857" s="30" t="str">
        <f aca="false">IF($E857="","",IFERROR(E857/G857,""))</f>
        <v/>
      </c>
      <c r="L857" s="30" t="str">
        <f aca="false">IF($E857="","",IFERROR(E857/F857*1000,""))</f>
        <v/>
      </c>
      <c r="M857" s="37" t="str">
        <f aca="false">IF($E857="","",IFERROR(H857/G857,""))</f>
        <v/>
      </c>
      <c r="N857" s="30" t="str">
        <f aca="false">IF($E857="","",IFERROR(E857/H857,"—"))</f>
        <v/>
      </c>
      <c r="O857" s="30" t="str">
        <f aca="false">IF($E857="","",IFERROR(INDEX('Гео-калькулятор'!$K$7:$K$13,MATCH($C857,'Гео-калькулятор'!$B$7:$B$13,0)),""))</f>
        <v/>
      </c>
      <c r="P857" s="38" t="str">
        <f aca="false">IF($E857="","",IFERROR(N857/O857,""))</f>
        <v/>
      </c>
      <c r="Q857" s="39" t="str">
        <f aca="false">IF($E857="","",IF($I857&lt;&gt;"",$I857,N($H857)*IFERROR(INDEX('Гео-калькулятор'!$E$7:$E$13,MATCH($C857,'Гео-калькулятор'!$B$7:$B$13,0)),0)))</f>
        <v/>
      </c>
      <c r="R857" s="38" t="str">
        <f aca="false">IF($E857="","",IFERROR(Q857/H857,""))</f>
        <v/>
      </c>
      <c r="S857" s="30" t="str">
        <f aca="false">IF($E857="","",IFERROR(E857/Q857,"—"))</f>
        <v/>
      </c>
      <c r="T857" s="30" t="str">
        <f aca="false">IF($E857="","",Q857*IFERROR(INDEX('Гео-калькулятор'!$D$7:$D$13,MATCH($C857,'Гео-калькулятор'!$B$7:$B$13,0)),0))</f>
        <v/>
      </c>
      <c r="U857" s="40" t="str">
        <f aca="false">IF($E857="","",T857-E857)</f>
        <v/>
      </c>
      <c r="V857" s="41" t="str">
        <f aca="false">IF($E857="","",IFERROR(U857/E857,""))</f>
        <v/>
      </c>
      <c r="W857" s="10" t="str">
        <f aca="false">IF($E857="","",IF($I857&lt;&gt;"","факт","прогноз"))</f>
        <v/>
      </c>
      <c r="X857" s="1"/>
      <c r="Y857" s="1"/>
      <c r="Z857" s="1"/>
      <c r="AA857" s="1"/>
      <c r="AB857" s="1"/>
      <c r="AC857" s="1"/>
      <c r="AD857" s="1"/>
    </row>
    <row r="858" customFormat="false" ht="18" hidden="false" customHeight="true" outlineLevel="0" collapsed="false">
      <c r="A858" s="1"/>
      <c r="B858" s="35"/>
      <c r="C858" s="8"/>
      <c r="D858" s="26"/>
      <c r="E858" s="27"/>
      <c r="F858" s="36"/>
      <c r="G858" s="36"/>
      <c r="H858" s="36"/>
      <c r="I858" s="36"/>
      <c r="J858" s="37" t="str">
        <f aca="false">IF($E858="","",IFERROR(G858/F858,""))</f>
        <v/>
      </c>
      <c r="K858" s="30" t="str">
        <f aca="false">IF($E858="","",IFERROR(E858/G858,""))</f>
        <v/>
      </c>
      <c r="L858" s="30" t="str">
        <f aca="false">IF($E858="","",IFERROR(E858/F858*1000,""))</f>
        <v/>
      </c>
      <c r="M858" s="37" t="str">
        <f aca="false">IF($E858="","",IFERROR(H858/G858,""))</f>
        <v/>
      </c>
      <c r="N858" s="30" t="str">
        <f aca="false">IF($E858="","",IFERROR(E858/H858,"—"))</f>
        <v/>
      </c>
      <c r="O858" s="30" t="str">
        <f aca="false">IF($E858="","",IFERROR(INDEX('Гео-калькулятор'!$K$7:$K$13,MATCH($C858,'Гео-калькулятор'!$B$7:$B$13,0)),""))</f>
        <v/>
      </c>
      <c r="P858" s="38" t="str">
        <f aca="false">IF($E858="","",IFERROR(N858/O858,""))</f>
        <v/>
      </c>
      <c r="Q858" s="39" t="str">
        <f aca="false">IF($E858="","",IF($I858&lt;&gt;"",$I858,N($H858)*IFERROR(INDEX('Гео-калькулятор'!$E$7:$E$13,MATCH($C858,'Гео-калькулятор'!$B$7:$B$13,0)),0)))</f>
        <v/>
      </c>
      <c r="R858" s="38" t="str">
        <f aca="false">IF($E858="","",IFERROR(Q858/H858,""))</f>
        <v/>
      </c>
      <c r="S858" s="30" t="str">
        <f aca="false">IF($E858="","",IFERROR(E858/Q858,"—"))</f>
        <v/>
      </c>
      <c r="T858" s="30" t="str">
        <f aca="false">IF($E858="","",Q858*IFERROR(INDEX('Гео-калькулятор'!$D$7:$D$13,MATCH($C858,'Гео-калькулятор'!$B$7:$B$13,0)),0))</f>
        <v/>
      </c>
      <c r="U858" s="40" t="str">
        <f aca="false">IF($E858="","",T858-E858)</f>
        <v/>
      </c>
      <c r="V858" s="41" t="str">
        <f aca="false">IF($E858="","",IFERROR(U858/E858,""))</f>
        <v/>
      </c>
      <c r="W858" s="10" t="str">
        <f aca="false">IF($E858="","",IF($I858&lt;&gt;"","факт","прогноз"))</f>
        <v/>
      </c>
      <c r="X858" s="1"/>
      <c r="Y858" s="1"/>
      <c r="Z858" s="1"/>
      <c r="AA858" s="1"/>
      <c r="AB858" s="1"/>
      <c r="AC858" s="1"/>
      <c r="AD858" s="1"/>
    </row>
    <row r="859" customFormat="false" ht="18" hidden="false" customHeight="true" outlineLevel="0" collapsed="false">
      <c r="A859" s="1"/>
      <c r="B859" s="35"/>
      <c r="C859" s="8"/>
      <c r="D859" s="26"/>
      <c r="E859" s="27"/>
      <c r="F859" s="36"/>
      <c r="G859" s="36"/>
      <c r="H859" s="36"/>
      <c r="I859" s="36"/>
      <c r="J859" s="37" t="str">
        <f aca="false">IF($E859="","",IFERROR(G859/F859,""))</f>
        <v/>
      </c>
      <c r="K859" s="30" t="str">
        <f aca="false">IF($E859="","",IFERROR(E859/G859,""))</f>
        <v/>
      </c>
      <c r="L859" s="30" t="str">
        <f aca="false">IF($E859="","",IFERROR(E859/F859*1000,""))</f>
        <v/>
      </c>
      <c r="M859" s="37" t="str">
        <f aca="false">IF($E859="","",IFERROR(H859/G859,""))</f>
        <v/>
      </c>
      <c r="N859" s="30" t="str">
        <f aca="false">IF($E859="","",IFERROR(E859/H859,"—"))</f>
        <v/>
      </c>
      <c r="O859" s="30" t="str">
        <f aca="false">IF($E859="","",IFERROR(INDEX('Гео-калькулятор'!$K$7:$K$13,MATCH($C859,'Гео-калькулятор'!$B$7:$B$13,0)),""))</f>
        <v/>
      </c>
      <c r="P859" s="38" t="str">
        <f aca="false">IF($E859="","",IFERROR(N859/O859,""))</f>
        <v/>
      </c>
      <c r="Q859" s="39" t="str">
        <f aca="false">IF($E859="","",IF($I859&lt;&gt;"",$I859,N($H859)*IFERROR(INDEX('Гео-калькулятор'!$E$7:$E$13,MATCH($C859,'Гео-калькулятор'!$B$7:$B$13,0)),0)))</f>
        <v/>
      </c>
      <c r="R859" s="38" t="str">
        <f aca="false">IF($E859="","",IFERROR(Q859/H859,""))</f>
        <v/>
      </c>
      <c r="S859" s="30" t="str">
        <f aca="false">IF($E859="","",IFERROR(E859/Q859,"—"))</f>
        <v/>
      </c>
      <c r="T859" s="30" t="str">
        <f aca="false">IF($E859="","",Q859*IFERROR(INDEX('Гео-калькулятор'!$D$7:$D$13,MATCH($C859,'Гео-калькулятор'!$B$7:$B$13,0)),0))</f>
        <v/>
      </c>
      <c r="U859" s="40" t="str">
        <f aca="false">IF($E859="","",T859-E859)</f>
        <v/>
      </c>
      <c r="V859" s="41" t="str">
        <f aca="false">IF($E859="","",IFERROR(U859/E859,""))</f>
        <v/>
      </c>
      <c r="W859" s="10" t="str">
        <f aca="false">IF($E859="","",IF($I859&lt;&gt;"","факт","прогноз"))</f>
        <v/>
      </c>
      <c r="X859" s="1"/>
      <c r="Y859" s="1"/>
      <c r="Z859" s="1"/>
      <c r="AA859" s="1"/>
      <c r="AB859" s="1"/>
      <c r="AC859" s="1"/>
      <c r="AD859" s="1"/>
    </row>
    <row r="860" customFormat="false" ht="18" hidden="false" customHeight="true" outlineLevel="0" collapsed="false">
      <c r="A860" s="1"/>
      <c r="B860" s="35"/>
      <c r="C860" s="8"/>
      <c r="D860" s="26"/>
      <c r="E860" s="27"/>
      <c r="F860" s="36"/>
      <c r="G860" s="36"/>
      <c r="H860" s="36"/>
      <c r="I860" s="36"/>
      <c r="J860" s="37" t="str">
        <f aca="false">IF($E860="","",IFERROR(G860/F860,""))</f>
        <v/>
      </c>
      <c r="K860" s="30" t="str">
        <f aca="false">IF($E860="","",IFERROR(E860/G860,""))</f>
        <v/>
      </c>
      <c r="L860" s="30" t="str">
        <f aca="false">IF($E860="","",IFERROR(E860/F860*1000,""))</f>
        <v/>
      </c>
      <c r="M860" s="37" t="str">
        <f aca="false">IF($E860="","",IFERROR(H860/G860,""))</f>
        <v/>
      </c>
      <c r="N860" s="30" t="str">
        <f aca="false">IF($E860="","",IFERROR(E860/H860,"—"))</f>
        <v/>
      </c>
      <c r="O860" s="30" t="str">
        <f aca="false">IF($E860="","",IFERROR(INDEX('Гео-калькулятор'!$K$7:$K$13,MATCH($C860,'Гео-калькулятор'!$B$7:$B$13,0)),""))</f>
        <v/>
      </c>
      <c r="P860" s="38" t="str">
        <f aca="false">IF($E860="","",IFERROR(N860/O860,""))</f>
        <v/>
      </c>
      <c r="Q860" s="39" t="str">
        <f aca="false">IF($E860="","",IF($I860&lt;&gt;"",$I860,N($H860)*IFERROR(INDEX('Гео-калькулятор'!$E$7:$E$13,MATCH($C860,'Гео-калькулятор'!$B$7:$B$13,0)),0)))</f>
        <v/>
      </c>
      <c r="R860" s="38" t="str">
        <f aca="false">IF($E860="","",IFERROR(Q860/H860,""))</f>
        <v/>
      </c>
      <c r="S860" s="30" t="str">
        <f aca="false">IF($E860="","",IFERROR(E860/Q860,"—"))</f>
        <v/>
      </c>
      <c r="T860" s="30" t="str">
        <f aca="false">IF($E860="","",Q860*IFERROR(INDEX('Гео-калькулятор'!$D$7:$D$13,MATCH($C860,'Гео-калькулятор'!$B$7:$B$13,0)),0))</f>
        <v/>
      </c>
      <c r="U860" s="40" t="str">
        <f aca="false">IF($E860="","",T860-E860)</f>
        <v/>
      </c>
      <c r="V860" s="41" t="str">
        <f aca="false">IF($E860="","",IFERROR(U860/E860,""))</f>
        <v/>
      </c>
      <c r="W860" s="10" t="str">
        <f aca="false">IF($E860="","",IF($I860&lt;&gt;"","факт","прогноз"))</f>
        <v/>
      </c>
      <c r="X860" s="1"/>
      <c r="Y860" s="1"/>
      <c r="Z860" s="1"/>
      <c r="AA860" s="1"/>
      <c r="AB860" s="1"/>
      <c r="AC860" s="1"/>
      <c r="AD860" s="1"/>
    </row>
    <row r="861" customFormat="false" ht="18" hidden="false" customHeight="true" outlineLevel="0" collapsed="false">
      <c r="A861" s="1"/>
      <c r="B861" s="35"/>
      <c r="C861" s="8"/>
      <c r="D861" s="26"/>
      <c r="E861" s="27"/>
      <c r="F861" s="36"/>
      <c r="G861" s="36"/>
      <c r="H861" s="36"/>
      <c r="I861" s="36"/>
      <c r="J861" s="37" t="str">
        <f aca="false">IF($E861="","",IFERROR(G861/F861,""))</f>
        <v/>
      </c>
      <c r="K861" s="30" t="str">
        <f aca="false">IF($E861="","",IFERROR(E861/G861,""))</f>
        <v/>
      </c>
      <c r="L861" s="30" t="str">
        <f aca="false">IF($E861="","",IFERROR(E861/F861*1000,""))</f>
        <v/>
      </c>
      <c r="M861" s="37" t="str">
        <f aca="false">IF($E861="","",IFERROR(H861/G861,""))</f>
        <v/>
      </c>
      <c r="N861" s="30" t="str">
        <f aca="false">IF($E861="","",IFERROR(E861/H861,"—"))</f>
        <v/>
      </c>
      <c r="O861" s="30" t="str">
        <f aca="false">IF($E861="","",IFERROR(INDEX('Гео-калькулятор'!$K$7:$K$13,MATCH($C861,'Гео-калькулятор'!$B$7:$B$13,0)),""))</f>
        <v/>
      </c>
      <c r="P861" s="38" t="str">
        <f aca="false">IF($E861="","",IFERROR(N861/O861,""))</f>
        <v/>
      </c>
      <c r="Q861" s="39" t="str">
        <f aca="false">IF($E861="","",IF($I861&lt;&gt;"",$I861,N($H861)*IFERROR(INDEX('Гео-калькулятор'!$E$7:$E$13,MATCH($C861,'Гео-калькулятор'!$B$7:$B$13,0)),0)))</f>
        <v/>
      </c>
      <c r="R861" s="38" t="str">
        <f aca="false">IF($E861="","",IFERROR(Q861/H861,""))</f>
        <v/>
      </c>
      <c r="S861" s="30" t="str">
        <f aca="false">IF($E861="","",IFERROR(E861/Q861,"—"))</f>
        <v/>
      </c>
      <c r="T861" s="30" t="str">
        <f aca="false">IF($E861="","",Q861*IFERROR(INDEX('Гео-калькулятор'!$D$7:$D$13,MATCH($C861,'Гео-калькулятор'!$B$7:$B$13,0)),0))</f>
        <v/>
      </c>
      <c r="U861" s="40" t="str">
        <f aca="false">IF($E861="","",T861-E861)</f>
        <v/>
      </c>
      <c r="V861" s="41" t="str">
        <f aca="false">IF($E861="","",IFERROR(U861/E861,""))</f>
        <v/>
      </c>
      <c r="W861" s="10" t="str">
        <f aca="false">IF($E861="","",IF($I861&lt;&gt;"","факт","прогноз"))</f>
        <v/>
      </c>
      <c r="X861" s="1"/>
      <c r="Y861" s="1"/>
      <c r="Z861" s="1"/>
      <c r="AA861" s="1"/>
      <c r="AB861" s="1"/>
      <c r="AC861" s="1"/>
      <c r="AD861" s="1"/>
    </row>
    <row r="862" customFormat="false" ht="18" hidden="false" customHeight="true" outlineLevel="0" collapsed="false">
      <c r="A862" s="1"/>
      <c r="B862" s="35"/>
      <c r="C862" s="8"/>
      <c r="D862" s="26"/>
      <c r="E862" s="27"/>
      <c r="F862" s="36"/>
      <c r="G862" s="36"/>
      <c r="H862" s="36"/>
      <c r="I862" s="36"/>
      <c r="J862" s="37" t="str">
        <f aca="false">IF($E862="","",IFERROR(G862/F862,""))</f>
        <v/>
      </c>
      <c r="K862" s="30" t="str">
        <f aca="false">IF($E862="","",IFERROR(E862/G862,""))</f>
        <v/>
      </c>
      <c r="L862" s="30" t="str">
        <f aca="false">IF($E862="","",IFERROR(E862/F862*1000,""))</f>
        <v/>
      </c>
      <c r="M862" s="37" t="str">
        <f aca="false">IF($E862="","",IFERROR(H862/G862,""))</f>
        <v/>
      </c>
      <c r="N862" s="30" t="str">
        <f aca="false">IF($E862="","",IFERROR(E862/H862,"—"))</f>
        <v/>
      </c>
      <c r="O862" s="30" t="str">
        <f aca="false">IF($E862="","",IFERROR(INDEX('Гео-калькулятор'!$K$7:$K$13,MATCH($C862,'Гео-калькулятор'!$B$7:$B$13,0)),""))</f>
        <v/>
      </c>
      <c r="P862" s="38" t="str">
        <f aca="false">IF($E862="","",IFERROR(N862/O862,""))</f>
        <v/>
      </c>
      <c r="Q862" s="39" t="str">
        <f aca="false">IF($E862="","",IF($I862&lt;&gt;"",$I862,N($H862)*IFERROR(INDEX('Гео-калькулятор'!$E$7:$E$13,MATCH($C862,'Гео-калькулятор'!$B$7:$B$13,0)),0)))</f>
        <v/>
      </c>
      <c r="R862" s="38" t="str">
        <f aca="false">IF($E862="","",IFERROR(Q862/H862,""))</f>
        <v/>
      </c>
      <c r="S862" s="30" t="str">
        <f aca="false">IF($E862="","",IFERROR(E862/Q862,"—"))</f>
        <v/>
      </c>
      <c r="T862" s="30" t="str">
        <f aca="false">IF($E862="","",Q862*IFERROR(INDEX('Гео-калькулятор'!$D$7:$D$13,MATCH($C862,'Гео-калькулятор'!$B$7:$B$13,0)),0))</f>
        <v/>
      </c>
      <c r="U862" s="40" t="str">
        <f aca="false">IF($E862="","",T862-E862)</f>
        <v/>
      </c>
      <c r="V862" s="41" t="str">
        <f aca="false">IF($E862="","",IFERROR(U862/E862,""))</f>
        <v/>
      </c>
      <c r="W862" s="10" t="str">
        <f aca="false">IF($E862="","",IF($I862&lt;&gt;"","факт","прогноз"))</f>
        <v/>
      </c>
      <c r="X862" s="1"/>
      <c r="Y862" s="1"/>
      <c r="Z862" s="1"/>
      <c r="AA862" s="1"/>
      <c r="AB862" s="1"/>
      <c r="AC862" s="1"/>
      <c r="AD862" s="1"/>
    </row>
    <row r="863" customFormat="false" ht="18" hidden="false" customHeight="true" outlineLevel="0" collapsed="false">
      <c r="A863" s="1"/>
      <c r="B863" s="35"/>
      <c r="C863" s="8"/>
      <c r="D863" s="26"/>
      <c r="E863" s="27"/>
      <c r="F863" s="36"/>
      <c r="G863" s="36"/>
      <c r="H863" s="36"/>
      <c r="I863" s="36"/>
      <c r="J863" s="37" t="str">
        <f aca="false">IF($E863="","",IFERROR(G863/F863,""))</f>
        <v/>
      </c>
      <c r="K863" s="30" t="str">
        <f aca="false">IF($E863="","",IFERROR(E863/G863,""))</f>
        <v/>
      </c>
      <c r="L863" s="30" t="str">
        <f aca="false">IF($E863="","",IFERROR(E863/F863*1000,""))</f>
        <v/>
      </c>
      <c r="M863" s="37" t="str">
        <f aca="false">IF($E863="","",IFERROR(H863/G863,""))</f>
        <v/>
      </c>
      <c r="N863" s="30" t="str">
        <f aca="false">IF($E863="","",IFERROR(E863/H863,"—"))</f>
        <v/>
      </c>
      <c r="O863" s="30" t="str">
        <f aca="false">IF($E863="","",IFERROR(INDEX('Гео-калькулятор'!$K$7:$K$13,MATCH($C863,'Гео-калькулятор'!$B$7:$B$13,0)),""))</f>
        <v/>
      </c>
      <c r="P863" s="38" t="str">
        <f aca="false">IF($E863="","",IFERROR(N863/O863,""))</f>
        <v/>
      </c>
      <c r="Q863" s="39" t="str">
        <f aca="false">IF($E863="","",IF($I863&lt;&gt;"",$I863,N($H863)*IFERROR(INDEX('Гео-калькулятор'!$E$7:$E$13,MATCH($C863,'Гео-калькулятор'!$B$7:$B$13,0)),0)))</f>
        <v/>
      </c>
      <c r="R863" s="38" t="str">
        <f aca="false">IF($E863="","",IFERROR(Q863/H863,""))</f>
        <v/>
      </c>
      <c r="S863" s="30" t="str">
        <f aca="false">IF($E863="","",IFERROR(E863/Q863,"—"))</f>
        <v/>
      </c>
      <c r="T863" s="30" t="str">
        <f aca="false">IF($E863="","",Q863*IFERROR(INDEX('Гео-калькулятор'!$D$7:$D$13,MATCH($C863,'Гео-калькулятор'!$B$7:$B$13,0)),0))</f>
        <v/>
      </c>
      <c r="U863" s="40" t="str">
        <f aca="false">IF($E863="","",T863-E863)</f>
        <v/>
      </c>
      <c r="V863" s="41" t="str">
        <f aca="false">IF($E863="","",IFERROR(U863/E863,""))</f>
        <v/>
      </c>
      <c r="W863" s="10" t="str">
        <f aca="false">IF($E863="","",IF($I863&lt;&gt;"","факт","прогноз"))</f>
        <v/>
      </c>
      <c r="X863" s="1"/>
      <c r="Y863" s="1"/>
      <c r="Z863" s="1"/>
      <c r="AA863" s="1"/>
      <c r="AB863" s="1"/>
      <c r="AC863" s="1"/>
      <c r="AD863" s="1"/>
    </row>
    <row r="864" customFormat="false" ht="18" hidden="false" customHeight="true" outlineLevel="0" collapsed="false">
      <c r="A864" s="1"/>
      <c r="B864" s="35"/>
      <c r="C864" s="8"/>
      <c r="D864" s="26"/>
      <c r="E864" s="27"/>
      <c r="F864" s="36"/>
      <c r="G864" s="36"/>
      <c r="H864" s="36"/>
      <c r="I864" s="36"/>
      <c r="J864" s="37" t="str">
        <f aca="false">IF($E864="","",IFERROR(G864/F864,""))</f>
        <v/>
      </c>
      <c r="K864" s="30" t="str">
        <f aca="false">IF($E864="","",IFERROR(E864/G864,""))</f>
        <v/>
      </c>
      <c r="L864" s="30" t="str">
        <f aca="false">IF($E864="","",IFERROR(E864/F864*1000,""))</f>
        <v/>
      </c>
      <c r="M864" s="37" t="str">
        <f aca="false">IF($E864="","",IFERROR(H864/G864,""))</f>
        <v/>
      </c>
      <c r="N864" s="30" t="str">
        <f aca="false">IF($E864="","",IFERROR(E864/H864,"—"))</f>
        <v/>
      </c>
      <c r="O864" s="30" t="str">
        <f aca="false">IF($E864="","",IFERROR(INDEX('Гео-калькулятор'!$K$7:$K$13,MATCH($C864,'Гео-калькулятор'!$B$7:$B$13,0)),""))</f>
        <v/>
      </c>
      <c r="P864" s="38" t="str">
        <f aca="false">IF($E864="","",IFERROR(N864/O864,""))</f>
        <v/>
      </c>
      <c r="Q864" s="39" t="str">
        <f aca="false">IF($E864="","",IF($I864&lt;&gt;"",$I864,N($H864)*IFERROR(INDEX('Гео-калькулятор'!$E$7:$E$13,MATCH($C864,'Гео-калькулятор'!$B$7:$B$13,0)),0)))</f>
        <v/>
      </c>
      <c r="R864" s="38" t="str">
        <f aca="false">IF($E864="","",IFERROR(Q864/H864,""))</f>
        <v/>
      </c>
      <c r="S864" s="30" t="str">
        <f aca="false">IF($E864="","",IFERROR(E864/Q864,"—"))</f>
        <v/>
      </c>
      <c r="T864" s="30" t="str">
        <f aca="false">IF($E864="","",Q864*IFERROR(INDEX('Гео-калькулятор'!$D$7:$D$13,MATCH($C864,'Гео-калькулятор'!$B$7:$B$13,0)),0))</f>
        <v/>
      </c>
      <c r="U864" s="40" t="str">
        <f aca="false">IF($E864="","",T864-E864)</f>
        <v/>
      </c>
      <c r="V864" s="41" t="str">
        <f aca="false">IF($E864="","",IFERROR(U864/E864,""))</f>
        <v/>
      </c>
      <c r="W864" s="10" t="str">
        <f aca="false">IF($E864="","",IF($I864&lt;&gt;"","факт","прогноз"))</f>
        <v/>
      </c>
      <c r="X864" s="1"/>
      <c r="Y864" s="1"/>
      <c r="Z864" s="1"/>
      <c r="AA864" s="1"/>
      <c r="AB864" s="1"/>
      <c r="AC864" s="1"/>
      <c r="AD864" s="1"/>
    </row>
    <row r="865" customFormat="false" ht="18" hidden="false" customHeight="true" outlineLevel="0" collapsed="false">
      <c r="A865" s="1"/>
      <c r="B865" s="35"/>
      <c r="C865" s="8"/>
      <c r="D865" s="26"/>
      <c r="E865" s="27"/>
      <c r="F865" s="36"/>
      <c r="G865" s="36"/>
      <c r="H865" s="36"/>
      <c r="I865" s="36"/>
      <c r="J865" s="37" t="str">
        <f aca="false">IF($E865="","",IFERROR(G865/F865,""))</f>
        <v/>
      </c>
      <c r="K865" s="30" t="str">
        <f aca="false">IF($E865="","",IFERROR(E865/G865,""))</f>
        <v/>
      </c>
      <c r="L865" s="30" t="str">
        <f aca="false">IF($E865="","",IFERROR(E865/F865*1000,""))</f>
        <v/>
      </c>
      <c r="M865" s="37" t="str">
        <f aca="false">IF($E865="","",IFERROR(H865/G865,""))</f>
        <v/>
      </c>
      <c r="N865" s="30" t="str">
        <f aca="false">IF($E865="","",IFERROR(E865/H865,"—"))</f>
        <v/>
      </c>
      <c r="O865" s="30" t="str">
        <f aca="false">IF($E865="","",IFERROR(INDEX('Гео-калькулятор'!$K$7:$K$13,MATCH($C865,'Гео-калькулятор'!$B$7:$B$13,0)),""))</f>
        <v/>
      </c>
      <c r="P865" s="38" t="str">
        <f aca="false">IF($E865="","",IFERROR(N865/O865,""))</f>
        <v/>
      </c>
      <c r="Q865" s="39" t="str">
        <f aca="false">IF($E865="","",IF($I865&lt;&gt;"",$I865,N($H865)*IFERROR(INDEX('Гео-калькулятор'!$E$7:$E$13,MATCH($C865,'Гео-калькулятор'!$B$7:$B$13,0)),0)))</f>
        <v/>
      </c>
      <c r="R865" s="38" t="str">
        <f aca="false">IF($E865="","",IFERROR(Q865/H865,""))</f>
        <v/>
      </c>
      <c r="S865" s="30" t="str">
        <f aca="false">IF($E865="","",IFERROR(E865/Q865,"—"))</f>
        <v/>
      </c>
      <c r="T865" s="30" t="str">
        <f aca="false">IF($E865="","",Q865*IFERROR(INDEX('Гео-калькулятор'!$D$7:$D$13,MATCH($C865,'Гео-калькулятор'!$B$7:$B$13,0)),0))</f>
        <v/>
      </c>
      <c r="U865" s="40" t="str">
        <f aca="false">IF($E865="","",T865-E865)</f>
        <v/>
      </c>
      <c r="V865" s="41" t="str">
        <f aca="false">IF($E865="","",IFERROR(U865/E865,""))</f>
        <v/>
      </c>
      <c r="W865" s="10" t="str">
        <f aca="false">IF($E865="","",IF($I865&lt;&gt;"","факт","прогноз"))</f>
        <v/>
      </c>
      <c r="X865" s="1"/>
      <c r="Y865" s="1"/>
      <c r="Z865" s="1"/>
      <c r="AA865" s="1"/>
      <c r="AB865" s="1"/>
      <c r="AC865" s="1"/>
      <c r="AD865" s="1"/>
    </row>
    <row r="866" customFormat="false" ht="18" hidden="false" customHeight="true" outlineLevel="0" collapsed="false">
      <c r="A866" s="1"/>
      <c r="B866" s="35"/>
      <c r="C866" s="8"/>
      <c r="D866" s="26"/>
      <c r="E866" s="27"/>
      <c r="F866" s="36"/>
      <c r="G866" s="36"/>
      <c r="H866" s="36"/>
      <c r="I866" s="36"/>
      <c r="J866" s="37" t="str">
        <f aca="false">IF($E866="","",IFERROR(G866/F866,""))</f>
        <v/>
      </c>
      <c r="K866" s="30" t="str">
        <f aca="false">IF($E866="","",IFERROR(E866/G866,""))</f>
        <v/>
      </c>
      <c r="L866" s="30" t="str">
        <f aca="false">IF($E866="","",IFERROR(E866/F866*1000,""))</f>
        <v/>
      </c>
      <c r="M866" s="37" t="str">
        <f aca="false">IF($E866="","",IFERROR(H866/G866,""))</f>
        <v/>
      </c>
      <c r="N866" s="30" t="str">
        <f aca="false">IF($E866="","",IFERROR(E866/H866,"—"))</f>
        <v/>
      </c>
      <c r="O866" s="30" t="str">
        <f aca="false">IF($E866="","",IFERROR(INDEX('Гео-калькулятор'!$K$7:$K$13,MATCH($C866,'Гео-калькулятор'!$B$7:$B$13,0)),""))</f>
        <v/>
      </c>
      <c r="P866" s="38" t="str">
        <f aca="false">IF($E866="","",IFERROR(N866/O866,""))</f>
        <v/>
      </c>
      <c r="Q866" s="39" t="str">
        <f aca="false">IF($E866="","",IF($I866&lt;&gt;"",$I866,N($H866)*IFERROR(INDEX('Гео-калькулятор'!$E$7:$E$13,MATCH($C866,'Гео-калькулятор'!$B$7:$B$13,0)),0)))</f>
        <v/>
      </c>
      <c r="R866" s="38" t="str">
        <f aca="false">IF($E866="","",IFERROR(Q866/H866,""))</f>
        <v/>
      </c>
      <c r="S866" s="30" t="str">
        <f aca="false">IF($E866="","",IFERROR(E866/Q866,"—"))</f>
        <v/>
      </c>
      <c r="T866" s="30" t="str">
        <f aca="false">IF($E866="","",Q866*IFERROR(INDEX('Гео-калькулятор'!$D$7:$D$13,MATCH($C866,'Гео-калькулятор'!$B$7:$B$13,0)),0))</f>
        <v/>
      </c>
      <c r="U866" s="40" t="str">
        <f aca="false">IF($E866="","",T866-E866)</f>
        <v/>
      </c>
      <c r="V866" s="41" t="str">
        <f aca="false">IF($E866="","",IFERROR(U866/E866,""))</f>
        <v/>
      </c>
      <c r="W866" s="10" t="str">
        <f aca="false">IF($E866="","",IF($I866&lt;&gt;"","факт","прогноз"))</f>
        <v/>
      </c>
      <c r="X866" s="1"/>
      <c r="Y866" s="1"/>
      <c r="Z866" s="1"/>
      <c r="AA866" s="1"/>
      <c r="AB866" s="1"/>
      <c r="AC866" s="1"/>
      <c r="AD866" s="1"/>
    </row>
    <row r="867" customFormat="false" ht="18" hidden="false" customHeight="true" outlineLevel="0" collapsed="false">
      <c r="A867" s="1"/>
      <c r="B867" s="35"/>
      <c r="C867" s="8"/>
      <c r="D867" s="26"/>
      <c r="E867" s="27"/>
      <c r="F867" s="36"/>
      <c r="G867" s="36"/>
      <c r="H867" s="36"/>
      <c r="I867" s="36"/>
      <c r="J867" s="37" t="str">
        <f aca="false">IF($E867="","",IFERROR(G867/F867,""))</f>
        <v/>
      </c>
      <c r="K867" s="30" t="str">
        <f aca="false">IF($E867="","",IFERROR(E867/G867,""))</f>
        <v/>
      </c>
      <c r="L867" s="30" t="str">
        <f aca="false">IF($E867="","",IFERROR(E867/F867*1000,""))</f>
        <v/>
      </c>
      <c r="M867" s="37" t="str">
        <f aca="false">IF($E867="","",IFERROR(H867/G867,""))</f>
        <v/>
      </c>
      <c r="N867" s="30" t="str">
        <f aca="false">IF($E867="","",IFERROR(E867/H867,"—"))</f>
        <v/>
      </c>
      <c r="O867" s="30" t="str">
        <f aca="false">IF($E867="","",IFERROR(INDEX('Гео-калькулятор'!$K$7:$K$13,MATCH($C867,'Гео-калькулятор'!$B$7:$B$13,0)),""))</f>
        <v/>
      </c>
      <c r="P867" s="38" t="str">
        <f aca="false">IF($E867="","",IFERROR(N867/O867,""))</f>
        <v/>
      </c>
      <c r="Q867" s="39" t="str">
        <f aca="false">IF($E867="","",IF($I867&lt;&gt;"",$I867,N($H867)*IFERROR(INDEX('Гео-калькулятор'!$E$7:$E$13,MATCH($C867,'Гео-калькулятор'!$B$7:$B$13,0)),0)))</f>
        <v/>
      </c>
      <c r="R867" s="38" t="str">
        <f aca="false">IF($E867="","",IFERROR(Q867/H867,""))</f>
        <v/>
      </c>
      <c r="S867" s="30" t="str">
        <f aca="false">IF($E867="","",IFERROR(E867/Q867,"—"))</f>
        <v/>
      </c>
      <c r="T867" s="30" t="str">
        <f aca="false">IF($E867="","",Q867*IFERROR(INDEX('Гео-калькулятор'!$D$7:$D$13,MATCH($C867,'Гео-калькулятор'!$B$7:$B$13,0)),0))</f>
        <v/>
      </c>
      <c r="U867" s="40" t="str">
        <f aca="false">IF($E867="","",T867-E867)</f>
        <v/>
      </c>
      <c r="V867" s="41" t="str">
        <f aca="false">IF($E867="","",IFERROR(U867/E867,""))</f>
        <v/>
      </c>
      <c r="W867" s="10" t="str">
        <f aca="false">IF($E867="","",IF($I867&lt;&gt;"","факт","прогноз"))</f>
        <v/>
      </c>
      <c r="X867" s="1"/>
      <c r="Y867" s="1"/>
      <c r="Z867" s="1"/>
      <c r="AA867" s="1"/>
      <c r="AB867" s="1"/>
      <c r="AC867" s="1"/>
      <c r="AD867" s="1"/>
    </row>
    <row r="868" customFormat="false" ht="18" hidden="false" customHeight="true" outlineLevel="0" collapsed="false">
      <c r="A868" s="1"/>
      <c r="B868" s="35"/>
      <c r="C868" s="8"/>
      <c r="D868" s="26"/>
      <c r="E868" s="27"/>
      <c r="F868" s="36"/>
      <c r="G868" s="36"/>
      <c r="H868" s="36"/>
      <c r="I868" s="36"/>
      <c r="J868" s="37" t="str">
        <f aca="false">IF($E868="","",IFERROR(G868/F868,""))</f>
        <v/>
      </c>
      <c r="K868" s="30" t="str">
        <f aca="false">IF($E868="","",IFERROR(E868/G868,""))</f>
        <v/>
      </c>
      <c r="L868" s="30" t="str">
        <f aca="false">IF($E868="","",IFERROR(E868/F868*1000,""))</f>
        <v/>
      </c>
      <c r="M868" s="37" t="str">
        <f aca="false">IF($E868="","",IFERROR(H868/G868,""))</f>
        <v/>
      </c>
      <c r="N868" s="30" t="str">
        <f aca="false">IF($E868="","",IFERROR(E868/H868,"—"))</f>
        <v/>
      </c>
      <c r="O868" s="30" t="str">
        <f aca="false">IF($E868="","",IFERROR(INDEX('Гео-калькулятор'!$K$7:$K$13,MATCH($C868,'Гео-калькулятор'!$B$7:$B$13,0)),""))</f>
        <v/>
      </c>
      <c r="P868" s="38" t="str">
        <f aca="false">IF($E868="","",IFERROR(N868/O868,""))</f>
        <v/>
      </c>
      <c r="Q868" s="39" t="str">
        <f aca="false">IF($E868="","",IF($I868&lt;&gt;"",$I868,N($H868)*IFERROR(INDEX('Гео-калькулятор'!$E$7:$E$13,MATCH($C868,'Гео-калькулятор'!$B$7:$B$13,0)),0)))</f>
        <v/>
      </c>
      <c r="R868" s="38" t="str">
        <f aca="false">IF($E868="","",IFERROR(Q868/H868,""))</f>
        <v/>
      </c>
      <c r="S868" s="30" t="str">
        <f aca="false">IF($E868="","",IFERROR(E868/Q868,"—"))</f>
        <v/>
      </c>
      <c r="T868" s="30" t="str">
        <f aca="false">IF($E868="","",Q868*IFERROR(INDEX('Гео-калькулятор'!$D$7:$D$13,MATCH($C868,'Гео-калькулятор'!$B$7:$B$13,0)),0))</f>
        <v/>
      </c>
      <c r="U868" s="40" t="str">
        <f aca="false">IF($E868="","",T868-E868)</f>
        <v/>
      </c>
      <c r="V868" s="41" t="str">
        <f aca="false">IF($E868="","",IFERROR(U868/E868,""))</f>
        <v/>
      </c>
      <c r="W868" s="10" t="str">
        <f aca="false">IF($E868="","",IF($I868&lt;&gt;"","факт","прогноз"))</f>
        <v/>
      </c>
      <c r="X868" s="1"/>
      <c r="Y868" s="1"/>
      <c r="Z868" s="1"/>
      <c r="AA868" s="1"/>
      <c r="AB868" s="1"/>
      <c r="AC868" s="1"/>
      <c r="AD868" s="1"/>
    </row>
    <row r="869" customFormat="false" ht="18" hidden="false" customHeight="true" outlineLevel="0" collapsed="false">
      <c r="A869" s="1"/>
      <c r="B869" s="35"/>
      <c r="C869" s="8"/>
      <c r="D869" s="26"/>
      <c r="E869" s="27"/>
      <c r="F869" s="36"/>
      <c r="G869" s="36"/>
      <c r="H869" s="36"/>
      <c r="I869" s="36"/>
      <c r="J869" s="37" t="str">
        <f aca="false">IF($E869="","",IFERROR(G869/F869,""))</f>
        <v/>
      </c>
      <c r="K869" s="30" t="str">
        <f aca="false">IF($E869="","",IFERROR(E869/G869,""))</f>
        <v/>
      </c>
      <c r="L869" s="30" t="str">
        <f aca="false">IF($E869="","",IFERROR(E869/F869*1000,""))</f>
        <v/>
      </c>
      <c r="M869" s="37" t="str">
        <f aca="false">IF($E869="","",IFERROR(H869/G869,""))</f>
        <v/>
      </c>
      <c r="N869" s="30" t="str">
        <f aca="false">IF($E869="","",IFERROR(E869/H869,"—"))</f>
        <v/>
      </c>
      <c r="O869" s="30" t="str">
        <f aca="false">IF($E869="","",IFERROR(INDEX('Гео-калькулятор'!$K$7:$K$13,MATCH($C869,'Гео-калькулятор'!$B$7:$B$13,0)),""))</f>
        <v/>
      </c>
      <c r="P869" s="38" t="str">
        <f aca="false">IF($E869="","",IFERROR(N869/O869,""))</f>
        <v/>
      </c>
      <c r="Q869" s="39" t="str">
        <f aca="false">IF($E869="","",IF($I869&lt;&gt;"",$I869,N($H869)*IFERROR(INDEX('Гео-калькулятор'!$E$7:$E$13,MATCH($C869,'Гео-калькулятор'!$B$7:$B$13,0)),0)))</f>
        <v/>
      </c>
      <c r="R869" s="38" t="str">
        <f aca="false">IF($E869="","",IFERROR(Q869/H869,""))</f>
        <v/>
      </c>
      <c r="S869" s="30" t="str">
        <f aca="false">IF($E869="","",IFERROR(E869/Q869,"—"))</f>
        <v/>
      </c>
      <c r="T869" s="30" t="str">
        <f aca="false">IF($E869="","",Q869*IFERROR(INDEX('Гео-калькулятор'!$D$7:$D$13,MATCH($C869,'Гео-калькулятор'!$B$7:$B$13,0)),0))</f>
        <v/>
      </c>
      <c r="U869" s="40" t="str">
        <f aca="false">IF($E869="","",T869-E869)</f>
        <v/>
      </c>
      <c r="V869" s="41" t="str">
        <f aca="false">IF($E869="","",IFERROR(U869/E869,""))</f>
        <v/>
      </c>
      <c r="W869" s="10" t="str">
        <f aca="false">IF($E869="","",IF($I869&lt;&gt;"","факт","прогноз"))</f>
        <v/>
      </c>
      <c r="X869" s="1"/>
      <c r="Y869" s="1"/>
      <c r="Z869" s="1"/>
      <c r="AA869" s="1"/>
      <c r="AB869" s="1"/>
      <c r="AC869" s="1"/>
      <c r="AD869" s="1"/>
    </row>
    <row r="870" customFormat="false" ht="18" hidden="false" customHeight="true" outlineLevel="0" collapsed="false">
      <c r="A870" s="1"/>
      <c r="B870" s="35"/>
      <c r="C870" s="8"/>
      <c r="D870" s="26"/>
      <c r="E870" s="27"/>
      <c r="F870" s="36"/>
      <c r="G870" s="36"/>
      <c r="H870" s="36"/>
      <c r="I870" s="36"/>
      <c r="J870" s="37" t="str">
        <f aca="false">IF($E870="","",IFERROR(G870/F870,""))</f>
        <v/>
      </c>
      <c r="K870" s="30" t="str">
        <f aca="false">IF($E870="","",IFERROR(E870/G870,""))</f>
        <v/>
      </c>
      <c r="L870" s="30" t="str">
        <f aca="false">IF($E870="","",IFERROR(E870/F870*1000,""))</f>
        <v/>
      </c>
      <c r="M870" s="37" t="str">
        <f aca="false">IF($E870="","",IFERROR(H870/G870,""))</f>
        <v/>
      </c>
      <c r="N870" s="30" t="str">
        <f aca="false">IF($E870="","",IFERROR(E870/H870,"—"))</f>
        <v/>
      </c>
      <c r="O870" s="30" t="str">
        <f aca="false">IF($E870="","",IFERROR(INDEX('Гео-калькулятор'!$K$7:$K$13,MATCH($C870,'Гео-калькулятор'!$B$7:$B$13,0)),""))</f>
        <v/>
      </c>
      <c r="P870" s="38" t="str">
        <f aca="false">IF($E870="","",IFERROR(N870/O870,""))</f>
        <v/>
      </c>
      <c r="Q870" s="39" t="str">
        <f aca="false">IF($E870="","",IF($I870&lt;&gt;"",$I870,N($H870)*IFERROR(INDEX('Гео-калькулятор'!$E$7:$E$13,MATCH($C870,'Гео-калькулятор'!$B$7:$B$13,0)),0)))</f>
        <v/>
      </c>
      <c r="R870" s="38" t="str">
        <f aca="false">IF($E870="","",IFERROR(Q870/H870,""))</f>
        <v/>
      </c>
      <c r="S870" s="30" t="str">
        <f aca="false">IF($E870="","",IFERROR(E870/Q870,"—"))</f>
        <v/>
      </c>
      <c r="T870" s="30" t="str">
        <f aca="false">IF($E870="","",Q870*IFERROR(INDEX('Гео-калькулятор'!$D$7:$D$13,MATCH($C870,'Гео-калькулятор'!$B$7:$B$13,0)),0))</f>
        <v/>
      </c>
      <c r="U870" s="40" t="str">
        <f aca="false">IF($E870="","",T870-E870)</f>
        <v/>
      </c>
      <c r="V870" s="41" t="str">
        <f aca="false">IF($E870="","",IFERROR(U870/E870,""))</f>
        <v/>
      </c>
      <c r="W870" s="10" t="str">
        <f aca="false">IF($E870="","",IF($I870&lt;&gt;"","факт","прогноз"))</f>
        <v/>
      </c>
      <c r="X870" s="1"/>
      <c r="Y870" s="1"/>
      <c r="Z870" s="1"/>
      <c r="AA870" s="1"/>
      <c r="AB870" s="1"/>
      <c r="AC870" s="1"/>
      <c r="AD870" s="1"/>
    </row>
    <row r="871" customFormat="false" ht="18" hidden="false" customHeight="true" outlineLevel="0" collapsed="false">
      <c r="A871" s="1"/>
      <c r="B871" s="35"/>
      <c r="C871" s="8"/>
      <c r="D871" s="26"/>
      <c r="E871" s="27"/>
      <c r="F871" s="36"/>
      <c r="G871" s="36"/>
      <c r="H871" s="36"/>
      <c r="I871" s="36"/>
      <c r="J871" s="37" t="str">
        <f aca="false">IF($E871="","",IFERROR(G871/F871,""))</f>
        <v/>
      </c>
      <c r="K871" s="30" t="str">
        <f aca="false">IF($E871="","",IFERROR(E871/G871,""))</f>
        <v/>
      </c>
      <c r="L871" s="30" t="str">
        <f aca="false">IF($E871="","",IFERROR(E871/F871*1000,""))</f>
        <v/>
      </c>
      <c r="M871" s="37" t="str">
        <f aca="false">IF($E871="","",IFERROR(H871/G871,""))</f>
        <v/>
      </c>
      <c r="N871" s="30" t="str">
        <f aca="false">IF($E871="","",IFERROR(E871/H871,"—"))</f>
        <v/>
      </c>
      <c r="O871" s="30" t="str">
        <f aca="false">IF($E871="","",IFERROR(INDEX('Гео-калькулятор'!$K$7:$K$13,MATCH($C871,'Гео-калькулятор'!$B$7:$B$13,0)),""))</f>
        <v/>
      </c>
      <c r="P871" s="38" t="str">
        <f aca="false">IF($E871="","",IFERROR(N871/O871,""))</f>
        <v/>
      </c>
      <c r="Q871" s="39" t="str">
        <f aca="false">IF($E871="","",IF($I871&lt;&gt;"",$I871,N($H871)*IFERROR(INDEX('Гео-калькулятор'!$E$7:$E$13,MATCH($C871,'Гео-калькулятор'!$B$7:$B$13,0)),0)))</f>
        <v/>
      </c>
      <c r="R871" s="38" t="str">
        <f aca="false">IF($E871="","",IFERROR(Q871/H871,""))</f>
        <v/>
      </c>
      <c r="S871" s="30" t="str">
        <f aca="false">IF($E871="","",IFERROR(E871/Q871,"—"))</f>
        <v/>
      </c>
      <c r="T871" s="30" t="str">
        <f aca="false">IF($E871="","",Q871*IFERROR(INDEX('Гео-калькулятор'!$D$7:$D$13,MATCH($C871,'Гео-калькулятор'!$B$7:$B$13,0)),0))</f>
        <v/>
      </c>
      <c r="U871" s="40" t="str">
        <f aca="false">IF($E871="","",T871-E871)</f>
        <v/>
      </c>
      <c r="V871" s="41" t="str">
        <f aca="false">IF($E871="","",IFERROR(U871/E871,""))</f>
        <v/>
      </c>
      <c r="W871" s="10" t="str">
        <f aca="false">IF($E871="","",IF($I871&lt;&gt;"","факт","прогноз"))</f>
        <v/>
      </c>
      <c r="X871" s="1"/>
      <c r="Y871" s="1"/>
      <c r="Z871" s="1"/>
      <c r="AA871" s="1"/>
      <c r="AB871" s="1"/>
      <c r="AC871" s="1"/>
      <c r="AD871" s="1"/>
    </row>
    <row r="872" customFormat="false" ht="18" hidden="false" customHeight="true" outlineLevel="0" collapsed="false">
      <c r="A872" s="1"/>
      <c r="B872" s="35"/>
      <c r="C872" s="8"/>
      <c r="D872" s="26"/>
      <c r="E872" s="27"/>
      <c r="F872" s="36"/>
      <c r="G872" s="36"/>
      <c r="H872" s="36"/>
      <c r="I872" s="36"/>
      <c r="J872" s="37" t="str">
        <f aca="false">IF($E872="","",IFERROR(G872/F872,""))</f>
        <v/>
      </c>
      <c r="K872" s="30" t="str">
        <f aca="false">IF($E872="","",IFERROR(E872/G872,""))</f>
        <v/>
      </c>
      <c r="L872" s="30" t="str">
        <f aca="false">IF($E872="","",IFERROR(E872/F872*1000,""))</f>
        <v/>
      </c>
      <c r="M872" s="37" t="str">
        <f aca="false">IF($E872="","",IFERROR(H872/G872,""))</f>
        <v/>
      </c>
      <c r="N872" s="30" t="str">
        <f aca="false">IF($E872="","",IFERROR(E872/H872,"—"))</f>
        <v/>
      </c>
      <c r="O872" s="30" t="str">
        <f aca="false">IF($E872="","",IFERROR(INDEX('Гео-калькулятор'!$K$7:$K$13,MATCH($C872,'Гео-калькулятор'!$B$7:$B$13,0)),""))</f>
        <v/>
      </c>
      <c r="P872" s="38" t="str">
        <f aca="false">IF($E872="","",IFERROR(N872/O872,""))</f>
        <v/>
      </c>
      <c r="Q872" s="39" t="str">
        <f aca="false">IF($E872="","",IF($I872&lt;&gt;"",$I872,N($H872)*IFERROR(INDEX('Гео-калькулятор'!$E$7:$E$13,MATCH($C872,'Гео-калькулятор'!$B$7:$B$13,0)),0)))</f>
        <v/>
      </c>
      <c r="R872" s="38" t="str">
        <f aca="false">IF($E872="","",IFERROR(Q872/H872,""))</f>
        <v/>
      </c>
      <c r="S872" s="30" t="str">
        <f aca="false">IF($E872="","",IFERROR(E872/Q872,"—"))</f>
        <v/>
      </c>
      <c r="T872" s="30" t="str">
        <f aca="false">IF($E872="","",Q872*IFERROR(INDEX('Гео-калькулятор'!$D$7:$D$13,MATCH($C872,'Гео-калькулятор'!$B$7:$B$13,0)),0))</f>
        <v/>
      </c>
      <c r="U872" s="40" t="str">
        <f aca="false">IF($E872="","",T872-E872)</f>
        <v/>
      </c>
      <c r="V872" s="41" t="str">
        <f aca="false">IF($E872="","",IFERROR(U872/E872,""))</f>
        <v/>
      </c>
      <c r="W872" s="10" t="str">
        <f aca="false">IF($E872="","",IF($I872&lt;&gt;"","факт","прогноз"))</f>
        <v/>
      </c>
      <c r="X872" s="1"/>
      <c r="Y872" s="1"/>
      <c r="Z872" s="1"/>
      <c r="AA872" s="1"/>
      <c r="AB872" s="1"/>
      <c r="AC872" s="1"/>
      <c r="AD872" s="1"/>
    </row>
    <row r="873" customFormat="false" ht="18" hidden="false" customHeight="true" outlineLevel="0" collapsed="false">
      <c r="A873" s="1"/>
      <c r="B873" s="35"/>
      <c r="C873" s="8"/>
      <c r="D873" s="26"/>
      <c r="E873" s="27"/>
      <c r="F873" s="36"/>
      <c r="G873" s="36"/>
      <c r="H873" s="36"/>
      <c r="I873" s="36"/>
      <c r="J873" s="37" t="str">
        <f aca="false">IF($E873="","",IFERROR(G873/F873,""))</f>
        <v/>
      </c>
      <c r="K873" s="30" t="str">
        <f aca="false">IF($E873="","",IFERROR(E873/G873,""))</f>
        <v/>
      </c>
      <c r="L873" s="30" t="str">
        <f aca="false">IF($E873="","",IFERROR(E873/F873*1000,""))</f>
        <v/>
      </c>
      <c r="M873" s="37" t="str">
        <f aca="false">IF($E873="","",IFERROR(H873/G873,""))</f>
        <v/>
      </c>
      <c r="N873" s="30" t="str">
        <f aca="false">IF($E873="","",IFERROR(E873/H873,"—"))</f>
        <v/>
      </c>
      <c r="O873" s="30" t="str">
        <f aca="false">IF($E873="","",IFERROR(INDEX('Гео-калькулятор'!$K$7:$K$13,MATCH($C873,'Гео-калькулятор'!$B$7:$B$13,0)),""))</f>
        <v/>
      </c>
      <c r="P873" s="38" t="str">
        <f aca="false">IF($E873="","",IFERROR(N873/O873,""))</f>
        <v/>
      </c>
      <c r="Q873" s="39" t="str">
        <f aca="false">IF($E873="","",IF($I873&lt;&gt;"",$I873,N($H873)*IFERROR(INDEX('Гео-калькулятор'!$E$7:$E$13,MATCH($C873,'Гео-калькулятор'!$B$7:$B$13,0)),0)))</f>
        <v/>
      </c>
      <c r="R873" s="38" t="str">
        <f aca="false">IF($E873="","",IFERROR(Q873/H873,""))</f>
        <v/>
      </c>
      <c r="S873" s="30" t="str">
        <f aca="false">IF($E873="","",IFERROR(E873/Q873,"—"))</f>
        <v/>
      </c>
      <c r="T873" s="30" t="str">
        <f aca="false">IF($E873="","",Q873*IFERROR(INDEX('Гео-калькулятор'!$D$7:$D$13,MATCH($C873,'Гео-калькулятор'!$B$7:$B$13,0)),0))</f>
        <v/>
      </c>
      <c r="U873" s="40" t="str">
        <f aca="false">IF($E873="","",T873-E873)</f>
        <v/>
      </c>
      <c r="V873" s="41" t="str">
        <f aca="false">IF($E873="","",IFERROR(U873/E873,""))</f>
        <v/>
      </c>
      <c r="W873" s="10" t="str">
        <f aca="false">IF($E873="","",IF($I873&lt;&gt;"","факт","прогноз"))</f>
        <v/>
      </c>
      <c r="X873" s="1"/>
      <c r="Y873" s="1"/>
      <c r="Z873" s="1"/>
      <c r="AA873" s="1"/>
      <c r="AB873" s="1"/>
      <c r="AC873" s="1"/>
      <c r="AD873" s="1"/>
    </row>
    <row r="874" customFormat="false" ht="18" hidden="false" customHeight="true" outlineLevel="0" collapsed="false">
      <c r="A874" s="1"/>
      <c r="B874" s="35"/>
      <c r="C874" s="8"/>
      <c r="D874" s="26"/>
      <c r="E874" s="27"/>
      <c r="F874" s="36"/>
      <c r="G874" s="36"/>
      <c r="H874" s="36"/>
      <c r="I874" s="36"/>
      <c r="J874" s="37" t="str">
        <f aca="false">IF($E874="","",IFERROR(G874/F874,""))</f>
        <v/>
      </c>
      <c r="K874" s="30" t="str">
        <f aca="false">IF($E874="","",IFERROR(E874/G874,""))</f>
        <v/>
      </c>
      <c r="L874" s="30" t="str">
        <f aca="false">IF($E874="","",IFERROR(E874/F874*1000,""))</f>
        <v/>
      </c>
      <c r="M874" s="37" t="str">
        <f aca="false">IF($E874="","",IFERROR(H874/G874,""))</f>
        <v/>
      </c>
      <c r="N874" s="30" t="str">
        <f aca="false">IF($E874="","",IFERROR(E874/H874,"—"))</f>
        <v/>
      </c>
      <c r="O874" s="30" t="str">
        <f aca="false">IF($E874="","",IFERROR(INDEX('Гео-калькулятор'!$K$7:$K$13,MATCH($C874,'Гео-калькулятор'!$B$7:$B$13,0)),""))</f>
        <v/>
      </c>
      <c r="P874" s="38" t="str">
        <f aca="false">IF($E874="","",IFERROR(N874/O874,""))</f>
        <v/>
      </c>
      <c r="Q874" s="39" t="str">
        <f aca="false">IF($E874="","",IF($I874&lt;&gt;"",$I874,N($H874)*IFERROR(INDEX('Гео-калькулятор'!$E$7:$E$13,MATCH($C874,'Гео-калькулятор'!$B$7:$B$13,0)),0)))</f>
        <v/>
      </c>
      <c r="R874" s="38" t="str">
        <f aca="false">IF($E874="","",IFERROR(Q874/H874,""))</f>
        <v/>
      </c>
      <c r="S874" s="30" t="str">
        <f aca="false">IF($E874="","",IFERROR(E874/Q874,"—"))</f>
        <v/>
      </c>
      <c r="T874" s="30" t="str">
        <f aca="false">IF($E874="","",Q874*IFERROR(INDEX('Гео-калькулятор'!$D$7:$D$13,MATCH($C874,'Гео-калькулятор'!$B$7:$B$13,0)),0))</f>
        <v/>
      </c>
      <c r="U874" s="40" t="str">
        <f aca="false">IF($E874="","",T874-E874)</f>
        <v/>
      </c>
      <c r="V874" s="41" t="str">
        <f aca="false">IF($E874="","",IFERROR(U874/E874,""))</f>
        <v/>
      </c>
      <c r="W874" s="10" t="str">
        <f aca="false">IF($E874="","",IF($I874&lt;&gt;"","факт","прогноз"))</f>
        <v/>
      </c>
      <c r="X874" s="1"/>
      <c r="Y874" s="1"/>
      <c r="Z874" s="1"/>
      <c r="AA874" s="1"/>
      <c r="AB874" s="1"/>
      <c r="AC874" s="1"/>
      <c r="AD874" s="1"/>
    </row>
    <row r="875" customFormat="false" ht="18" hidden="false" customHeight="true" outlineLevel="0" collapsed="false">
      <c r="A875" s="1"/>
      <c r="B875" s="35"/>
      <c r="C875" s="8"/>
      <c r="D875" s="26"/>
      <c r="E875" s="27"/>
      <c r="F875" s="36"/>
      <c r="G875" s="36"/>
      <c r="H875" s="36"/>
      <c r="I875" s="36"/>
      <c r="J875" s="37" t="str">
        <f aca="false">IF($E875="","",IFERROR(G875/F875,""))</f>
        <v/>
      </c>
      <c r="K875" s="30" t="str">
        <f aca="false">IF($E875="","",IFERROR(E875/G875,""))</f>
        <v/>
      </c>
      <c r="L875" s="30" t="str">
        <f aca="false">IF($E875="","",IFERROR(E875/F875*1000,""))</f>
        <v/>
      </c>
      <c r="M875" s="37" t="str">
        <f aca="false">IF($E875="","",IFERROR(H875/G875,""))</f>
        <v/>
      </c>
      <c r="N875" s="30" t="str">
        <f aca="false">IF($E875="","",IFERROR(E875/H875,"—"))</f>
        <v/>
      </c>
      <c r="O875" s="30" t="str">
        <f aca="false">IF($E875="","",IFERROR(INDEX('Гео-калькулятор'!$K$7:$K$13,MATCH($C875,'Гео-калькулятор'!$B$7:$B$13,0)),""))</f>
        <v/>
      </c>
      <c r="P875" s="38" t="str">
        <f aca="false">IF($E875="","",IFERROR(N875/O875,""))</f>
        <v/>
      </c>
      <c r="Q875" s="39" t="str">
        <f aca="false">IF($E875="","",IF($I875&lt;&gt;"",$I875,N($H875)*IFERROR(INDEX('Гео-калькулятор'!$E$7:$E$13,MATCH($C875,'Гео-калькулятор'!$B$7:$B$13,0)),0)))</f>
        <v/>
      </c>
      <c r="R875" s="38" t="str">
        <f aca="false">IF($E875="","",IFERROR(Q875/H875,""))</f>
        <v/>
      </c>
      <c r="S875" s="30" t="str">
        <f aca="false">IF($E875="","",IFERROR(E875/Q875,"—"))</f>
        <v/>
      </c>
      <c r="T875" s="30" t="str">
        <f aca="false">IF($E875="","",Q875*IFERROR(INDEX('Гео-калькулятор'!$D$7:$D$13,MATCH($C875,'Гео-калькулятор'!$B$7:$B$13,0)),0))</f>
        <v/>
      </c>
      <c r="U875" s="40" t="str">
        <f aca="false">IF($E875="","",T875-E875)</f>
        <v/>
      </c>
      <c r="V875" s="41" t="str">
        <f aca="false">IF($E875="","",IFERROR(U875/E875,""))</f>
        <v/>
      </c>
      <c r="W875" s="10" t="str">
        <f aca="false">IF($E875="","",IF($I875&lt;&gt;"","факт","прогноз"))</f>
        <v/>
      </c>
      <c r="X875" s="1"/>
      <c r="Y875" s="1"/>
      <c r="Z875" s="1"/>
      <c r="AA875" s="1"/>
      <c r="AB875" s="1"/>
      <c r="AC875" s="1"/>
      <c r="AD875" s="1"/>
    </row>
    <row r="876" customFormat="false" ht="18" hidden="false" customHeight="true" outlineLevel="0" collapsed="false">
      <c r="A876" s="1"/>
      <c r="B876" s="35"/>
      <c r="C876" s="8"/>
      <c r="D876" s="26"/>
      <c r="E876" s="27"/>
      <c r="F876" s="36"/>
      <c r="G876" s="36"/>
      <c r="H876" s="36"/>
      <c r="I876" s="36"/>
      <c r="J876" s="37" t="str">
        <f aca="false">IF($E876="","",IFERROR(G876/F876,""))</f>
        <v/>
      </c>
      <c r="K876" s="30" t="str">
        <f aca="false">IF($E876="","",IFERROR(E876/G876,""))</f>
        <v/>
      </c>
      <c r="L876" s="30" t="str">
        <f aca="false">IF($E876="","",IFERROR(E876/F876*1000,""))</f>
        <v/>
      </c>
      <c r="M876" s="37" t="str">
        <f aca="false">IF($E876="","",IFERROR(H876/G876,""))</f>
        <v/>
      </c>
      <c r="N876" s="30" t="str">
        <f aca="false">IF($E876="","",IFERROR(E876/H876,"—"))</f>
        <v/>
      </c>
      <c r="O876" s="30" t="str">
        <f aca="false">IF($E876="","",IFERROR(INDEX('Гео-калькулятор'!$K$7:$K$13,MATCH($C876,'Гео-калькулятор'!$B$7:$B$13,0)),""))</f>
        <v/>
      </c>
      <c r="P876" s="38" t="str">
        <f aca="false">IF($E876="","",IFERROR(N876/O876,""))</f>
        <v/>
      </c>
      <c r="Q876" s="39" t="str">
        <f aca="false">IF($E876="","",IF($I876&lt;&gt;"",$I876,N($H876)*IFERROR(INDEX('Гео-калькулятор'!$E$7:$E$13,MATCH($C876,'Гео-калькулятор'!$B$7:$B$13,0)),0)))</f>
        <v/>
      </c>
      <c r="R876" s="38" t="str">
        <f aca="false">IF($E876="","",IFERROR(Q876/H876,""))</f>
        <v/>
      </c>
      <c r="S876" s="30" t="str">
        <f aca="false">IF($E876="","",IFERROR(E876/Q876,"—"))</f>
        <v/>
      </c>
      <c r="T876" s="30" t="str">
        <f aca="false">IF($E876="","",Q876*IFERROR(INDEX('Гео-калькулятор'!$D$7:$D$13,MATCH($C876,'Гео-калькулятор'!$B$7:$B$13,0)),0))</f>
        <v/>
      </c>
      <c r="U876" s="40" t="str">
        <f aca="false">IF($E876="","",T876-E876)</f>
        <v/>
      </c>
      <c r="V876" s="41" t="str">
        <f aca="false">IF($E876="","",IFERROR(U876/E876,""))</f>
        <v/>
      </c>
      <c r="W876" s="10" t="str">
        <f aca="false">IF($E876="","",IF($I876&lt;&gt;"","факт","прогноз"))</f>
        <v/>
      </c>
      <c r="X876" s="1"/>
      <c r="Y876" s="1"/>
      <c r="Z876" s="1"/>
      <c r="AA876" s="1"/>
      <c r="AB876" s="1"/>
      <c r="AC876" s="1"/>
      <c r="AD876" s="1"/>
    </row>
    <row r="877" customFormat="false" ht="18" hidden="false" customHeight="true" outlineLevel="0" collapsed="false">
      <c r="A877" s="1"/>
      <c r="B877" s="35"/>
      <c r="C877" s="8"/>
      <c r="D877" s="26"/>
      <c r="E877" s="27"/>
      <c r="F877" s="36"/>
      <c r="G877" s="36"/>
      <c r="H877" s="36"/>
      <c r="I877" s="36"/>
      <c r="J877" s="37" t="str">
        <f aca="false">IF($E877="","",IFERROR(G877/F877,""))</f>
        <v/>
      </c>
      <c r="K877" s="30" t="str">
        <f aca="false">IF($E877="","",IFERROR(E877/G877,""))</f>
        <v/>
      </c>
      <c r="L877" s="30" t="str">
        <f aca="false">IF($E877="","",IFERROR(E877/F877*1000,""))</f>
        <v/>
      </c>
      <c r="M877" s="37" t="str">
        <f aca="false">IF($E877="","",IFERROR(H877/G877,""))</f>
        <v/>
      </c>
      <c r="N877" s="30" t="str">
        <f aca="false">IF($E877="","",IFERROR(E877/H877,"—"))</f>
        <v/>
      </c>
      <c r="O877" s="30" t="str">
        <f aca="false">IF($E877="","",IFERROR(INDEX('Гео-калькулятор'!$K$7:$K$13,MATCH($C877,'Гео-калькулятор'!$B$7:$B$13,0)),""))</f>
        <v/>
      </c>
      <c r="P877" s="38" t="str">
        <f aca="false">IF($E877="","",IFERROR(N877/O877,""))</f>
        <v/>
      </c>
      <c r="Q877" s="39" t="str">
        <f aca="false">IF($E877="","",IF($I877&lt;&gt;"",$I877,N($H877)*IFERROR(INDEX('Гео-калькулятор'!$E$7:$E$13,MATCH($C877,'Гео-калькулятор'!$B$7:$B$13,0)),0)))</f>
        <v/>
      </c>
      <c r="R877" s="38" t="str">
        <f aca="false">IF($E877="","",IFERROR(Q877/H877,""))</f>
        <v/>
      </c>
      <c r="S877" s="30" t="str">
        <f aca="false">IF($E877="","",IFERROR(E877/Q877,"—"))</f>
        <v/>
      </c>
      <c r="T877" s="30" t="str">
        <f aca="false">IF($E877="","",Q877*IFERROR(INDEX('Гео-калькулятор'!$D$7:$D$13,MATCH($C877,'Гео-калькулятор'!$B$7:$B$13,0)),0))</f>
        <v/>
      </c>
      <c r="U877" s="40" t="str">
        <f aca="false">IF($E877="","",T877-E877)</f>
        <v/>
      </c>
      <c r="V877" s="41" t="str">
        <f aca="false">IF($E877="","",IFERROR(U877/E877,""))</f>
        <v/>
      </c>
      <c r="W877" s="10" t="str">
        <f aca="false">IF($E877="","",IF($I877&lt;&gt;"","факт","прогноз"))</f>
        <v/>
      </c>
      <c r="X877" s="1"/>
      <c r="Y877" s="1"/>
      <c r="Z877" s="1"/>
      <c r="AA877" s="1"/>
      <c r="AB877" s="1"/>
      <c r="AC877" s="1"/>
      <c r="AD877" s="1"/>
    </row>
    <row r="878" customFormat="false" ht="18" hidden="false" customHeight="true" outlineLevel="0" collapsed="false">
      <c r="A878" s="1"/>
      <c r="B878" s="35"/>
      <c r="C878" s="8"/>
      <c r="D878" s="26"/>
      <c r="E878" s="27"/>
      <c r="F878" s="36"/>
      <c r="G878" s="36"/>
      <c r="H878" s="36"/>
      <c r="I878" s="36"/>
      <c r="J878" s="37" t="str">
        <f aca="false">IF($E878="","",IFERROR(G878/F878,""))</f>
        <v/>
      </c>
      <c r="K878" s="30" t="str">
        <f aca="false">IF($E878="","",IFERROR(E878/G878,""))</f>
        <v/>
      </c>
      <c r="L878" s="30" t="str">
        <f aca="false">IF($E878="","",IFERROR(E878/F878*1000,""))</f>
        <v/>
      </c>
      <c r="M878" s="37" t="str">
        <f aca="false">IF($E878="","",IFERROR(H878/G878,""))</f>
        <v/>
      </c>
      <c r="N878" s="30" t="str">
        <f aca="false">IF($E878="","",IFERROR(E878/H878,"—"))</f>
        <v/>
      </c>
      <c r="O878" s="30" t="str">
        <f aca="false">IF($E878="","",IFERROR(INDEX('Гео-калькулятор'!$K$7:$K$13,MATCH($C878,'Гео-калькулятор'!$B$7:$B$13,0)),""))</f>
        <v/>
      </c>
      <c r="P878" s="38" t="str">
        <f aca="false">IF($E878="","",IFERROR(N878/O878,""))</f>
        <v/>
      </c>
      <c r="Q878" s="39" t="str">
        <f aca="false">IF($E878="","",IF($I878&lt;&gt;"",$I878,N($H878)*IFERROR(INDEX('Гео-калькулятор'!$E$7:$E$13,MATCH($C878,'Гео-калькулятор'!$B$7:$B$13,0)),0)))</f>
        <v/>
      </c>
      <c r="R878" s="38" t="str">
        <f aca="false">IF($E878="","",IFERROR(Q878/H878,""))</f>
        <v/>
      </c>
      <c r="S878" s="30" t="str">
        <f aca="false">IF($E878="","",IFERROR(E878/Q878,"—"))</f>
        <v/>
      </c>
      <c r="T878" s="30" t="str">
        <f aca="false">IF($E878="","",Q878*IFERROR(INDEX('Гео-калькулятор'!$D$7:$D$13,MATCH($C878,'Гео-калькулятор'!$B$7:$B$13,0)),0))</f>
        <v/>
      </c>
      <c r="U878" s="40" t="str">
        <f aca="false">IF($E878="","",T878-E878)</f>
        <v/>
      </c>
      <c r="V878" s="41" t="str">
        <f aca="false">IF($E878="","",IFERROR(U878/E878,""))</f>
        <v/>
      </c>
      <c r="W878" s="10" t="str">
        <f aca="false">IF($E878="","",IF($I878&lt;&gt;"","факт","прогноз"))</f>
        <v/>
      </c>
      <c r="X878" s="1"/>
      <c r="Y878" s="1"/>
      <c r="Z878" s="1"/>
      <c r="AA878" s="1"/>
      <c r="AB878" s="1"/>
      <c r="AC878" s="1"/>
      <c r="AD878" s="1"/>
    </row>
    <row r="879" customFormat="false" ht="18" hidden="false" customHeight="true" outlineLevel="0" collapsed="false">
      <c r="A879" s="1"/>
      <c r="B879" s="35"/>
      <c r="C879" s="8"/>
      <c r="D879" s="26"/>
      <c r="E879" s="27"/>
      <c r="F879" s="36"/>
      <c r="G879" s="36"/>
      <c r="H879" s="36"/>
      <c r="I879" s="36"/>
      <c r="J879" s="37" t="str">
        <f aca="false">IF($E879="","",IFERROR(G879/F879,""))</f>
        <v/>
      </c>
      <c r="K879" s="30" t="str">
        <f aca="false">IF($E879="","",IFERROR(E879/G879,""))</f>
        <v/>
      </c>
      <c r="L879" s="30" t="str">
        <f aca="false">IF($E879="","",IFERROR(E879/F879*1000,""))</f>
        <v/>
      </c>
      <c r="M879" s="37" t="str">
        <f aca="false">IF($E879="","",IFERROR(H879/G879,""))</f>
        <v/>
      </c>
      <c r="N879" s="30" t="str">
        <f aca="false">IF($E879="","",IFERROR(E879/H879,"—"))</f>
        <v/>
      </c>
      <c r="O879" s="30" t="str">
        <f aca="false">IF($E879="","",IFERROR(INDEX('Гео-калькулятор'!$K$7:$K$13,MATCH($C879,'Гео-калькулятор'!$B$7:$B$13,0)),""))</f>
        <v/>
      </c>
      <c r="P879" s="38" t="str">
        <f aca="false">IF($E879="","",IFERROR(N879/O879,""))</f>
        <v/>
      </c>
      <c r="Q879" s="39" t="str">
        <f aca="false">IF($E879="","",IF($I879&lt;&gt;"",$I879,N($H879)*IFERROR(INDEX('Гео-калькулятор'!$E$7:$E$13,MATCH($C879,'Гео-калькулятор'!$B$7:$B$13,0)),0)))</f>
        <v/>
      </c>
      <c r="R879" s="38" t="str">
        <f aca="false">IF($E879="","",IFERROR(Q879/H879,""))</f>
        <v/>
      </c>
      <c r="S879" s="30" t="str">
        <f aca="false">IF($E879="","",IFERROR(E879/Q879,"—"))</f>
        <v/>
      </c>
      <c r="T879" s="30" t="str">
        <f aca="false">IF($E879="","",Q879*IFERROR(INDEX('Гео-калькулятор'!$D$7:$D$13,MATCH($C879,'Гео-калькулятор'!$B$7:$B$13,0)),0))</f>
        <v/>
      </c>
      <c r="U879" s="40" t="str">
        <f aca="false">IF($E879="","",T879-E879)</f>
        <v/>
      </c>
      <c r="V879" s="41" t="str">
        <f aca="false">IF($E879="","",IFERROR(U879/E879,""))</f>
        <v/>
      </c>
      <c r="W879" s="10" t="str">
        <f aca="false">IF($E879="","",IF($I879&lt;&gt;"","факт","прогноз"))</f>
        <v/>
      </c>
      <c r="X879" s="1"/>
      <c r="Y879" s="1"/>
      <c r="Z879" s="1"/>
      <c r="AA879" s="1"/>
      <c r="AB879" s="1"/>
      <c r="AC879" s="1"/>
      <c r="AD879" s="1"/>
    </row>
    <row r="880" customFormat="false" ht="18" hidden="false" customHeight="true" outlineLevel="0" collapsed="false">
      <c r="A880" s="1"/>
      <c r="B880" s="35"/>
      <c r="C880" s="8"/>
      <c r="D880" s="26"/>
      <c r="E880" s="27"/>
      <c r="F880" s="36"/>
      <c r="G880" s="36"/>
      <c r="H880" s="36"/>
      <c r="I880" s="36"/>
      <c r="J880" s="37" t="str">
        <f aca="false">IF($E880="","",IFERROR(G880/F880,""))</f>
        <v/>
      </c>
      <c r="K880" s="30" t="str">
        <f aca="false">IF($E880="","",IFERROR(E880/G880,""))</f>
        <v/>
      </c>
      <c r="L880" s="30" t="str">
        <f aca="false">IF($E880="","",IFERROR(E880/F880*1000,""))</f>
        <v/>
      </c>
      <c r="M880" s="37" t="str">
        <f aca="false">IF($E880="","",IFERROR(H880/G880,""))</f>
        <v/>
      </c>
      <c r="N880" s="30" t="str">
        <f aca="false">IF($E880="","",IFERROR(E880/H880,"—"))</f>
        <v/>
      </c>
      <c r="O880" s="30" t="str">
        <f aca="false">IF($E880="","",IFERROR(INDEX('Гео-калькулятор'!$K$7:$K$13,MATCH($C880,'Гео-калькулятор'!$B$7:$B$13,0)),""))</f>
        <v/>
      </c>
      <c r="P880" s="38" t="str">
        <f aca="false">IF($E880="","",IFERROR(N880/O880,""))</f>
        <v/>
      </c>
      <c r="Q880" s="39" t="str">
        <f aca="false">IF($E880="","",IF($I880&lt;&gt;"",$I880,N($H880)*IFERROR(INDEX('Гео-калькулятор'!$E$7:$E$13,MATCH($C880,'Гео-калькулятор'!$B$7:$B$13,0)),0)))</f>
        <v/>
      </c>
      <c r="R880" s="38" t="str">
        <f aca="false">IF($E880="","",IFERROR(Q880/H880,""))</f>
        <v/>
      </c>
      <c r="S880" s="30" t="str">
        <f aca="false">IF($E880="","",IFERROR(E880/Q880,"—"))</f>
        <v/>
      </c>
      <c r="T880" s="30" t="str">
        <f aca="false">IF($E880="","",Q880*IFERROR(INDEX('Гео-калькулятор'!$D$7:$D$13,MATCH($C880,'Гео-калькулятор'!$B$7:$B$13,0)),0))</f>
        <v/>
      </c>
      <c r="U880" s="40" t="str">
        <f aca="false">IF($E880="","",T880-E880)</f>
        <v/>
      </c>
      <c r="V880" s="41" t="str">
        <f aca="false">IF($E880="","",IFERROR(U880/E880,""))</f>
        <v/>
      </c>
      <c r="W880" s="10" t="str">
        <f aca="false">IF($E880="","",IF($I880&lt;&gt;"","факт","прогноз"))</f>
        <v/>
      </c>
      <c r="X880" s="1"/>
      <c r="Y880" s="1"/>
      <c r="Z880" s="1"/>
      <c r="AA880" s="1"/>
      <c r="AB880" s="1"/>
      <c r="AC880" s="1"/>
      <c r="AD880" s="1"/>
    </row>
    <row r="881" customFormat="false" ht="18" hidden="false" customHeight="true" outlineLevel="0" collapsed="false">
      <c r="A881" s="1"/>
      <c r="B881" s="35"/>
      <c r="C881" s="8"/>
      <c r="D881" s="26"/>
      <c r="E881" s="27"/>
      <c r="F881" s="36"/>
      <c r="G881" s="36"/>
      <c r="H881" s="36"/>
      <c r="I881" s="36"/>
      <c r="J881" s="37" t="str">
        <f aca="false">IF($E881="","",IFERROR(G881/F881,""))</f>
        <v/>
      </c>
      <c r="K881" s="30" t="str">
        <f aca="false">IF($E881="","",IFERROR(E881/G881,""))</f>
        <v/>
      </c>
      <c r="L881" s="30" t="str">
        <f aca="false">IF($E881="","",IFERROR(E881/F881*1000,""))</f>
        <v/>
      </c>
      <c r="M881" s="37" t="str">
        <f aca="false">IF($E881="","",IFERROR(H881/G881,""))</f>
        <v/>
      </c>
      <c r="N881" s="30" t="str">
        <f aca="false">IF($E881="","",IFERROR(E881/H881,"—"))</f>
        <v/>
      </c>
      <c r="O881" s="30" t="str">
        <f aca="false">IF($E881="","",IFERROR(INDEX('Гео-калькулятор'!$K$7:$K$13,MATCH($C881,'Гео-калькулятор'!$B$7:$B$13,0)),""))</f>
        <v/>
      </c>
      <c r="P881" s="38" t="str">
        <f aca="false">IF($E881="","",IFERROR(N881/O881,""))</f>
        <v/>
      </c>
      <c r="Q881" s="39" t="str">
        <f aca="false">IF($E881="","",IF($I881&lt;&gt;"",$I881,N($H881)*IFERROR(INDEX('Гео-калькулятор'!$E$7:$E$13,MATCH($C881,'Гео-калькулятор'!$B$7:$B$13,0)),0)))</f>
        <v/>
      </c>
      <c r="R881" s="38" t="str">
        <f aca="false">IF($E881="","",IFERROR(Q881/H881,""))</f>
        <v/>
      </c>
      <c r="S881" s="30" t="str">
        <f aca="false">IF($E881="","",IFERROR(E881/Q881,"—"))</f>
        <v/>
      </c>
      <c r="T881" s="30" t="str">
        <f aca="false">IF($E881="","",Q881*IFERROR(INDEX('Гео-калькулятор'!$D$7:$D$13,MATCH($C881,'Гео-калькулятор'!$B$7:$B$13,0)),0))</f>
        <v/>
      </c>
      <c r="U881" s="40" t="str">
        <f aca="false">IF($E881="","",T881-E881)</f>
        <v/>
      </c>
      <c r="V881" s="41" t="str">
        <f aca="false">IF($E881="","",IFERROR(U881/E881,""))</f>
        <v/>
      </c>
      <c r="W881" s="10" t="str">
        <f aca="false">IF($E881="","",IF($I881&lt;&gt;"","факт","прогноз"))</f>
        <v/>
      </c>
      <c r="X881" s="1"/>
      <c r="Y881" s="1"/>
      <c r="Z881" s="1"/>
      <c r="AA881" s="1"/>
      <c r="AB881" s="1"/>
      <c r="AC881" s="1"/>
      <c r="AD881" s="1"/>
    </row>
    <row r="882" customFormat="false" ht="18" hidden="false" customHeight="true" outlineLevel="0" collapsed="false">
      <c r="A882" s="1"/>
      <c r="B882" s="35"/>
      <c r="C882" s="8"/>
      <c r="D882" s="26"/>
      <c r="E882" s="27"/>
      <c r="F882" s="36"/>
      <c r="G882" s="36"/>
      <c r="H882" s="36"/>
      <c r="I882" s="36"/>
      <c r="J882" s="37" t="str">
        <f aca="false">IF($E882="","",IFERROR(G882/F882,""))</f>
        <v/>
      </c>
      <c r="K882" s="30" t="str">
        <f aca="false">IF($E882="","",IFERROR(E882/G882,""))</f>
        <v/>
      </c>
      <c r="L882" s="30" t="str">
        <f aca="false">IF($E882="","",IFERROR(E882/F882*1000,""))</f>
        <v/>
      </c>
      <c r="M882" s="37" t="str">
        <f aca="false">IF($E882="","",IFERROR(H882/G882,""))</f>
        <v/>
      </c>
      <c r="N882" s="30" t="str">
        <f aca="false">IF($E882="","",IFERROR(E882/H882,"—"))</f>
        <v/>
      </c>
      <c r="O882" s="30" t="str">
        <f aca="false">IF($E882="","",IFERROR(INDEX('Гео-калькулятор'!$K$7:$K$13,MATCH($C882,'Гео-калькулятор'!$B$7:$B$13,0)),""))</f>
        <v/>
      </c>
      <c r="P882" s="38" t="str">
        <f aca="false">IF($E882="","",IFERROR(N882/O882,""))</f>
        <v/>
      </c>
      <c r="Q882" s="39" t="str">
        <f aca="false">IF($E882="","",IF($I882&lt;&gt;"",$I882,N($H882)*IFERROR(INDEX('Гео-калькулятор'!$E$7:$E$13,MATCH($C882,'Гео-калькулятор'!$B$7:$B$13,0)),0)))</f>
        <v/>
      </c>
      <c r="R882" s="38" t="str">
        <f aca="false">IF($E882="","",IFERROR(Q882/H882,""))</f>
        <v/>
      </c>
      <c r="S882" s="30" t="str">
        <f aca="false">IF($E882="","",IFERROR(E882/Q882,"—"))</f>
        <v/>
      </c>
      <c r="T882" s="30" t="str">
        <f aca="false">IF($E882="","",Q882*IFERROR(INDEX('Гео-калькулятор'!$D$7:$D$13,MATCH($C882,'Гео-калькулятор'!$B$7:$B$13,0)),0))</f>
        <v/>
      </c>
      <c r="U882" s="40" t="str">
        <f aca="false">IF($E882="","",T882-E882)</f>
        <v/>
      </c>
      <c r="V882" s="41" t="str">
        <f aca="false">IF($E882="","",IFERROR(U882/E882,""))</f>
        <v/>
      </c>
      <c r="W882" s="10" t="str">
        <f aca="false">IF($E882="","",IF($I882&lt;&gt;"","факт","прогноз"))</f>
        <v/>
      </c>
      <c r="X882" s="1"/>
      <c r="Y882" s="1"/>
      <c r="Z882" s="1"/>
      <c r="AA882" s="1"/>
      <c r="AB882" s="1"/>
      <c r="AC882" s="1"/>
      <c r="AD882" s="1"/>
    </row>
    <row r="883" customFormat="false" ht="18" hidden="false" customHeight="true" outlineLevel="0" collapsed="false">
      <c r="A883" s="1"/>
      <c r="B883" s="35"/>
      <c r="C883" s="8"/>
      <c r="D883" s="26"/>
      <c r="E883" s="27"/>
      <c r="F883" s="36"/>
      <c r="G883" s="36"/>
      <c r="H883" s="36"/>
      <c r="I883" s="36"/>
      <c r="J883" s="37" t="str">
        <f aca="false">IF($E883="","",IFERROR(G883/F883,""))</f>
        <v/>
      </c>
      <c r="K883" s="30" t="str">
        <f aca="false">IF($E883="","",IFERROR(E883/G883,""))</f>
        <v/>
      </c>
      <c r="L883" s="30" t="str">
        <f aca="false">IF($E883="","",IFERROR(E883/F883*1000,""))</f>
        <v/>
      </c>
      <c r="M883" s="37" t="str">
        <f aca="false">IF($E883="","",IFERROR(H883/G883,""))</f>
        <v/>
      </c>
      <c r="N883" s="30" t="str">
        <f aca="false">IF($E883="","",IFERROR(E883/H883,"—"))</f>
        <v/>
      </c>
      <c r="O883" s="30" t="str">
        <f aca="false">IF($E883="","",IFERROR(INDEX('Гео-калькулятор'!$K$7:$K$13,MATCH($C883,'Гео-калькулятор'!$B$7:$B$13,0)),""))</f>
        <v/>
      </c>
      <c r="P883" s="38" t="str">
        <f aca="false">IF($E883="","",IFERROR(N883/O883,""))</f>
        <v/>
      </c>
      <c r="Q883" s="39" t="str">
        <f aca="false">IF($E883="","",IF($I883&lt;&gt;"",$I883,N($H883)*IFERROR(INDEX('Гео-калькулятор'!$E$7:$E$13,MATCH($C883,'Гео-калькулятор'!$B$7:$B$13,0)),0)))</f>
        <v/>
      </c>
      <c r="R883" s="38" t="str">
        <f aca="false">IF($E883="","",IFERROR(Q883/H883,""))</f>
        <v/>
      </c>
      <c r="S883" s="30" t="str">
        <f aca="false">IF($E883="","",IFERROR(E883/Q883,"—"))</f>
        <v/>
      </c>
      <c r="T883" s="30" t="str">
        <f aca="false">IF($E883="","",Q883*IFERROR(INDEX('Гео-калькулятор'!$D$7:$D$13,MATCH($C883,'Гео-калькулятор'!$B$7:$B$13,0)),0))</f>
        <v/>
      </c>
      <c r="U883" s="40" t="str">
        <f aca="false">IF($E883="","",T883-E883)</f>
        <v/>
      </c>
      <c r="V883" s="41" t="str">
        <f aca="false">IF($E883="","",IFERROR(U883/E883,""))</f>
        <v/>
      </c>
      <c r="W883" s="10" t="str">
        <f aca="false">IF($E883="","",IF($I883&lt;&gt;"","факт","прогноз"))</f>
        <v/>
      </c>
      <c r="X883" s="1"/>
      <c r="Y883" s="1"/>
      <c r="Z883" s="1"/>
      <c r="AA883" s="1"/>
      <c r="AB883" s="1"/>
      <c r="AC883" s="1"/>
      <c r="AD883" s="1"/>
    </row>
    <row r="884" customFormat="false" ht="18" hidden="false" customHeight="true" outlineLevel="0" collapsed="false">
      <c r="A884" s="1"/>
      <c r="B884" s="35"/>
      <c r="C884" s="8"/>
      <c r="D884" s="26"/>
      <c r="E884" s="27"/>
      <c r="F884" s="36"/>
      <c r="G884" s="36"/>
      <c r="H884" s="36"/>
      <c r="I884" s="36"/>
      <c r="J884" s="37" t="str">
        <f aca="false">IF($E884="","",IFERROR(G884/F884,""))</f>
        <v/>
      </c>
      <c r="K884" s="30" t="str">
        <f aca="false">IF($E884="","",IFERROR(E884/G884,""))</f>
        <v/>
      </c>
      <c r="L884" s="30" t="str">
        <f aca="false">IF($E884="","",IFERROR(E884/F884*1000,""))</f>
        <v/>
      </c>
      <c r="M884" s="37" t="str">
        <f aca="false">IF($E884="","",IFERROR(H884/G884,""))</f>
        <v/>
      </c>
      <c r="N884" s="30" t="str">
        <f aca="false">IF($E884="","",IFERROR(E884/H884,"—"))</f>
        <v/>
      </c>
      <c r="O884" s="30" t="str">
        <f aca="false">IF($E884="","",IFERROR(INDEX('Гео-калькулятор'!$K$7:$K$13,MATCH($C884,'Гео-калькулятор'!$B$7:$B$13,0)),""))</f>
        <v/>
      </c>
      <c r="P884" s="38" t="str">
        <f aca="false">IF($E884="","",IFERROR(N884/O884,""))</f>
        <v/>
      </c>
      <c r="Q884" s="39" t="str">
        <f aca="false">IF($E884="","",IF($I884&lt;&gt;"",$I884,N($H884)*IFERROR(INDEX('Гео-калькулятор'!$E$7:$E$13,MATCH($C884,'Гео-калькулятор'!$B$7:$B$13,0)),0)))</f>
        <v/>
      </c>
      <c r="R884" s="38" t="str">
        <f aca="false">IF($E884="","",IFERROR(Q884/H884,""))</f>
        <v/>
      </c>
      <c r="S884" s="30" t="str">
        <f aca="false">IF($E884="","",IFERROR(E884/Q884,"—"))</f>
        <v/>
      </c>
      <c r="T884" s="30" t="str">
        <f aca="false">IF($E884="","",Q884*IFERROR(INDEX('Гео-калькулятор'!$D$7:$D$13,MATCH($C884,'Гео-калькулятор'!$B$7:$B$13,0)),0))</f>
        <v/>
      </c>
      <c r="U884" s="40" t="str">
        <f aca="false">IF($E884="","",T884-E884)</f>
        <v/>
      </c>
      <c r="V884" s="41" t="str">
        <f aca="false">IF($E884="","",IFERROR(U884/E884,""))</f>
        <v/>
      </c>
      <c r="W884" s="10" t="str">
        <f aca="false">IF($E884="","",IF($I884&lt;&gt;"","факт","прогноз"))</f>
        <v/>
      </c>
      <c r="X884" s="1"/>
      <c r="Y884" s="1"/>
      <c r="Z884" s="1"/>
      <c r="AA884" s="1"/>
      <c r="AB884" s="1"/>
      <c r="AC884" s="1"/>
      <c r="AD884" s="1"/>
    </row>
    <row r="885" customFormat="false" ht="18" hidden="false" customHeight="true" outlineLevel="0" collapsed="false">
      <c r="A885" s="1"/>
      <c r="B885" s="35"/>
      <c r="C885" s="8"/>
      <c r="D885" s="26"/>
      <c r="E885" s="27"/>
      <c r="F885" s="36"/>
      <c r="G885" s="36"/>
      <c r="H885" s="36"/>
      <c r="I885" s="36"/>
      <c r="J885" s="37" t="str">
        <f aca="false">IF($E885="","",IFERROR(G885/F885,""))</f>
        <v/>
      </c>
      <c r="K885" s="30" t="str">
        <f aca="false">IF($E885="","",IFERROR(E885/G885,""))</f>
        <v/>
      </c>
      <c r="L885" s="30" t="str">
        <f aca="false">IF($E885="","",IFERROR(E885/F885*1000,""))</f>
        <v/>
      </c>
      <c r="M885" s="37" t="str">
        <f aca="false">IF($E885="","",IFERROR(H885/G885,""))</f>
        <v/>
      </c>
      <c r="N885" s="30" t="str">
        <f aca="false">IF($E885="","",IFERROR(E885/H885,"—"))</f>
        <v/>
      </c>
      <c r="O885" s="30" t="str">
        <f aca="false">IF($E885="","",IFERROR(INDEX('Гео-калькулятор'!$K$7:$K$13,MATCH($C885,'Гео-калькулятор'!$B$7:$B$13,0)),""))</f>
        <v/>
      </c>
      <c r="P885" s="38" t="str">
        <f aca="false">IF($E885="","",IFERROR(N885/O885,""))</f>
        <v/>
      </c>
      <c r="Q885" s="39" t="str">
        <f aca="false">IF($E885="","",IF($I885&lt;&gt;"",$I885,N($H885)*IFERROR(INDEX('Гео-калькулятор'!$E$7:$E$13,MATCH($C885,'Гео-калькулятор'!$B$7:$B$13,0)),0)))</f>
        <v/>
      </c>
      <c r="R885" s="38" t="str">
        <f aca="false">IF($E885="","",IFERROR(Q885/H885,""))</f>
        <v/>
      </c>
      <c r="S885" s="30" t="str">
        <f aca="false">IF($E885="","",IFERROR(E885/Q885,"—"))</f>
        <v/>
      </c>
      <c r="T885" s="30" t="str">
        <f aca="false">IF($E885="","",Q885*IFERROR(INDEX('Гео-калькулятор'!$D$7:$D$13,MATCH($C885,'Гео-калькулятор'!$B$7:$B$13,0)),0))</f>
        <v/>
      </c>
      <c r="U885" s="40" t="str">
        <f aca="false">IF($E885="","",T885-E885)</f>
        <v/>
      </c>
      <c r="V885" s="41" t="str">
        <f aca="false">IF($E885="","",IFERROR(U885/E885,""))</f>
        <v/>
      </c>
      <c r="W885" s="10" t="str">
        <f aca="false">IF($E885="","",IF($I885&lt;&gt;"","факт","прогноз"))</f>
        <v/>
      </c>
      <c r="X885" s="1"/>
      <c r="Y885" s="1"/>
      <c r="Z885" s="1"/>
      <c r="AA885" s="1"/>
      <c r="AB885" s="1"/>
      <c r="AC885" s="1"/>
      <c r="AD885" s="1"/>
    </row>
    <row r="886" customFormat="false" ht="18" hidden="false" customHeight="true" outlineLevel="0" collapsed="false">
      <c r="A886" s="1"/>
      <c r="B886" s="35"/>
      <c r="C886" s="8"/>
      <c r="D886" s="26"/>
      <c r="E886" s="27"/>
      <c r="F886" s="36"/>
      <c r="G886" s="36"/>
      <c r="H886" s="36"/>
      <c r="I886" s="36"/>
      <c r="J886" s="37" t="str">
        <f aca="false">IF($E886="","",IFERROR(G886/F886,""))</f>
        <v/>
      </c>
      <c r="K886" s="30" t="str">
        <f aca="false">IF($E886="","",IFERROR(E886/G886,""))</f>
        <v/>
      </c>
      <c r="L886" s="30" t="str">
        <f aca="false">IF($E886="","",IFERROR(E886/F886*1000,""))</f>
        <v/>
      </c>
      <c r="M886" s="37" t="str">
        <f aca="false">IF($E886="","",IFERROR(H886/G886,""))</f>
        <v/>
      </c>
      <c r="N886" s="30" t="str">
        <f aca="false">IF($E886="","",IFERROR(E886/H886,"—"))</f>
        <v/>
      </c>
      <c r="O886" s="30" t="str">
        <f aca="false">IF($E886="","",IFERROR(INDEX('Гео-калькулятор'!$K$7:$K$13,MATCH($C886,'Гео-калькулятор'!$B$7:$B$13,0)),""))</f>
        <v/>
      </c>
      <c r="P886" s="38" t="str">
        <f aca="false">IF($E886="","",IFERROR(N886/O886,""))</f>
        <v/>
      </c>
      <c r="Q886" s="39" t="str">
        <f aca="false">IF($E886="","",IF($I886&lt;&gt;"",$I886,N($H886)*IFERROR(INDEX('Гео-калькулятор'!$E$7:$E$13,MATCH($C886,'Гео-калькулятор'!$B$7:$B$13,0)),0)))</f>
        <v/>
      </c>
      <c r="R886" s="38" t="str">
        <f aca="false">IF($E886="","",IFERROR(Q886/H886,""))</f>
        <v/>
      </c>
      <c r="S886" s="30" t="str">
        <f aca="false">IF($E886="","",IFERROR(E886/Q886,"—"))</f>
        <v/>
      </c>
      <c r="T886" s="30" t="str">
        <f aca="false">IF($E886="","",Q886*IFERROR(INDEX('Гео-калькулятор'!$D$7:$D$13,MATCH($C886,'Гео-калькулятор'!$B$7:$B$13,0)),0))</f>
        <v/>
      </c>
      <c r="U886" s="40" t="str">
        <f aca="false">IF($E886="","",T886-E886)</f>
        <v/>
      </c>
      <c r="V886" s="41" t="str">
        <f aca="false">IF($E886="","",IFERROR(U886/E886,""))</f>
        <v/>
      </c>
      <c r="W886" s="10" t="str">
        <f aca="false">IF($E886="","",IF($I886&lt;&gt;"","факт","прогноз"))</f>
        <v/>
      </c>
      <c r="X886" s="1"/>
      <c r="Y886" s="1"/>
      <c r="Z886" s="1"/>
      <c r="AA886" s="1"/>
      <c r="AB886" s="1"/>
      <c r="AC886" s="1"/>
      <c r="AD886" s="1"/>
    </row>
    <row r="887" customFormat="false" ht="18" hidden="false" customHeight="true" outlineLevel="0" collapsed="false">
      <c r="A887" s="1"/>
      <c r="B887" s="35"/>
      <c r="C887" s="8"/>
      <c r="D887" s="26"/>
      <c r="E887" s="27"/>
      <c r="F887" s="36"/>
      <c r="G887" s="36"/>
      <c r="H887" s="36"/>
      <c r="I887" s="36"/>
      <c r="J887" s="37" t="str">
        <f aca="false">IF($E887="","",IFERROR(G887/F887,""))</f>
        <v/>
      </c>
      <c r="K887" s="30" t="str">
        <f aca="false">IF($E887="","",IFERROR(E887/G887,""))</f>
        <v/>
      </c>
      <c r="L887" s="30" t="str">
        <f aca="false">IF($E887="","",IFERROR(E887/F887*1000,""))</f>
        <v/>
      </c>
      <c r="M887" s="37" t="str">
        <f aca="false">IF($E887="","",IFERROR(H887/G887,""))</f>
        <v/>
      </c>
      <c r="N887" s="30" t="str">
        <f aca="false">IF($E887="","",IFERROR(E887/H887,"—"))</f>
        <v/>
      </c>
      <c r="O887" s="30" t="str">
        <f aca="false">IF($E887="","",IFERROR(INDEX('Гео-калькулятор'!$K$7:$K$13,MATCH($C887,'Гео-калькулятор'!$B$7:$B$13,0)),""))</f>
        <v/>
      </c>
      <c r="P887" s="38" t="str">
        <f aca="false">IF($E887="","",IFERROR(N887/O887,""))</f>
        <v/>
      </c>
      <c r="Q887" s="39" t="str">
        <f aca="false">IF($E887="","",IF($I887&lt;&gt;"",$I887,N($H887)*IFERROR(INDEX('Гео-калькулятор'!$E$7:$E$13,MATCH($C887,'Гео-калькулятор'!$B$7:$B$13,0)),0)))</f>
        <v/>
      </c>
      <c r="R887" s="38" t="str">
        <f aca="false">IF($E887="","",IFERROR(Q887/H887,""))</f>
        <v/>
      </c>
      <c r="S887" s="30" t="str">
        <f aca="false">IF($E887="","",IFERROR(E887/Q887,"—"))</f>
        <v/>
      </c>
      <c r="T887" s="30" t="str">
        <f aca="false">IF($E887="","",Q887*IFERROR(INDEX('Гео-калькулятор'!$D$7:$D$13,MATCH($C887,'Гео-калькулятор'!$B$7:$B$13,0)),0))</f>
        <v/>
      </c>
      <c r="U887" s="40" t="str">
        <f aca="false">IF($E887="","",T887-E887)</f>
        <v/>
      </c>
      <c r="V887" s="41" t="str">
        <f aca="false">IF($E887="","",IFERROR(U887/E887,""))</f>
        <v/>
      </c>
      <c r="W887" s="10" t="str">
        <f aca="false">IF($E887="","",IF($I887&lt;&gt;"","факт","прогноз"))</f>
        <v/>
      </c>
      <c r="X887" s="1"/>
      <c r="Y887" s="1"/>
      <c r="Z887" s="1"/>
      <c r="AA887" s="1"/>
      <c r="AB887" s="1"/>
      <c r="AC887" s="1"/>
      <c r="AD887" s="1"/>
    </row>
    <row r="888" customFormat="false" ht="18" hidden="false" customHeight="true" outlineLevel="0" collapsed="false">
      <c r="A888" s="1"/>
      <c r="B888" s="35"/>
      <c r="C888" s="8"/>
      <c r="D888" s="26"/>
      <c r="E888" s="27"/>
      <c r="F888" s="36"/>
      <c r="G888" s="36"/>
      <c r="H888" s="36"/>
      <c r="I888" s="36"/>
      <c r="J888" s="37" t="str">
        <f aca="false">IF($E888="","",IFERROR(G888/F888,""))</f>
        <v/>
      </c>
      <c r="K888" s="30" t="str">
        <f aca="false">IF($E888="","",IFERROR(E888/G888,""))</f>
        <v/>
      </c>
      <c r="L888" s="30" t="str">
        <f aca="false">IF($E888="","",IFERROR(E888/F888*1000,""))</f>
        <v/>
      </c>
      <c r="M888" s="37" t="str">
        <f aca="false">IF($E888="","",IFERROR(H888/G888,""))</f>
        <v/>
      </c>
      <c r="N888" s="30" t="str">
        <f aca="false">IF($E888="","",IFERROR(E888/H888,"—"))</f>
        <v/>
      </c>
      <c r="O888" s="30" t="str">
        <f aca="false">IF($E888="","",IFERROR(INDEX('Гео-калькулятор'!$K$7:$K$13,MATCH($C888,'Гео-калькулятор'!$B$7:$B$13,0)),""))</f>
        <v/>
      </c>
      <c r="P888" s="38" t="str">
        <f aca="false">IF($E888="","",IFERROR(N888/O888,""))</f>
        <v/>
      </c>
      <c r="Q888" s="39" t="str">
        <f aca="false">IF($E888="","",IF($I888&lt;&gt;"",$I888,N($H888)*IFERROR(INDEX('Гео-калькулятор'!$E$7:$E$13,MATCH($C888,'Гео-калькулятор'!$B$7:$B$13,0)),0)))</f>
        <v/>
      </c>
      <c r="R888" s="38" t="str">
        <f aca="false">IF($E888="","",IFERROR(Q888/H888,""))</f>
        <v/>
      </c>
      <c r="S888" s="30" t="str">
        <f aca="false">IF($E888="","",IFERROR(E888/Q888,"—"))</f>
        <v/>
      </c>
      <c r="T888" s="30" t="str">
        <f aca="false">IF($E888="","",Q888*IFERROR(INDEX('Гео-калькулятор'!$D$7:$D$13,MATCH($C888,'Гео-калькулятор'!$B$7:$B$13,0)),0))</f>
        <v/>
      </c>
      <c r="U888" s="40" t="str">
        <f aca="false">IF($E888="","",T888-E888)</f>
        <v/>
      </c>
      <c r="V888" s="41" t="str">
        <f aca="false">IF($E888="","",IFERROR(U888/E888,""))</f>
        <v/>
      </c>
      <c r="W888" s="10" t="str">
        <f aca="false">IF($E888="","",IF($I888&lt;&gt;"","факт","прогноз"))</f>
        <v/>
      </c>
      <c r="X888" s="1"/>
      <c r="Y888" s="1"/>
      <c r="Z888" s="1"/>
      <c r="AA888" s="1"/>
      <c r="AB888" s="1"/>
      <c r="AC888" s="1"/>
      <c r="AD888" s="1"/>
    </row>
    <row r="889" customFormat="false" ht="18" hidden="false" customHeight="true" outlineLevel="0" collapsed="false">
      <c r="A889" s="1"/>
      <c r="B889" s="35"/>
      <c r="C889" s="8"/>
      <c r="D889" s="26"/>
      <c r="E889" s="27"/>
      <c r="F889" s="36"/>
      <c r="G889" s="36"/>
      <c r="H889" s="36"/>
      <c r="I889" s="36"/>
      <c r="J889" s="37" t="str">
        <f aca="false">IF($E889="","",IFERROR(G889/F889,""))</f>
        <v/>
      </c>
      <c r="K889" s="30" t="str">
        <f aca="false">IF($E889="","",IFERROR(E889/G889,""))</f>
        <v/>
      </c>
      <c r="L889" s="30" t="str">
        <f aca="false">IF($E889="","",IFERROR(E889/F889*1000,""))</f>
        <v/>
      </c>
      <c r="M889" s="37" t="str">
        <f aca="false">IF($E889="","",IFERROR(H889/G889,""))</f>
        <v/>
      </c>
      <c r="N889" s="30" t="str">
        <f aca="false">IF($E889="","",IFERROR(E889/H889,"—"))</f>
        <v/>
      </c>
      <c r="O889" s="30" t="str">
        <f aca="false">IF($E889="","",IFERROR(INDEX('Гео-калькулятор'!$K$7:$K$13,MATCH($C889,'Гео-калькулятор'!$B$7:$B$13,0)),""))</f>
        <v/>
      </c>
      <c r="P889" s="38" t="str">
        <f aca="false">IF($E889="","",IFERROR(N889/O889,""))</f>
        <v/>
      </c>
      <c r="Q889" s="39" t="str">
        <f aca="false">IF($E889="","",IF($I889&lt;&gt;"",$I889,N($H889)*IFERROR(INDEX('Гео-калькулятор'!$E$7:$E$13,MATCH($C889,'Гео-калькулятор'!$B$7:$B$13,0)),0)))</f>
        <v/>
      </c>
      <c r="R889" s="38" t="str">
        <f aca="false">IF($E889="","",IFERROR(Q889/H889,""))</f>
        <v/>
      </c>
      <c r="S889" s="30" t="str">
        <f aca="false">IF($E889="","",IFERROR(E889/Q889,"—"))</f>
        <v/>
      </c>
      <c r="T889" s="30" t="str">
        <f aca="false">IF($E889="","",Q889*IFERROR(INDEX('Гео-калькулятор'!$D$7:$D$13,MATCH($C889,'Гео-калькулятор'!$B$7:$B$13,0)),0))</f>
        <v/>
      </c>
      <c r="U889" s="40" t="str">
        <f aca="false">IF($E889="","",T889-E889)</f>
        <v/>
      </c>
      <c r="V889" s="41" t="str">
        <f aca="false">IF($E889="","",IFERROR(U889/E889,""))</f>
        <v/>
      </c>
      <c r="W889" s="10" t="str">
        <f aca="false">IF($E889="","",IF($I889&lt;&gt;"","факт","прогноз"))</f>
        <v/>
      </c>
      <c r="X889" s="1"/>
      <c r="Y889" s="1"/>
      <c r="Z889" s="1"/>
      <c r="AA889" s="1"/>
      <c r="AB889" s="1"/>
      <c r="AC889" s="1"/>
      <c r="AD889" s="1"/>
    </row>
    <row r="890" customFormat="false" ht="18" hidden="false" customHeight="true" outlineLevel="0" collapsed="false">
      <c r="A890" s="1"/>
      <c r="B890" s="35"/>
      <c r="C890" s="8"/>
      <c r="D890" s="26"/>
      <c r="E890" s="27"/>
      <c r="F890" s="36"/>
      <c r="G890" s="36"/>
      <c r="H890" s="36"/>
      <c r="I890" s="36"/>
      <c r="J890" s="37" t="str">
        <f aca="false">IF($E890="","",IFERROR(G890/F890,""))</f>
        <v/>
      </c>
      <c r="K890" s="30" t="str">
        <f aca="false">IF($E890="","",IFERROR(E890/G890,""))</f>
        <v/>
      </c>
      <c r="L890" s="30" t="str">
        <f aca="false">IF($E890="","",IFERROR(E890/F890*1000,""))</f>
        <v/>
      </c>
      <c r="M890" s="37" t="str">
        <f aca="false">IF($E890="","",IFERROR(H890/G890,""))</f>
        <v/>
      </c>
      <c r="N890" s="30" t="str">
        <f aca="false">IF($E890="","",IFERROR(E890/H890,"—"))</f>
        <v/>
      </c>
      <c r="O890" s="30" t="str">
        <f aca="false">IF($E890="","",IFERROR(INDEX('Гео-калькулятор'!$K$7:$K$13,MATCH($C890,'Гео-калькулятор'!$B$7:$B$13,0)),""))</f>
        <v/>
      </c>
      <c r="P890" s="38" t="str">
        <f aca="false">IF($E890="","",IFERROR(N890/O890,""))</f>
        <v/>
      </c>
      <c r="Q890" s="39" t="str">
        <f aca="false">IF($E890="","",IF($I890&lt;&gt;"",$I890,N($H890)*IFERROR(INDEX('Гео-калькулятор'!$E$7:$E$13,MATCH($C890,'Гео-калькулятор'!$B$7:$B$13,0)),0)))</f>
        <v/>
      </c>
      <c r="R890" s="38" t="str">
        <f aca="false">IF($E890="","",IFERROR(Q890/H890,""))</f>
        <v/>
      </c>
      <c r="S890" s="30" t="str">
        <f aca="false">IF($E890="","",IFERROR(E890/Q890,"—"))</f>
        <v/>
      </c>
      <c r="T890" s="30" t="str">
        <f aca="false">IF($E890="","",Q890*IFERROR(INDEX('Гео-калькулятор'!$D$7:$D$13,MATCH($C890,'Гео-калькулятор'!$B$7:$B$13,0)),0))</f>
        <v/>
      </c>
      <c r="U890" s="40" t="str">
        <f aca="false">IF($E890="","",T890-E890)</f>
        <v/>
      </c>
      <c r="V890" s="41" t="str">
        <f aca="false">IF($E890="","",IFERROR(U890/E890,""))</f>
        <v/>
      </c>
      <c r="W890" s="10" t="str">
        <f aca="false">IF($E890="","",IF($I890&lt;&gt;"","факт","прогноз"))</f>
        <v/>
      </c>
      <c r="X890" s="1"/>
      <c r="Y890" s="1"/>
      <c r="Z890" s="1"/>
      <c r="AA890" s="1"/>
      <c r="AB890" s="1"/>
      <c r="AC890" s="1"/>
      <c r="AD890" s="1"/>
    </row>
    <row r="891" customFormat="false" ht="18" hidden="false" customHeight="true" outlineLevel="0" collapsed="false">
      <c r="A891" s="1"/>
      <c r="B891" s="35"/>
      <c r="C891" s="8"/>
      <c r="D891" s="26"/>
      <c r="E891" s="27"/>
      <c r="F891" s="36"/>
      <c r="G891" s="36"/>
      <c r="H891" s="36"/>
      <c r="I891" s="36"/>
      <c r="J891" s="37" t="str">
        <f aca="false">IF($E891="","",IFERROR(G891/F891,""))</f>
        <v/>
      </c>
      <c r="K891" s="30" t="str">
        <f aca="false">IF($E891="","",IFERROR(E891/G891,""))</f>
        <v/>
      </c>
      <c r="L891" s="30" t="str">
        <f aca="false">IF($E891="","",IFERROR(E891/F891*1000,""))</f>
        <v/>
      </c>
      <c r="M891" s="37" t="str">
        <f aca="false">IF($E891="","",IFERROR(H891/G891,""))</f>
        <v/>
      </c>
      <c r="N891" s="30" t="str">
        <f aca="false">IF($E891="","",IFERROR(E891/H891,"—"))</f>
        <v/>
      </c>
      <c r="O891" s="30" t="str">
        <f aca="false">IF($E891="","",IFERROR(INDEX('Гео-калькулятор'!$K$7:$K$13,MATCH($C891,'Гео-калькулятор'!$B$7:$B$13,0)),""))</f>
        <v/>
      </c>
      <c r="P891" s="38" t="str">
        <f aca="false">IF($E891="","",IFERROR(N891/O891,""))</f>
        <v/>
      </c>
      <c r="Q891" s="39" t="str">
        <f aca="false">IF($E891="","",IF($I891&lt;&gt;"",$I891,N($H891)*IFERROR(INDEX('Гео-калькулятор'!$E$7:$E$13,MATCH($C891,'Гео-калькулятор'!$B$7:$B$13,0)),0)))</f>
        <v/>
      </c>
      <c r="R891" s="38" t="str">
        <f aca="false">IF($E891="","",IFERROR(Q891/H891,""))</f>
        <v/>
      </c>
      <c r="S891" s="30" t="str">
        <f aca="false">IF($E891="","",IFERROR(E891/Q891,"—"))</f>
        <v/>
      </c>
      <c r="T891" s="30" t="str">
        <f aca="false">IF($E891="","",Q891*IFERROR(INDEX('Гео-калькулятор'!$D$7:$D$13,MATCH($C891,'Гео-калькулятор'!$B$7:$B$13,0)),0))</f>
        <v/>
      </c>
      <c r="U891" s="40" t="str">
        <f aca="false">IF($E891="","",T891-E891)</f>
        <v/>
      </c>
      <c r="V891" s="41" t="str">
        <f aca="false">IF($E891="","",IFERROR(U891/E891,""))</f>
        <v/>
      </c>
      <c r="W891" s="10" t="str">
        <f aca="false">IF($E891="","",IF($I891&lt;&gt;"","факт","прогноз"))</f>
        <v/>
      </c>
      <c r="X891" s="1"/>
      <c r="Y891" s="1"/>
      <c r="Z891" s="1"/>
      <c r="AA891" s="1"/>
      <c r="AB891" s="1"/>
      <c r="AC891" s="1"/>
      <c r="AD891" s="1"/>
    </row>
    <row r="892" customFormat="false" ht="18" hidden="false" customHeight="true" outlineLevel="0" collapsed="false">
      <c r="A892" s="1"/>
      <c r="B892" s="35"/>
      <c r="C892" s="8"/>
      <c r="D892" s="26"/>
      <c r="E892" s="27"/>
      <c r="F892" s="36"/>
      <c r="G892" s="36"/>
      <c r="H892" s="36"/>
      <c r="I892" s="36"/>
      <c r="J892" s="37" t="str">
        <f aca="false">IF($E892="","",IFERROR(G892/F892,""))</f>
        <v/>
      </c>
      <c r="K892" s="30" t="str">
        <f aca="false">IF($E892="","",IFERROR(E892/G892,""))</f>
        <v/>
      </c>
      <c r="L892" s="30" t="str">
        <f aca="false">IF($E892="","",IFERROR(E892/F892*1000,""))</f>
        <v/>
      </c>
      <c r="M892" s="37" t="str">
        <f aca="false">IF($E892="","",IFERROR(H892/G892,""))</f>
        <v/>
      </c>
      <c r="N892" s="30" t="str">
        <f aca="false">IF($E892="","",IFERROR(E892/H892,"—"))</f>
        <v/>
      </c>
      <c r="O892" s="30" t="str">
        <f aca="false">IF($E892="","",IFERROR(INDEX('Гео-калькулятор'!$K$7:$K$13,MATCH($C892,'Гео-калькулятор'!$B$7:$B$13,0)),""))</f>
        <v/>
      </c>
      <c r="P892" s="38" t="str">
        <f aca="false">IF($E892="","",IFERROR(N892/O892,""))</f>
        <v/>
      </c>
      <c r="Q892" s="39" t="str">
        <f aca="false">IF($E892="","",IF($I892&lt;&gt;"",$I892,N($H892)*IFERROR(INDEX('Гео-калькулятор'!$E$7:$E$13,MATCH($C892,'Гео-калькулятор'!$B$7:$B$13,0)),0)))</f>
        <v/>
      </c>
      <c r="R892" s="38" t="str">
        <f aca="false">IF($E892="","",IFERROR(Q892/H892,""))</f>
        <v/>
      </c>
      <c r="S892" s="30" t="str">
        <f aca="false">IF($E892="","",IFERROR(E892/Q892,"—"))</f>
        <v/>
      </c>
      <c r="T892" s="30" t="str">
        <f aca="false">IF($E892="","",Q892*IFERROR(INDEX('Гео-калькулятор'!$D$7:$D$13,MATCH($C892,'Гео-калькулятор'!$B$7:$B$13,0)),0))</f>
        <v/>
      </c>
      <c r="U892" s="40" t="str">
        <f aca="false">IF($E892="","",T892-E892)</f>
        <v/>
      </c>
      <c r="V892" s="41" t="str">
        <f aca="false">IF($E892="","",IFERROR(U892/E892,""))</f>
        <v/>
      </c>
      <c r="W892" s="10" t="str">
        <f aca="false">IF($E892="","",IF($I892&lt;&gt;"","факт","прогноз"))</f>
        <v/>
      </c>
      <c r="X892" s="1"/>
      <c r="Y892" s="1"/>
      <c r="Z892" s="1"/>
      <c r="AA892" s="1"/>
      <c r="AB892" s="1"/>
      <c r="AC892" s="1"/>
      <c r="AD892" s="1"/>
    </row>
    <row r="893" customFormat="false" ht="18" hidden="false" customHeight="true" outlineLevel="0" collapsed="false">
      <c r="A893" s="1"/>
      <c r="B893" s="35"/>
      <c r="C893" s="8"/>
      <c r="D893" s="26"/>
      <c r="E893" s="27"/>
      <c r="F893" s="36"/>
      <c r="G893" s="36"/>
      <c r="H893" s="36"/>
      <c r="I893" s="36"/>
      <c r="J893" s="37" t="str">
        <f aca="false">IF($E893="","",IFERROR(G893/F893,""))</f>
        <v/>
      </c>
      <c r="K893" s="30" t="str">
        <f aca="false">IF($E893="","",IFERROR(E893/G893,""))</f>
        <v/>
      </c>
      <c r="L893" s="30" t="str">
        <f aca="false">IF($E893="","",IFERROR(E893/F893*1000,""))</f>
        <v/>
      </c>
      <c r="M893" s="37" t="str">
        <f aca="false">IF($E893="","",IFERROR(H893/G893,""))</f>
        <v/>
      </c>
      <c r="N893" s="30" t="str">
        <f aca="false">IF($E893="","",IFERROR(E893/H893,"—"))</f>
        <v/>
      </c>
      <c r="O893" s="30" t="str">
        <f aca="false">IF($E893="","",IFERROR(INDEX('Гео-калькулятор'!$K$7:$K$13,MATCH($C893,'Гео-калькулятор'!$B$7:$B$13,0)),""))</f>
        <v/>
      </c>
      <c r="P893" s="38" t="str">
        <f aca="false">IF($E893="","",IFERROR(N893/O893,""))</f>
        <v/>
      </c>
      <c r="Q893" s="39" t="str">
        <f aca="false">IF($E893="","",IF($I893&lt;&gt;"",$I893,N($H893)*IFERROR(INDEX('Гео-калькулятор'!$E$7:$E$13,MATCH($C893,'Гео-калькулятор'!$B$7:$B$13,0)),0)))</f>
        <v/>
      </c>
      <c r="R893" s="38" t="str">
        <f aca="false">IF($E893="","",IFERROR(Q893/H893,""))</f>
        <v/>
      </c>
      <c r="S893" s="30" t="str">
        <f aca="false">IF($E893="","",IFERROR(E893/Q893,"—"))</f>
        <v/>
      </c>
      <c r="T893" s="30" t="str">
        <f aca="false">IF($E893="","",Q893*IFERROR(INDEX('Гео-калькулятор'!$D$7:$D$13,MATCH($C893,'Гео-калькулятор'!$B$7:$B$13,0)),0))</f>
        <v/>
      </c>
      <c r="U893" s="40" t="str">
        <f aca="false">IF($E893="","",T893-E893)</f>
        <v/>
      </c>
      <c r="V893" s="41" t="str">
        <f aca="false">IF($E893="","",IFERROR(U893/E893,""))</f>
        <v/>
      </c>
      <c r="W893" s="10" t="str">
        <f aca="false">IF($E893="","",IF($I893&lt;&gt;"","факт","прогноз"))</f>
        <v/>
      </c>
      <c r="X893" s="1"/>
      <c r="Y893" s="1"/>
      <c r="Z893" s="1"/>
      <c r="AA893" s="1"/>
      <c r="AB893" s="1"/>
      <c r="AC893" s="1"/>
      <c r="AD893" s="1"/>
    </row>
    <row r="894" customFormat="false" ht="18" hidden="false" customHeight="true" outlineLevel="0" collapsed="false">
      <c r="A894" s="1"/>
      <c r="B894" s="35"/>
      <c r="C894" s="8"/>
      <c r="D894" s="26"/>
      <c r="E894" s="27"/>
      <c r="F894" s="36"/>
      <c r="G894" s="36"/>
      <c r="H894" s="36"/>
      <c r="I894" s="36"/>
      <c r="J894" s="37" t="str">
        <f aca="false">IF($E894="","",IFERROR(G894/F894,""))</f>
        <v/>
      </c>
      <c r="K894" s="30" t="str">
        <f aca="false">IF($E894="","",IFERROR(E894/G894,""))</f>
        <v/>
      </c>
      <c r="L894" s="30" t="str">
        <f aca="false">IF($E894="","",IFERROR(E894/F894*1000,""))</f>
        <v/>
      </c>
      <c r="M894" s="37" t="str">
        <f aca="false">IF($E894="","",IFERROR(H894/G894,""))</f>
        <v/>
      </c>
      <c r="N894" s="30" t="str">
        <f aca="false">IF($E894="","",IFERROR(E894/H894,"—"))</f>
        <v/>
      </c>
      <c r="O894" s="30" t="str">
        <f aca="false">IF($E894="","",IFERROR(INDEX('Гео-калькулятор'!$K$7:$K$13,MATCH($C894,'Гео-калькулятор'!$B$7:$B$13,0)),""))</f>
        <v/>
      </c>
      <c r="P894" s="38" t="str">
        <f aca="false">IF($E894="","",IFERROR(N894/O894,""))</f>
        <v/>
      </c>
      <c r="Q894" s="39" t="str">
        <f aca="false">IF($E894="","",IF($I894&lt;&gt;"",$I894,N($H894)*IFERROR(INDEX('Гео-калькулятор'!$E$7:$E$13,MATCH($C894,'Гео-калькулятор'!$B$7:$B$13,0)),0)))</f>
        <v/>
      </c>
      <c r="R894" s="38" t="str">
        <f aca="false">IF($E894="","",IFERROR(Q894/H894,""))</f>
        <v/>
      </c>
      <c r="S894" s="30" t="str">
        <f aca="false">IF($E894="","",IFERROR(E894/Q894,"—"))</f>
        <v/>
      </c>
      <c r="T894" s="30" t="str">
        <f aca="false">IF($E894="","",Q894*IFERROR(INDEX('Гео-калькулятор'!$D$7:$D$13,MATCH($C894,'Гео-калькулятор'!$B$7:$B$13,0)),0))</f>
        <v/>
      </c>
      <c r="U894" s="40" t="str">
        <f aca="false">IF($E894="","",T894-E894)</f>
        <v/>
      </c>
      <c r="V894" s="41" t="str">
        <f aca="false">IF($E894="","",IFERROR(U894/E894,""))</f>
        <v/>
      </c>
      <c r="W894" s="10" t="str">
        <f aca="false">IF($E894="","",IF($I894&lt;&gt;"","факт","прогноз"))</f>
        <v/>
      </c>
      <c r="X894" s="1"/>
      <c r="Y894" s="1"/>
      <c r="Z894" s="1"/>
      <c r="AA894" s="1"/>
      <c r="AB894" s="1"/>
      <c r="AC894" s="1"/>
      <c r="AD894" s="1"/>
    </row>
    <row r="895" customFormat="false" ht="18" hidden="false" customHeight="true" outlineLevel="0" collapsed="false">
      <c r="A895" s="1"/>
      <c r="B895" s="35"/>
      <c r="C895" s="8"/>
      <c r="D895" s="26"/>
      <c r="E895" s="27"/>
      <c r="F895" s="36"/>
      <c r="G895" s="36"/>
      <c r="H895" s="36"/>
      <c r="I895" s="36"/>
      <c r="J895" s="37" t="str">
        <f aca="false">IF($E895="","",IFERROR(G895/F895,""))</f>
        <v/>
      </c>
      <c r="K895" s="30" t="str">
        <f aca="false">IF($E895="","",IFERROR(E895/G895,""))</f>
        <v/>
      </c>
      <c r="L895" s="30" t="str">
        <f aca="false">IF($E895="","",IFERROR(E895/F895*1000,""))</f>
        <v/>
      </c>
      <c r="M895" s="37" t="str">
        <f aca="false">IF($E895="","",IFERROR(H895/G895,""))</f>
        <v/>
      </c>
      <c r="N895" s="30" t="str">
        <f aca="false">IF($E895="","",IFERROR(E895/H895,"—"))</f>
        <v/>
      </c>
      <c r="O895" s="30" t="str">
        <f aca="false">IF($E895="","",IFERROR(INDEX('Гео-калькулятор'!$K$7:$K$13,MATCH($C895,'Гео-калькулятор'!$B$7:$B$13,0)),""))</f>
        <v/>
      </c>
      <c r="P895" s="38" t="str">
        <f aca="false">IF($E895="","",IFERROR(N895/O895,""))</f>
        <v/>
      </c>
      <c r="Q895" s="39" t="str">
        <f aca="false">IF($E895="","",IF($I895&lt;&gt;"",$I895,N($H895)*IFERROR(INDEX('Гео-калькулятор'!$E$7:$E$13,MATCH($C895,'Гео-калькулятор'!$B$7:$B$13,0)),0)))</f>
        <v/>
      </c>
      <c r="R895" s="38" t="str">
        <f aca="false">IF($E895="","",IFERROR(Q895/H895,""))</f>
        <v/>
      </c>
      <c r="S895" s="30" t="str">
        <f aca="false">IF($E895="","",IFERROR(E895/Q895,"—"))</f>
        <v/>
      </c>
      <c r="T895" s="30" t="str">
        <f aca="false">IF($E895="","",Q895*IFERROR(INDEX('Гео-калькулятор'!$D$7:$D$13,MATCH($C895,'Гео-калькулятор'!$B$7:$B$13,0)),0))</f>
        <v/>
      </c>
      <c r="U895" s="40" t="str">
        <f aca="false">IF($E895="","",T895-E895)</f>
        <v/>
      </c>
      <c r="V895" s="41" t="str">
        <f aca="false">IF($E895="","",IFERROR(U895/E895,""))</f>
        <v/>
      </c>
      <c r="W895" s="10" t="str">
        <f aca="false">IF($E895="","",IF($I895&lt;&gt;"","факт","прогноз"))</f>
        <v/>
      </c>
      <c r="X895" s="1"/>
      <c r="Y895" s="1"/>
      <c r="Z895" s="1"/>
      <c r="AA895" s="1"/>
      <c r="AB895" s="1"/>
      <c r="AC895" s="1"/>
      <c r="AD895" s="1"/>
    </row>
    <row r="896" customFormat="false" ht="18" hidden="false" customHeight="true" outlineLevel="0" collapsed="false">
      <c r="A896" s="1"/>
      <c r="B896" s="35"/>
      <c r="C896" s="8"/>
      <c r="D896" s="26"/>
      <c r="E896" s="27"/>
      <c r="F896" s="36"/>
      <c r="G896" s="36"/>
      <c r="H896" s="36"/>
      <c r="I896" s="36"/>
      <c r="J896" s="37" t="str">
        <f aca="false">IF($E896="","",IFERROR(G896/F896,""))</f>
        <v/>
      </c>
      <c r="K896" s="30" t="str">
        <f aca="false">IF($E896="","",IFERROR(E896/G896,""))</f>
        <v/>
      </c>
      <c r="L896" s="30" t="str">
        <f aca="false">IF($E896="","",IFERROR(E896/F896*1000,""))</f>
        <v/>
      </c>
      <c r="M896" s="37" t="str">
        <f aca="false">IF($E896="","",IFERROR(H896/G896,""))</f>
        <v/>
      </c>
      <c r="N896" s="30" t="str">
        <f aca="false">IF($E896="","",IFERROR(E896/H896,"—"))</f>
        <v/>
      </c>
      <c r="O896" s="30" t="str">
        <f aca="false">IF($E896="","",IFERROR(INDEX('Гео-калькулятор'!$K$7:$K$13,MATCH($C896,'Гео-калькулятор'!$B$7:$B$13,0)),""))</f>
        <v/>
      </c>
      <c r="P896" s="38" t="str">
        <f aca="false">IF($E896="","",IFERROR(N896/O896,""))</f>
        <v/>
      </c>
      <c r="Q896" s="39" t="str">
        <f aca="false">IF($E896="","",IF($I896&lt;&gt;"",$I896,N($H896)*IFERROR(INDEX('Гео-калькулятор'!$E$7:$E$13,MATCH($C896,'Гео-калькулятор'!$B$7:$B$13,0)),0)))</f>
        <v/>
      </c>
      <c r="R896" s="38" t="str">
        <f aca="false">IF($E896="","",IFERROR(Q896/H896,""))</f>
        <v/>
      </c>
      <c r="S896" s="30" t="str">
        <f aca="false">IF($E896="","",IFERROR(E896/Q896,"—"))</f>
        <v/>
      </c>
      <c r="T896" s="30" t="str">
        <f aca="false">IF($E896="","",Q896*IFERROR(INDEX('Гео-калькулятор'!$D$7:$D$13,MATCH($C896,'Гео-калькулятор'!$B$7:$B$13,0)),0))</f>
        <v/>
      </c>
      <c r="U896" s="40" t="str">
        <f aca="false">IF($E896="","",T896-E896)</f>
        <v/>
      </c>
      <c r="V896" s="41" t="str">
        <f aca="false">IF($E896="","",IFERROR(U896/E896,""))</f>
        <v/>
      </c>
      <c r="W896" s="10" t="str">
        <f aca="false">IF($E896="","",IF($I896&lt;&gt;"","факт","прогноз"))</f>
        <v/>
      </c>
      <c r="X896" s="1"/>
      <c r="Y896" s="1"/>
      <c r="Z896" s="1"/>
      <c r="AA896" s="1"/>
      <c r="AB896" s="1"/>
      <c r="AC896" s="1"/>
      <c r="AD896" s="1"/>
    </row>
    <row r="897" customFormat="false" ht="18" hidden="false" customHeight="true" outlineLevel="0" collapsed="false">
      <c r="A897" s="1"/>
      <c r="B897" s="35"/>
      <c r="C897" s="8"/>
      <c r="D897" s="26"/>
      <c r="E897" s="27"/>
      <c r="F897" s="36"/>
      <c r="G897" s="36"/>
      <c r="H897" s="36"/>
      <c r="I897" s="36"/>
      <c r="J897" s="37" t="str">
        <f aca="false">IF($E897="","",IFERROR(G897/F897,""))</f>
        <v/>
      </c>
      <c r="K897" s="30" t="str">
        <f aca="false">IF($E897="","",IFERROR(E897/G897,""))</f>
        <v/>
      </c>
      <c r="L897" s="30" t="str">
        <f aca="false">IF($E897="","",IFERROR(E897/F897*1000,""))</f>
        <v/>
      </c>
      <c r="M897" s="37" t="str">
        <f aca="false">IF($E897="","",IFERROR(H897/G897,""))</f>
        <v/>
      </c>
      <c r="N897" s="30" t="str">
        <f aca="false">IF($E897="","",IFERROR(E897/H897,"—"))</f>
        <v/>
      </c>
      <c r="O897" s="30" t="str">
        <f aca="false">IF($E897="","",IFERROR(INDEX('Гео-калькулятор'!$K$7:$K$13,MATCH($C897,'Гео-калькулятор'!$B$7:$B$13,0)),""))</f>
        <v/>
      </c>
      <c r="P897" s="38" t="str">
        <f aca="false">IF($E897="","",IFERROR(N897/O897,""))</f>
        <v/>
      </c>
      <c r="Q897" s="39" t="str">
        <f aca="false">IF($E897="","",IF($I897&lt;&gt;"",$I897,N($H897)*IFERROR(INDEX('Гео-калькулятор'!$E$7:$E$13,MATCH($C897,'Гео-калькулятор'!$B$7:$B$13,0)),0)))</f>
        <v/>
      </c>
      <c r="R897" s="38" t="str">
        <f aca="false">IF($E897="","",IFERROR(Q897/H897,""))</f>
        <v/>
      </c>
      <c r="S897" s="30" t="str">
        <f aca="false">IF($E897="","",IFERROR(E897/Q897,"—"))</f>
        <v/>
      </c>
      <c r="T897" s="30" t="str">
        <f aca="false">IF($E897="","",Q897*IFERROR(INDEX('Гео-калькулятор'!$D$7:$D$13,MATCH($C897,'Гео-калькулятор'!$B$7:$B$13,0)),0))</f>
        <v/>
      </c>
      <c r="U897" s="40" t="str">
        <f aca="false">IF($E897="","",T897-E897)</f>
        <v/>
      </c>
      <c r="V897" s="41" t="str">
        <f aca="false">IF($E897="","",IFERROR(U897/E897,""))</f>
        <v/>
      </c>
      <c r="W897" s="10" t="str">
        <f aca="false">IF($E897="","",IF($I897&lt;&gt;"","факт","прогноз"))</f>
        <v/>
      </c>
      <c r="X897" s="1"/>
      <c r="Y897" s="1"/>
      <c r="Z897" s="1"/>
      <c r="AA897" s="1"/>
      <c r="AB897" s="1"/>
      <c r="AC897" s="1"/>
      <c r="AD897" s="1"/>
    </row>
    <row r="898" customFormat="false" ht="18" hidden="false" customHeight="true" outlineLevel="0" collapsed="false">
      <c r="A898" s="1"/>
      <c r="B898" s="35"/>
      <c r="C898" s="8"/>
      <c r="D898" s="26"/>
      <c r="E898" s="27"/>
      <c r="F898" s="36"/>
      <c r="G898" s="36"/>
      <c r="H898" s="36"/>
      <c r="I898" s="36"/>
      <c r="J898" s="37" t="str">
        <f aca="false">IF($E898="","",IFERROR(G898/F898,""))</f>
        <v/>
      </c>
      <c r="K898" s="30" t="str">
        <f aca="false">IF($E898="","",IFERROR(E898/G898,""))</f>
        <v/>
      </c>
      <c r="L898" s="30" t="str">
        <f aca="false">IF($E898="","",IFERROR(E898/F898*1000,""))</f>
        <v/>
      </c>
      <c r="M898" s="37" t="str">
        <f aca="false">IF($E898="","",IFERROR(H898/G898,""))</f>
        <v/>
      </c>
      <c r="N898" s="30" t="str">
        <f aca="false">IF($E898="","",IFERROR(E898/H898,"—"))</f>
        <v/>
      </c>
      <c r="O898" s="30" t="str">
        <f aca="false">IF($E898="","",IFERROR(INDEX('Гео-калькулятор'!$K$7:$K$13,MATCH($C898,'Гео-калькулятор'!$B$7:$B$13,0)),""))</f>
        <v/>
      </c>
      <c r="P898" s="38" t="str">
        <f aca="false">IF($E898="","",IFERROR(N898/O898,""))</f>
        <v/>
      </c>
      <c r="Q898" s="39" t="str">
        <f aca="false">IF($E898="","",IF($I898&lt;&gt;"",$I898,N($H898)*IFERROR(INDEX('Гео-калькулятор'!$E$7:$E$13,MATCH($C898,'Гео-калькулятор'!$B$7:$B$13,0)),0)))</f>
        <v/>
      </c>
      <c r="R898" s="38" t="str">
        <f aca="false">IF($E898="","",IFERROR(Q898/H898,""))</f>
        <v/>
      </c>
      <c r="S898" s="30" t="str">
        <f aca="false">IF($E898="","",IFERROR(E898/Q898,"—"))</f>
        <v/>
      </c>
      <c r="T898" s="30" t="str">
        <f aca="false">IF($E898="","",Q898*IFERROR(INDEX('Гео-калькулятор'!$D$7:$D$13,MATCH($C898,'Гео-калькулятор'!$B$7:$B$13,0)),0))</f>
        <v/>
      </c>
      <c r="U898" s="40" t="str">
        <f aca="false">IF($E898="","",T898-E898)</f>
        <v/>
      </c>
      <c r="V898" s="41" t="str">
        <f aca="false">IF($E898="","",IFERROR(U898/E898,""))</f>
        <v/>
      </c>
      <c r="W898" s="10" t="str">
        <f aca="false">IF($E898="","",IF($I898&lt;&gt;"","факт","прогноз"))</f>
        <v/>
      </c>
      <c r="X898" s="1"/>
      <c r="Y898" s="1"/>
      <c r="Z898" s="1"/>
      <c r="AA898" s="1"/>
      <c r="AB898" s="1"/>
      <c r="AC898" s="1"/>
      <c r="AD898" s="1"/>
    </row>
    <row r="899" customFormat="false" ht="18" hidden="false" customHeight="true" outlineLevel="0" collapsed="false">
      <c r="A899" s="1"/>
      <c r="B899" s="35"/>
      <c r="C899" s="8"/>
      <c r="D899" s="26"/>
      <c r="E899" s="27"/>
      <c r="F899" s="36"/>
      <c r="G899" s="36"/>
      <c r="H899" s="36"/>
      <c r="I899" s="36"/>
      <c r="J899" s="37" t="str">
        <f aca="false">IF($E899="","",IFERROR(G899/F899,""))</f>
        <v/>
      </c>
      <c r="K899" s="30" t="str">
        <f aca="false">IF($E899="","",IFERROR(E899/G899,""))</f>
        <v/>
      </c>
      <c r="L899" s="30" t="str">
        <f aca="false">IF($E899="","",IFERROR(E899/F899*1000,""))</f>
        <v/>
      </c>
      <c r="M899" s="37" t="str">
        <f aca="false">IF($E899="","",IFERROR(H899/G899,""))</f>
        <v/>
      </c>
      <c r="N899" s="30" t="str">
        <f aca="false">IF($E899="","",IFERROR(E899/H899,"—"))</f>
        <v/>
      </c>
      <c r="O899" s="30" t="str">
        <f aca="false">IF($E899="","",IFERROR(INDEX('Гео-калькулятор'!$K$7:$K$13,MATCH($C899,'Гео-калькулятор'!$B$7:$B$13,0)),""))</f>
        <v/>
      </c>
      <c r="P899" s="38" t="str">
        <f aca="false">IF($E899="","",IFERROR(N899/O899,""))</f>
        <v/>
      </c>
      <c r="Q899" s="39" t="str">
        <f aca="false">IF($E899="","",IF($I899&lt;&gt;"",$I899,N($H899)*IFERROR(INDEX('Гео-калькулятор'!$E$7:$E$13,MATCH($C899,'Гео-калькулятор'!$B$7:$B$13,0)),0)))</f>
        <v/>
      </c>
      <c r="R899" s="38" t="str">
        <f aca="false">IF($E899="","",IFERROR(Q899/H899,""))</f>
        <v/>
      </c>
      <c r="S899" s="30" t="str">
        <f aca="false">IF($E899="","",IFERROR(E899/Q899,"—"))</f>
        <v/>
      </c>
      <c r="T899" s="30" t="str">
        <f aca="false">IF($E899="","",Q899*IFERROR(INDEX('Гео-калькулятор'!$D$7:$D$13,MATCH($C899,'Гео-калькулятор'!$B$7:$B$13,0)),0))</f>
        <v/>
      </c>
      <c r="U899" s="40" t="str">
        <f aca="false">IF($E899="","",T899-E899)</f>
        <v/>
      </c>
      <c r="V899" s="41" t="str">
        <f aca="false">IF($E899="","",IFERROR(U899/E899,""))</f>
        <v/>
      </c>
      <c r="W899" s="10" t="str">
        <f aca="false">IF($E899="","",IF($I899&lt;&gt;"","факт","прогноз"))</f>
        <v/>
      </c>
      <c r="X899" s="1"/>
      <c r="Y899" s="1"/>
      <c r="Z899" s="1"/>
      <c r="AA899" s="1"/>
      <c r="AB899" s="1"/>
      <c r="AC899" s="1"/>
      <c r="AD899" s="1"/>
    </row>
    <row r="900" customFormat="false" ht="18" hidden="false" customHeight="true" outlineLevel="0" collapsed="false">
      <c r="A900" s="1"/>
      <c r="B900" s="35"/>
      <c r="C900" s="8"/>
      <c r="D900" s="26"/>
      <c r="E900" s="27"/>
      <c r="F900" s="36"/>
      <c r="G900" s="36"/>
      <c r="H900" s="36"/>
      <c r="I900" s="36"/>
      <c r="J900" s="37" t="str">
        <f aca="false">IF($E900="","",IFERROR(G900/F900,""))</f>
        <v/>
      </c>
      <c r="K900" s="30" t="str">
        <f aca="false">IF($E900="","",IFERROR(E900/G900,""))</f>
        <v/>
      </c>
      <c r="L900" s="30" t="str">
        <f aca="false">IF($E900="","",IFERROR(E900/F900*1000,""))</f>
        <v/>
      </c>
      <c r="M900" s="37" t="str">
        <f aca="false">IF($E900="","",IFERROR(H900/G900,""))</f>
        <v/>
      </c>
      <c r="N900" s="30" t="str">
        <f aca="false">IF($E900="","",IFERROR(E900/H900,"—"))</f>
        <v/>
      </c>
      <c r="O900" s="30" t="str">
        <f aca="false">IF($E900="","",IFERROR(INDEX('Гео-калькулятор'!$K$7:$K$13,MATCH($C900,'Гео-калькулятор'!$B$7:$B$13,0)),""))</f>
        <v/>
      </c>
      <c r="P900" s="38" t="str">
        <f aca="false">IF($E900="","",IFERROR(N900/O900,""))</f>
        <v/>
      </c>
      <c r="Q900" s="39" t="str">
        <f aca="false">IF($E900="","",IF($I900&lt;&gt;"",$I900,N($H900)*IFERROR(INDEX('Гео-калькулятор'!$E$7:$E$13,MATCH($C900,'Гео-калькулятор'!$B$7:$B$13,0)),0)))</f>
        <v/>
      </c>
      <c r="R900" s="38" t="str">
        <f aca="false">IF($E900="","",IFERROR(Q900/H900,""))</f>
        <v/>
      </c>
      <c r="S900" s="30" t="str">
        <f aca="false">IF($E900="","",IFERROR(E900/Q900,"—"))</f>
        <v/>
      </c>
      <c r="T900" s="30" t="str">
        <f aca="false">IF($E900="","",Q900*IFERROR(INDEX('Гео-калькулятор'!$D$7:$D$13,MATCH($C900,'Гео-калькулятор'!$B$7:$B$13,0)),0))</f>
        <v/>
      </c>
      <c r="U900" s="40" t="str">
        <f aca="false">IF($E900="","",T900-E900)</f>
        <v/>
      </c>
      <c r="V900" s="41" t="str">
        <f aca="false">IF($E900="","",IFERROR(U900/E900,""))</f>
        <v/>
      </c>
      <c r="W900" s="10" t="str">
        <f aca="false">IF($E900="","",IF($I900&lt;&gt;"","факт","прогноз"))</f>
        <v/>
      </c>
      <c r="X900" s="1"/>
      <c r="Y900" s="1"/>
      <c r="Z900" s="1"/>
      <c r="AA900" s="1"/>
      <c r="AB900" s="1"/>
      <c r="AC900" s="1"/>
      <c r="AD900" s="1"/>
    </row>
    <row r="901" customFormat="false" ht="18" hidden="false" customHeight="true" outlineLevel="0" collapsed="false">
      <c r="A901" s="1"/>
      <c r="B901" s="35"/>
      <c r="C901" s="8"/>
      <c r="D901" s="26"/>
      <c r="E901" s="27"/>
      <c r="F901" s="36"/>
      <c r="G901" s="36"/>
      <c r="H901" s="36"/>
      <c r="I901" s="36"/>
      <c r="J901" s="37" t="str">
        <f aca="false">IF($E901="","",IFERROR(G901/F901,""))</f>
        <v/>
      </c>
      <c r="K901" s="30" t="str">
        <f aca="false">IF($E901="","",IFERROR(E901/G901,""))</f>
        <v/>
      </c>
      <c r="L901" s="30" t="str">
        <f aca="false">IF($E901="","",IFERROR(E901/F901*1000,""))</f>
        <v/>
      </c>
      <c r="M901" s="37" t="str">
        <f aca="false">IF($E901="","",IFERROR(H901/G901,""))</f>
        <v/>
      </c>
      <c r="N901" s="30" t="str">
        <f aca="false">IF($E901="","",IFERROR(E901/H901,"—"))</f>
        <v/>
      </c>
      <c r="O901" s="30" t="str">
        <f aca="false">IF($E901="","",IFERROR(INDEX('Гео-калькулятор'!$K$7:$K$13,MATCH($C901,'Гео-калькулятор'!$B$7:$B$13,0)),""))</f>
        <v/>
      </c>
      <c r="P901" s="38" t="str">
        <f aca="false">IF($E901="","",IFERROR(N901/O901,""))</f>
        <v/>
      </c>
      <c r="Q901" s="39" t="str">
        <f aca="false">IF($E901="","",IF($I901&lt;&gt;"",$I901,N($H901)*IFERROR(INDEX('Гео-калькулятор'!$E$7:$E$13,MATCH($C901,'Гео-калькулятор'!$B$7:$B$13,0)),0)))</f>
        <v/>
      </c>
      <c r="R901" s="38" t="str">
        <f aca="false">IF($E901="","",IFERROR(Q901/H901,""))</f>
        <v/>
      </c>
      <c r="S901" s="30" t="str">
        <f aca="false">IF($E901="","",IFERROR(E901/Q901,"—"))</f>
        <v/>
      </c>
      <c r="T901" s="30" t="str">
        <f aca="false">IF($E901="","",Q901*IFERROR(INDEX('Гео-калькулятор'!$D$7:$D$13,MATCH($C901,'Гео-калькулятор'!$B$7:$B$13,0)),0))</f>
        <v/>
      </c>
      <c r="U901" s="40" t="str">
        <f aca="false">IF($E901="","",T901-E901)</f>
        <v/>
      </c>
      <c r="V901" s="41" t="str">
        <f aca="false">IF($E901="","",IFERROR(U901/E901,""))</f>
        <v/>
      </c>
      <c r="W901" s="10" t="str">
        <f aca="false">IF($E901="","",IF($I901&lt;&gt;"","факт","прогноз"))</f>
        <v/>
      </c>
      <c r="X901" s="1"/>
      <c r="Y901" s="1"/>
      <c r="Z901" s="1"/>
      <c r="AA901" s="1"/>
      <c r="AB901" s="1"/>
      <c r="AC901" s="1"/>
      <c r="AD901" s="1"/>
    </row>
    <row r="902" customFormat="false" ht="18" hidden="false" customHeight="true" outlineLevel="0" collapsed="false">
      <c r="A902" s="1"/>
      <c r="B902" s="35"/>
      <c r="C902" s="8"/>
      <c r="D902" s="26"/>
      <c r="E902" s="27"/>
      <c r="F902" s="36"/>
      <c r="G902" s="36"/>
      <c r="H902" s="36"/>
      <c r="I902" s="36"/>
      <c r="J902" s="37" t="str">
        <f aca="false">IF($E902="","",IFERROR(G902/F902,""))</f>
        <v/>
      </c>
      <c r="K902" s="30" t="str">
        <f aca="false">IF($E902="","",IFERROR(E902/G902,""))</f>
        <v/>
      </c>
      <c r="L902" s="30" t="str">
        <f aca="false">IF($E902="","",IFERROR(E902/F902*1000,""))</f>
        <v/>
      </c>
      <c r="M902" s="37" t="str">
        <f aca="false">IF($E902="","",IFERROR(H902/G902,""))</f>
        <v/>
      </c>
      <c r="N902" s="30" t="str">
        <f aca="false">IF($E902="","",IFERROR(E902/H902,"—"))</f>
        <v/>
      </c>
      <c r="O902" s="30" t="str">
        <f aca="false">IF($E902="","",IFERROR(INDEX('Гео-калькулятор'!$K$7:$K$13,MATCH($C902,'Гео-калькулятор'!$B$7:$B$13,0)),""))</f>
        <v/>
      </c>
      <c r="P902" s="38" t="str">
        <f aca="false">IF($E902="","",IFERROR(N902/O902,""))</f>
        <v/>
      </c>
      <c r="Q902" s="39" t="str">
        <f aca="false">IF($E902="","",IF($I902&lt;&gt;"",$I902,N($H902)*IFERROR(INDEX('Гео-калькулятор'!$E$7:$E$13,MATCH($C902,'Гео-калькулятор'!$B$7:$B$13,0)),0)))</f>
        <v/>
      </c>
      <c r="R902" s="38" t="str">
        <f aca="false">IF($E902="","",IFERROR(Q902/H902,""))</f>
        <v/>
      </c>
      <c r="S902" s="30" t="str">
        <f aca="false">IF($E902="","",IFERROR(E902/Q902,"—"))</f>
        <v/>
      </c>
      <c r="T902" s="30" t="str">
        <f aca="false">IF($E902="","",Q902*IFERROR(INDEX('Гео-калькулятор'!$D$7:$D$13,MATCH($C902,'Гео-калькулятор'!$B$7:$B$13,0)),0))</f>
        <v/>
      </c>
      <c r="U902" s="40" t="str">
        <f aca="false">IF($E902="","",T902-E902)</f>
        <v/>
      </c>
      <c r="V902" s="41" t="str">
        <f aca="false">IF($E902="","",IFERROR(U902/E902,""))</f>
        <v/>
      </c>
      <c r="W902" s="10" t="str">
        <f aca="false">IF($E902="","",IF($I902&lt;&gt;"","факт","прогноз"))</f>
        <v/>
      </c>
      <c r="X902" s="1"/>
      <c r="Y902" s="1"/>
      <c r="Z902" s="1"/>
      <c r="AA902" s="1"/>
      <c r="AB902" s="1"/>
      <c r="AC902" s="1"/>
      <c r="AD902" s="1"/>
    </row>
    <row r="903" customFormat="false" ht="18" hidden="false" customHeight="true" outlineLevel="0" collapsed="false">
      <c r="A903" s="1"/>
      <c r="B903" s="35"/>
      <c r="C903" s="8"/>
      <c r="D903" s="26"/>
      <c r="E903" s="27"/>
      <c r="F903" s="36"/>
      <c r="G903" s="36"/>
      <c r="H903" s="36"/>
      <c r="I903" s="36"/>
      <c r="J903" s="37" t="str">
        <f aca="false">IF($E903="","",IFERROR(G903/F903,""))</f>
        <v/>
      </c>
      <c r="K903" s="30" t="str">
        <f aca="false">IF($E903="","",IFERROR(E903/G903,""))</f>
        <v/>
      </c>
      <c r="L903" s="30" t="str">
        <f aca="false">IF($E903="","",IFERROR(E903/F903*1000,""))</f>
        <v/>
      </c>
      <c r="M903" s="37" t="str">
        <f aca="false">IF($E903="","",IFERROR(H903/G903,""))</f>
        <v/>
      </c>
      <c r="N903" s="30" t="str">
        <f aca="false">IF($E903="","",IFERROR(E903/H903,"—"))</f>
        <v/>
      </c>
      <c r="O903" s="30" t="str">
        <f aca="false">IF($E903="","",IFERROR(INDEX('Гео-калькулятор'!$K$7:$K$13,MATCH($C903,'Гео-калькулятор'!$B$7:$B$13,0)),""))</f>
        <v/>
      </c>
      <c r="P903" s="38" t="str">
        <f aca="false">IF($E903="","",IFERROR(N903/O903,""))</f>
        <v/>
      </c>
      <c r="Q903" s="39" t="str">
        <f aca="false">IF($E903="","",IF($I903&lt;&gt;"",$I903,N($H903)*IFERROR(INDEX('Гео-калькулятор'!$E$7:$E$13,MATCH($C903,'Гео-калькулятор'!$B$7:$B$13,0)),0)))</f>
        <v/>
      </c>
      <c r="R903" s="38" t="str">
        <f aca="false">IF($E903="","",IFERROR(Q903/H903,""))</f>
        <v/>
      </c>
      <c r="S903" s="30" t="str">
        <f aca="false">IF($E903="","",IFERROR(E903/Q903,"—"))</f>
        <v/>
      </c>
      <c r="T903" s="30" t="str">
        <f aca="false">IF($E903="","",Q903*IFERROR(INDEX('Гео-калькулятор'!$D$7:$D$13,MATCH($C903,'Гео-калькулятор'!$B$7:$B$13,0)),0))</f>
        <v/>
      </c>
      <c r="U903" s="40" t="str">
        <f aca="false">IF($E903="","",T903-E903)</f>
        <v/>
      </c>
      <c r="V903" s="41" t="str">
        <f aca="false">IF($E903="","",IFERROR(U903/E903,""))</f>
        <v/>
      </c>
      <c r="W903" s="10" t="str">
        <f aca="false">IF($E903="","",IF($I903&lt;&gt;"","факт","прогноз"))</f>
        <v/>
      </c>
      <c r="X903" s="1"/>
      <c r="Y903" s="1"/>
      <c r="Z903" s="1"/>
      <c r="AA903" s="1"/>
      <c r="AB903" s="1"/>
      <c r="AC903" s="1"/>
      <c r="AD903" s="1"/>
    </row>
    <row r="904" customFormat="false" ht="18" hidden="false" customHeight="true" outlineLevel="0" collapsed="false">
      <c r="A904" s="1"/>
      <c r="B904" s="35"/>
      <c r="C904" s="8"/>
      <c r="D904" s="26"/>
      <c r="E904" s="27"/>
      <c r="F904" s="36"/>
      <c r="G904" s="36"/>
      <c r="H904" s="36"/>
      <c r="I904" s="36"/>
      <c r="J904" s="37" t="str">
        <f aca="false">IF($E904="","",IFERROR(G904/F904,""))</f>
        <v/>
      </c>
      <c r="K904" s="30" t="str">
        <f aca="false">IF($E904="","",IFERROR(E904/G904,""))</f>
        <v/>
      </c>
      <c r="L904" s="30" t="str">
        <f aca="false">IF($E904="","",IFERROR(E904/F904*1000,""))</f>
        <v/>
      </c>
      <c r="M904" s="37" t="str">
        <f aca="false">IF($E904="","",IFERROR(H904/G904,""))</f>
        <v/>
      </c>
      <c r="N904" s="30" t="str">
        <f aca="false">IF($E904="","",IFERROR(E904/H904,"—"))</f>
        <v/>
      </c>
      <c r="O904" s="30" t="str">
        <f aca="false">IF($E904="","",IFERROR(INDEX('Гео-калькулятор'!$K$7:$K$13,MATCH($C904,'Гео-калькулятор'!$B$7:$B$13,0)),""))</f>
        <v/>
      </c>
      <c r="P904" s="38" t="str">
        <f aca="false">IF($E904="","",IFERROR(N904/O904,""))</f>
        <v/>
      </c>
      <c r="Q904" s="39" t="str">
        <f aca="false">IF($E904="","",IF($I904&lt;&gt;"",$I904,N($H904)*IFERROR(INDEX('Гео-калькулятор'!$E$7:$E$13,MATCH($C904,'Гео-калькулятор'!$B$7:$B$13,0)),0)))</f>
        <v/>
      </c>
      <c r="R904" s="38" t="str">
        <f aca="false">IF($E904="","",IFERROR(Q904/H904,""))</f>
        <v/>
      </c>
      <c r="S904" s="30" t="str">
        <f aca="false">IF($E904="","",IFERROR(E904/Q904,"—"))</f>
        <v/>
      </c>
      <c r="T904" s="30" t="str">
        <f aca="false">IF($E904="","",Q904*IFERROR(INDEX('Гео-калькулятор'!$D$7:$D$13,MATCH($C904,'Гео-калькулятор'!$B$7:$B$13,0)),0))</f>
        <v/>
      </c>
      <c r="U904" s="40" t="str">
        <f aca="false">IF($E904="","",T904-E904)</f>
        <v/>
      </c>
      <c r="V904" s="41" t="str">
        <f aca="false">IF($E904="","",IFERROR(U904/E904,""))</f>
        <v/>
      </c>
      <c r="W904" s="10" t="str">
        <f aca="false">IF($E904="","",IF($I904&lt;&gt;"","факт","прогноз"))</f>
        <v/>
      </c>
      <c r="X904" s="1"/>
      <c r="Y904" s="1"/>
      <c r="Z904" s="1"/>
      <c r="AA904" s="1"/>
      <c r="AB904" s="1"/>
      <c r="AC904" s="1"/>
      <c r="AD904" s="1"/>
    </row>
    <row r="905" customFormat="false" ht="18" hidden="false" customHeight="true" outlineLevel="0" collapsed="false">
      <c r="A905" s="1"/>
      <c r="B905" s="35"/>
      <c r="C905" s="8"/>
      <c r="D905" s="26"/>
      <c r="E905" s="27"/>
      <c r="F905" s="36"/>
      <c r="G905" s="36"/>
      <c r="H905" s="36"/>
      <c r="I905" s="36"/>
      <c r="J905" s="37" t="str">
        <f aca="false">IF($E905="","",IFERROR(G905/F905,""))</f>
        <v/>
      </c>
      <c r="K905" s="30" t="str">
        <f aca="false">IF($E905="","",IFERROR(E905/G905,""))</f>
        <v/>
      </c>
      <c r="L905" s="30" t="str">
        <f aca="false">IF($E905="","",IFERROR(E905/F905*1000,""))</f>
        <v/>
      </c>
      <c r="M905" s="37" t="str">
        <f aca="false">IF($E905="","",IFERROR(H905/G905,""))</f>
        <v/>
      </c>
      <c r="N905" s="30" t="str">
        <f aca="false">IF($E905="","",IFERROR(E905/H905,"—"))</f>
        <v/>
      </c>
      <c r="O905" s="30" t="str">
        <f aca="false">IF($E905="","",IFERROR(INDEX('Гео-калькулятор'!$K$7:$K$13,MATCH($C905,'Гео-калькулятор'!$B$7:$B$13,0)),""))</f>
        <v/>
      </c>
      <c r="P905" s="38" t="str">
        <f aca="false">IF($E905="","",IFERROR(N905/O905,""))</f>
        <v/>
      </c>
      <c r="Q905" s="39" t="str">
        <f aca="false">IF($E905="","",IF($I905&lt;&gt;"",$I905,N($H905)*IFERROR(INDEX('Гео-калькулятор'!$E$7:$E$13,MATCH($C905,'Гео-калькулятор'!$B$7:$B$13,0)),0)))</f>
        <v/>
      </c>
      <c r="R905" s="38" t="str">
        <f aca="false">IF($E905="","",IFERROR(Q905/H905,""))</f>
        <v/>
      </c>
      <c r="S905" s="30" t="str">
        <f aca="false">IF($E905="","",IFERROR(E905/Q905,"—"))</f>
        <v/>
      </c>
      <c r="T905" s="30" t="str">
        <f aca="false">IF($E905="","",Q905*IFERROR(INDEX('Гео-калькулятор'!$D$7:$D$13,MATCH($C905,'Гео-калькулятор'!$B$7:$B$13,0)),0))</f>
        <v/>
      </c>
      <c r="U905" s="40" t="str">
        <f aca="false">IF($E905="","",T905-E905)</f>
        <v/>
      </c>
      <c r="V905" s="41" t="str">
        <f aca="false">IF($E905="","",IFERROR(U905/E905,""))</f>
        <v/>
      </c>
      <c r="W905" s="10" t="str">
        <f aca="false">IF($E905="","",IF($I905&lt;&gt;"","факт","прогноз"))</f>
        <v/>
      </c>
      <c r="X905" s="1"/>
      <c r="Y905" s="1"/>
      <c r="Z905" s="1"/>
      <c r="AA905" s="1"/>
      <c r="AB905" s="1"/>
      <c r="AC905" s="1"/>
      <c r="AD905" s="1"/>
    </row>
    <row r="906" customFormat="false" ht="18" hidden="false" customHeight="true" outlineLevel="0" collapsed="false">
      <c r="A906" s="1"/>
      <c r="B906" s="35"/>
      <c r="C906" s="8"/>
      <c r="D906" s="26"/>
      <c r="E906" s="27"/>
      <c r="F906" s="36"/>
      <c r="G906" s="36"/>
      <c r="H906" s="36"/>
      <c r="I906" s="36"/>
      <c r="J906" s="37" t="str">
        <f aca="false">IF($E906="","",IFERROR(G906/F906,""))</f>
        <v/>
      </c>
      <c r="K906" s="30" t="str">
        <f aca="false">IF($E906="","",IFERROR(E906/G906,""))</f>
        <v/>
      </c>
      <c r="L906" s="30" t="str">
        <f aca="false">IF($E906="","",IFERROR(E906/F906*1000,""))</f>
        <v/>
      </c>
      <c r="M906" s="37" t="str">
        <f aca="false">IF($E906="","",IFERROR(H906/G906,""))</f>
        <v/>
      </c>
      <c r="N906" s="30" t="str">
        <f aca="false">IF($E906="","",IFERROR(E906/H906,"—"))</f>
        <v/>
      </c>
      <c r="O906" s="30" t="str">
        <f aca="false">IF($E906="","",IFERROR(INDEX('Гео-калькулятор'!$K$7:$K$13,MATCH($C906,'Гео-калькулятор'!$B$7:$B$13,0)),""))</f>
        <v/>
      </c>
      <c r="P906" s="38" t="str">
        <f aca="false">IF($E906="","",IFERROR(N906/O906,""))</f>
        <v/>
      </c>
      <c r="Q906" s="39" t="str">
        <f aca="false">IF($E906="","",IF($I906&lt;&gt;"",$I906,N($H906)*IFERROR(INDEX('Гео-калькулятор'!$E$7:$E$13,MATCH($C906,'Гео-калькулятор'!$B$7:$B$13,0)),0)))</f>
        <v/>
      </c>
      <c r="R906" s="38" t="str">
        <f aca="false">IF($E906="","",IFERROR(Q906/H906,""))</f>
        <v/>
      </c>
      <c r="S906" s="30" t="str">
        <f aca="false">IF($E906="","",IFERROR(E906/Q906,"—"))</f>
        <v/>
      </c>
      <c r="T906" s="30" t="str">
        <f aca="false">IF($E906="","",Q906*IFERROR(INDEX('Гео-калькулятор'!$D$7:$D$13,MATCH($C906,'Гео-калькулятор'!$B$7:$B$13,0)),0))</f>
        <v/>
      </c>
      <c r="U906" s="40" t="str">
        <f aca="false">IF($E906="","",T906-E906)</f>
        <v/>
      </c>
      <c r="V906" s="41" t="str">
        <f aca="false">IF($E906="","",IFERROR(U906/E906,""))</f>
        <v/>
      </c>
      <c r="W906" s="10" t="str">
        <f aca="false">IF($E906="","",IF($I906&lt;&gt;"","факт","прогноз"))</f>
        <v/>
      </c>
      <c r="X906" s="1"/>
      <c r="Y906" s="1"/>
      <c r="Z906" s="1"/>
      <c r="AA906" s="1"/>
      <c r="AB906" s="1"/>
      <c r="AC906" s="1"/>
      <c r="AD906" s="1"/>
    </row>
    <row r="907" customFormat="false" ht="18" hidden="false" customHeight="true" outlineLevel="0" collapsed="false">
      <c r="A907" s="1"/>
      <c r="B907" s="35"/>
      <c r="C907" s="8"/>
      <c r="D907" s="26"/>
      <c r="E907" s="27"/>
      <c r="F907" s="36"/>
      <c r="G907" s="36"/>
      <c r="H907" s="36"/>
      <c r="I907" s="36"/>
      <c r="J907" s="37" t="str">
        <f aca="false">IF($E907="","",IFERROR(G907/F907,""))</f>
        <v/>
      </c>
      <c r="K907" s="30" t="str">
        <f aca="false">IF($E907="","",IFERROR(E907/G907,""))</f>
        <v/>
      </c>
      <c r="L907" s="30" t="str">
        <f aca="false">IF($E907="","",IFERROR(E907/F907*1000,""))</f>
        <v/>
      </c>
      <c r="M907" s="37" t="str">
        <f aca="false">IF($E907="","",IFERROR(H907/G907,""))</f>
        <v/>
      </c>
      <c r="N907" s="30" t="str">
        <f aca="false">IF($E907="","",IFERROR(E907/H907,"—"))</f>
        <v/>
      </c>
      <c r="O907" s="30" t="str">
        <f aca="false">IF($E907="","",IFERROR(INDEX('Гео-калькулятор'!$K$7:$K$13,MATCH($C907,'Гео-калькулятор'!$B$7:$B$13,0)),""))</f>
        <v/>
      </c>
      <c r="P907" s="38" t="str">
        <f aca="false">IF($E907="","",IFERROR(N907/O907,""))</f>
        <v/>
      </c>
      <c r="Q907" s="39" t="str">
        <f aca="false">IF($E907="","",IF($I907&lt;&gt;"",$I907,N($H907)*IFERROR(INDEX('Гео-калькулятор'!$E$7:$E$13,MATCH($C907,'Гео-калькулятор'!$B$7:$B$13,0)),0)))</f>
        <v/>
      </c>
      <c r="R907" s="38" t="str">
        <f aca="false">IF($E907="","",IFERROR(Q907/H907,""))</f>
        <v/>
      </c>
      <c r="S907" s="30" t="str">
        <f aca="false">IF($E907="","",IFERROR(E907/Q907,"—"))</f>
        <v/>
      </c>
      <c r="T907" s="30" t="str">
        <f aca="false">IF($E907="","",Q907*IFERROR(INDEX('Гео-калькулятор'!$D$7:$D$13,MATCH($C907,'Гео-калькулятор'!$B$7:$B$13,0)),0))</f>
        <v/>
      </c>
      <c r="U907" s="40" t="str">
        <f aca="false">IF($E907="","",T907-E907)</f>
        <v/>
      </c>
      <c r="V907" s="41" t="str">
        <f aca="false">IF($E907="","",IFERROR(U907/E907,""))</f>
        <v/>
      </c>
      <c r="W907" s="10" t="str">
        <f aca="false">IF($E907="","",IF($I907&lt;&gt;"","факт","прогноз"))</f>
        <v/>
      </c>
      <c r="X907" s="1"/>
      <c r="Y907" s="1"/>
      <c r="Z907" s="1"/>
      <c r="AA907" s="1"/>
      <c r="AB907" s="1"/>
      <c r="AC907" s="1"/>
      <c r="AD907" s="1"/>
    </row>
    <row r="908" customFormat="false" ht="18" hidden="false" customHeight="true" outlineLevel="0" collapsed="false">
      <c r="A908" s="1"/>
      <c r="B908" s="35"/>
      <c r="C908" s="8"/>
      <c r="D908" s="26"/>
      <c r="E908" s="27"/>
      <c r="F908" s="36"/>
      <c r="G908" s="36"/>
      <c r="H908" s="36"/>
      <c r="I908" s="36"/>
      <c r="J908" s="37" t="str">
        <f aca="false">IF($E908="","",IFERROR(G908/F908,""))</f>
        <v/>
      </c>
      <c r="K908" s="30" t="str">
        <f aca="false">IF($E908="","",IFERROR(E908/G908,""))</f>
        <v/>
      </c>
      <c r="L908" s="30" t="str">
        <f aca="false">IF($E908="","",IFERROR(E908/F908*1000,""))</f>
        <v/>
      </c>
      <c r="M908" s="37" t="str">
        <f aca="false">IF($E908="","",IFERROR(H908/G908,""))</f>
        <v/>
      </c>
      <c r="N908" s="30" t="str">
        <f aca="false">IF($E908="","",IFERROR(E908/H908,"—"))</f>
        <v/>
      </c>
      <c r="O908" s="30" t="str">
        <f aca="false">IF($E908="","",IFERROR(INDEX('Гео-калькулятор'!$K$7:$K$13,MATCH($C908,'Гео-калькулятор'!$B$7:$B$13,0)),""))</f>
        <v/>
      </c>
      <c r="P908" s="38" t="str">
        <f aca="false">IF($E908="","",IFERROR(N908/O908,""))</f>
        <v/>
      </c>
      <c r="Q908" s="39" t="str">
        <f aca="false">IF($E908="","",IF($I908&lt;&gt;"",$I908,N($H908)*IFERROR(INDEX('Гео-калькулятор'!$E$7:$E$13,MATCH($C908,'Гео-калькулятор'!$B$7:$B$13,0)),0)))</f>
        <v/>
      </c>
      <c r="R908" s="38" t="str">
        <f aca="false">IF($E908="","",IFERROR(Q908/H908,""))</f>
        <v/>
      </c>
      <c r="S908" s="30" t="str">
        <f aca="false">IF($E908="","",IFERROR(E908/Q908,"—"))</f>
        <v/>
      </c>
      <c r="T908" s="30" t="str">
        <f aca="false">IF($E908="","",Q908*IFERROR(INDEX('Гео-калькулятор'!$D$7:$D$13,MATCH($C908,'Гео-калькулятор'!$B$7:$B$13,0)),0))</f>
        <v/>
      </c>
      <c r="U908" s="40" t="str">
        <f aca="false">IF($E908="","",T908-E908)</f>
        <v/>
      </c>
      <c r="V908" s="41" t="str">
        <f aca="false">IF($E908="","",IFERROR(U908/E908,""))</f>
        <v/>
      </c>
      <c r="W908" s="10" t="str">
        <f aca="false">IF($E908="","",IF($I908&lt;&gt;"","факт","прогноз"))</f>
        <v/>
      </c>
      <c r="X908" s="1"/>
      <c r="Y908" s="1"/>
      <c r="Z908" s="1"/>
      <c r="AA908" s="1"/>
      <c r="AB908" s="1"/>
      <c r="AC908" s="1"/>
      <c r="AD908" s="1"/>
    </row>
    <row r="909" customFormat="false" ht="18" hidden="false" customHeight="true" outlineLevel="0" collapsed="false">
      <c r="A909" s="1"/>
      <c r="B909" s="35"/>
      <c r="C909" s="8"/>
      <c r="D909" s="26"/>
      <c r="E909" s="27"/>
      <c r="F909" s="36"/>
      <c r="G909" s="36"/>
      <c r="H909" s="36"/>
      <c r="I909" s="36"/>
      <c r="J909" s="37" t="str">
        <f aca="false">IF($E909="","",IFERROR(G909/F909,""))</f>
        <v/>
      </c>
      <c r="K909" s="30" t="str">
        <f aca="false">IF($E909="","",IFERROR(E909/G909,""))</f>
        <v/>
      </c>
      <c r="L909" s="30" t="str">
        <f aca="false">IF($E909="","",IFERROR(E909/F909*1000,""))</f>
        <v/>
      </c>
      <c r="M909" s="37" t="str">
        <f aca="false">IF($E909="","",IFERROR(H909/G909,""))</f>
        <v/>
      </c>
      <c r="N909" s="30" t="str">
        <f aca="false">IF($E909="","",IFERROR(E909/H909,"—"))</f>
        <v/>
      </c>
      <c r="O909" s="30" t="str">
        <f aca="false">IF($E909="","",IFERROR(INDEX('Гео-калькулятор'!$K$7:$K$13,MATCH($C909,'Гео-калькулятор'!$B$7:$B$13,0)),""))</f>
        <v/>
      </c>
      <c r="P909" s="38" t="str">
        <f aca="false">IF($E909="","",IFERROR(N909/O909,""))</f>
        <v/>
      </c>
      <c r="Q909" s="39" t="str">
        <f aca="false">IF($E909="","",IF($I909&lt;&gt;"",$I909,N($H909)*IFERROR(INDEX('Гео-калькулятор'!$E$7:$E$13,MATCH($C909,'Гео-калькулятор'!$B$7:$B$13,0)),0)))</f>
        <v/>
      </c>
      <c r="R909" s="38" t="str">
        <f aca="false">IF($E909="","",IFERROR(Q909/H909,""))</f>
        <v/>
      </c>
      <c r="S909" s="30" t="str">
        <f aca="false">IF($E909="","",IFERROR(E909/Q909,"—"))</f>
        <v/>
      </c>
      <c r="T909" s="30" t="str">
        <f aca="false">IF($E909="","",Q909*IFERROR(INDEX('Гео-калькулятор'!$D$7:$D$13,MATCH($C909,'Гео-калькулятор'!$B$7:$B$13,0)),0))</f>
        <v/>
      </c>
      <c r="U909" s="40" t="str">
        <f aca="false">IF($E909="","",T909-E909)</f>
        <v/>
      </c>
      <c r="V909" s="41" t="str">
        <f aca="false">IF($E909="","",IFERROR(U909/E909,""))</f>
        <v/>
      </c>
      <c r="W909" s="10" t="str">
        <f aca="false">IF($E909="","",IF($I909&lt;&gt;"","факт","прогноз"))</f>
        <v/>
      </c>
      <c r="X909" s="1"/>
      <c r="Y909" s="1"/>
      <c r="Z909" s="1"/>
      <c r="AA909" s="1"/>
      <c r="AB909" s="1"/>
      <c r="AC909" s="1"/>
      <c r="AD909" s="1"/>
    </row>
    <row r="910" customFormat="false" ht="18" hidden="false" customHeight="true" outlineLevel="0" collapsed="false">
      <c r="A910" s="1"/>
      <c r="B910" s="35"/>
      <c r="C910" s="8"/>
      <c r="D910" s="26"/>
      <c r="E910" s="27"/>
      <c r="F910" s="36"/>
      <c r="G910" s="36"/>
      <c r="H910" s="36"/>
      <c r="I910" s="36"/>
      <c r="J910" s="37" t="str">
        <f aca="false">IF($E910="","",IFERROR(G910/F910,""))</f>
        <v/>
      </c>
      <c r="K910" s="30" t="str">
        <f aca="false">IF($E910="","",IFERROR(E910/G910,""))</f>
        <v/>
      </c>
      <c r="L910" s="30" t="str">
        <f aca="false">IF($E910="","",IFERROR(E910/F910*1000,""))</f>
        <v/>
      </c>
      <c r="M910" s="37" t="str">
        <f aca="false">IF($E910="","",IFERROR(H910/G910,""))</f>
        <v/>
      </c>
      <c r="N910" s="30" t="str">
        <f aca="false">IF($E910="","",IFERROR(E910/H910,"—"))</f>
        <v/>
      </c>
      <c r="O910" s="30" t="str">
        <f aca="false">IF($E910="","",IFERROR(INDEX('Гео-калькулятор'!$K$7:$K$13,MATCH($C910,'Гео-калькулятор'!$B$7:$B$13,0)),""))</f>
        <v/>
      </c>
      <c r="P910" s="38" t="str">
        <f aca="false">IF($E910="","",IFERROR(N910/O910,""))</f>
        <v/>
      </c>
      <c r="Q910" s="39" t="str">
        <f aca="false">IF($E910="","",IF($I910&lt;&gt;"",$I910,N($H910)*IFERROR(INDEX('Гео-калькулятор'!$E$7:$E$13,MATCH($C910,'Гео-калькулятор'!$B$7:$B$13,0)),0)))</f>
        <v/>
      </c>
      <c r="R910" s="38" t="str">
        <f aca="false">IF($E910="","",IFERROR(Q910/H910,""))</f>
        <v/>
      </c>
      <c r="S910" s="30" t="str">
        <f aca="false">IF($E910="","",IFERROR(E910/Q910,"—"))</f>
        <v/>
      </c>
      <c r="T910" s="30" t="str">
        <f aca="false">IF($E910="","",Q910*IFERROR(INDEX('Гео-калькулятор'!$D$7:$D$13,MATCH($C910,'Гео-калькулятор'!$B$7:$B$13,0)),0))</f>
        <v/>
      </c>
      <c r="U910" s="40" t="str">
        <f aca="false">IF($E910="","",T910-E910)</f>
        <v/>
      </c>
      <c r="V910" s="41" t="str">
        <f aca="false">IF($E910="","",IFERROR(U910/E910,""))</f>
        <v/>
      </c>
      <c r="W910" s="10" t="str">
        <f aca="false">IF($E910="","",IF($I910&lt;&gt;"","факт","прогноз"))</f>
        <v/>
      </c>
      <c r="X910" s="1"/>
      <c r="Y910" s="1"/>
      <c r="Z910" s="1"/>
      <c r="AA910" s="1"/>
      <c r="AB910" s="1"/>
      <c r="AC910" s="1"/>
      <c r="AD910" s="1"/>
    </row>
    <row r="911" customFormat="false" ht="18" hidden="false" customHeight="true" outlineLevel="0" collapsed="false">
      <c r="A911" s="1"/>
      <c r="B911" s="35"/>
      <c r="C911" s="8"/>
      <c r="D911" s="26"/>
      <c r="E911" s="27"/>
      <c r="F911" s="36"/>
      <c r="G911" s="36"/>
      <c r="H911" s="36"/>
      <c r="I911" s="36"/>
      <c r="J911" s="37" t="str">
        <f aca="false">IF($E911="","",IFERROR(G911/F911,""))</f>
        <v/>
      </c>
      <c r="K911" s="30" t="str">
        <f aca="false">IF($E911="","",IFERROR(E911/G911,""))</f>
        <v/>
      </c>
      <c r="L911" s="30" t="str">
        <f aca="false">IF($E911="","",IFERROR(E911/F911*1000,""))</f>
        <v/>
      </c>
      <c r="M911" s="37" t="str">
        <f aca="false">IF($E911="","",IFERROR(H911/G911,""))</f>
        <v/>
      </c>
      <c r="N911" s="30" t="str">
        <f aca="false">IF($E911="","",IFERROR(E911/H911,"—"))</f>
        <v/>
      </c>
      <c r="O911" s="30" t="str">
        <f aca="false">IF($E911="","",IFERROR(INDEX('Гео-калькулятор'!$K$7:$K$13,MATCH($C911,'Гео-калькулятор'!$B$7:$B$13,0)),""))</f>
        <v/>
      </c>
      <c r="P911" s="38" t="str">
        <f aca="false">IF($E911="","",IFERROR(N911/O911,""))</f>
        <v/>
      </c>
      <c r="Q911" s="39" t="str">
        <f aca="false">IF($E911="","",IF($I911&lt;&gt;"",$I911,N($H911)*IFERROR(INDEX('Гео-калькулятор'!$E$7:$E$13,MATCH($C911,'Гео-калькулятор'!$B$7:$B$13,0)),0)))</f>
        <v/>
      </c>
      <c r="R911" s="38" t="str">
        <f aca="false">IF($E911="","",IFERROR(Q911/H911,""))</f>
        <v/>
      </c>
      <c r="S911" s="30" t="str">
        <f aca="false">IF($E911="","",IFERROR(E911/Q911,"—"))</f>
        <v/>
      </c>
      <c r="T911" s="30" t="str">
        <f aca="false">IF($E911="","",Q911*IFERROR(INDEX('Гео-калькулятор'!$D$7:$D$13,MATCH($C911,'Гео-калькулятор'!$B$7:$B$13,0)),0))</f>
        <v/>
      </c>
      <c r="U911" s="40" t="str">
        <f aca="false">IF($E911="","",T911-E911)</f>
        <v/>
      </c>
      <c r="V911" s="41" t="str">
        <f aca="false">IF($E911="","",IFERROR(U911/E911,""))</f>
        <v/>
      </c>
      <c r="W911" s="10" t="str">
        <f aca="false">IF($E911="","",IF($I911&lt;&gt;"","факт","прогноз"))</f>
        <v/>
      </c>
      <c r="X911" s="1"/>
      <c r="Y911" s="1"/>
      <c r="Z911" s="1"/>
      <c r="AA911" s="1"/>
      <c r="AB911" s="1"/>
      <c r="AC911" s="1"/>
      <c r="AD911" s="1"/>
    </row>
    <row r="912" customFormat="false" ht="18" hidden="false" customHeight="true" outlineLevel="0" collapsed="false">
      <c r="A912" s="1"/>
      <c r="B912" s="35"/>
      <c r="C912" s="8"/>
      <c r="D912" s="26"/>
      <c r="E912" s="27"/>
      <c r="F912" s="36"/>
      <c r="G912" s="36"/>
      <c r="H912" s="36"/>
      <c r="I912" s="36"/>
      <c r="J912" s="37" t="str">
        <f aca="false">IF($E912="","",IFERROR(G912/F912,""))</f>
        <v/>
      </c>
      <c r="K912" s="30" t="str">
        <f aca="false">IF($E912="","",IFERROR(E912/G912,""))</f>
        <v/>
      </c>
      <c r="L912" s="30" t="str">
        <f aca="false">IF($E912="","",IFERROR(E912/F912*1000,""))</f>
        <v/>
      </c>
      <c r="M912" s="37" t="str">
        <f aca="false">IF($E912="","",IFERROR(H912/G912,""))</f>
        <v/>
      </c>
      <c r="N912" s="30" t="str">
        <f aca="false">IF($E912="","",IFERROR(E912/H912,"—"))</f>
        <v/>
      </c>
      <c r="O912" s="30" t="str">
        <f aca="false">IF($E912="","",IFERROR(INDEX('Гео-калькулятор'!$K$7:$K$13,MATCH($C912,'Гео-калькулятор'!$B$7:$B$13,0)),""))</f>
        <v/>
      </c>
      <c r="P912" s="38" t="str">
        <f aca="false">IF($E912="","",IFERROR(N912/O912,""))</f>
        <v/>
      </c>
      <c r="Q912" s="39" t="str">
        <f aca="false">IF($E912="","",IF($I912&lt;&gt;"",$I912,N($H912)*IFERROR(INDEX('Гео-калькулятор'!$E$7:$E$13,MATCH($C912,'Гео-калькулятор'!$B$7:$B$13,0)),0)))</f>
        <v/>
      </c>
      <c r="R912" s="38" t="str">
        <f aca="false">IF($E912="","",IFERROR(Q912/H912,""))</f>
        <v/>
      </c>
      <c r="S912" s="30" t="str">
        <f aca="false">IF($E912="","",IFERROR(E912/Q912,"—"))</f>
        <v/>
      </c>
      <c r="T912" s="30" t="str">
        <f aca="false">IF($E912="","",Q912*IFERROR(INDEX('Гео-калькулятор'!$D$7:$D$13,MATCH($C912,'Гео-калькулятор'!$B$7:$B$13,0)),0))</f>
        <v/>
      </c>
      <c r="U912" s="40" t="str">
        <f aca="false">IF($E912="","",T912-E912)</f>
        <v/>
      </c>
      <c r="V912" s="41" t="str">
        <f aca="false">IF($E912="","",IFERROR(U912/E912,""))</f>
        <v/>
      </c>
      <c r="W912" s="10" t="str">
        <f aca="false">IF($E912="","",IF($I912&lt;&gt;"","факт","прогноз"))</f>
        <v/>
      </c>
      <c r="X912" s="1"/>
      <c r="Y912" s="1"/>
      <c r="Z912" s="1"/>
      <c r="AA912" s="1"/>
      <c r="AB912" s="1"/>
      <c r="AC912" s="1"/>
      <c r="AD912" s="1"/>
    </row>
    <row r="913" customFormat="false" ht="18" hidden="false" customHeight="true" outlineLevel="0" collapsed="false">
      <c r="A913" s="1"/>
      <c r="B913" s="35"/>
      <c r="C913" s="8"/>
      <c r="D913" s="26"/>
      <c r="E913" s="27"/>
      <c r="F913" s="36"/>
      <c r="G913" s="36"/>
      <c r="H913" s="36"/>
      <c r="I913" s="36"/>
      <c r="J913" s="37" t="str">
        <f aca="false">IF($E913="","",IFERROR(G913/F913,""))</f>
        <v/>
      </c>
      <c r="K913" s="30" t="str">
        <f aca="false">IF($E913="","",IFERROR(E913/G913,""))</f>
        <v/>
      </c>
      <c r="L913" s="30" t="str">
        <f aca="false">IF($E913="","",IFERROR(E913/F913*1000,""))</f>
        <v/>
      </c>
      <c r="M913" s="37" t="str">
        <f aca="false">IF($E913="","",IFERROR(H913/G913,""))</f>
        <v/>
      </c>
      <c r="N913" s="30" t="str">
        <f aca="false">IF($E913="","",IFERROR(E913/H913,"—"))</f>
        <v/>
      </c>
      <c r="O913" s="30" t="str">
        <f aca="false">IF($E913="","",IFERROR(INDEX('Гео-калькулятор'!$K$7:$K$13,MATCH($C913,'Гео-калькулятор'!$B$7:$B$13,0)),""))</f>
        <v/>
      </c>
      <c r="P913" s="38" t="str">
        <f aca="false">IF($E913="","",IFERROR(N913/O913,""))</f>
        <v/>
      </c>
      <c r="Q913" s="39" t="str">
        <f aca="false">IF($E913="","",IF($I913&lt;&gt;"",$I913,N($H913)*IFERROR(INDEX('Гео-калькулятор'!$E$7:$E$13,MATCH($C913,'Гео-калькулятор'!$B$7:$B$13,0)),0)))</f>
        <v/>
      </c>
      <c r="R913" s="38" t="str">
        <f aca="false">IF($E913="","",IFERROR(Q913/H913,""))</f>
        <v/>
      </c>
      <c r="S913" s="30" t="str">
        <f aca="false">IF($E913="","",IFERROR(E913/Q913,"—"))</f>
        <v/>
      </c>
      <c r="T913" s="30" t="str">
        <f aca="false">IF($E913="","",Q913*IFERROR(INDEX('Гео-калькулятор'!$D$7:$D$13,MATCH($C913,'Гео-калькулятор'!$B$7:$B$13,0)),0))</f>
        <v/>
      </c>
      <c r="U913" s="40" t="str">
        <f aca="false">IF($E913="","",T913-E913)</f>
        <v/>
      </c>
      <c r="V913" s="41" t="str">
        <f aca="false">IF($E913="","",IFERROR(U913/E913,""))</f>
        <v/>
      </c>
      <c r="W913" s="10" t="str">
        <f aca="false">IF($E913="","",IF($I913&lt;&gt;"","факт","прогноз"))</f>
        <v/>
      </c>
      <c r="X913" s="1"/>
      <c r="Y913" s="1"/>
      <c r="Z913" s="1"/>
      <c r="AA913" s="1"/>
      <c r="AB913" s="1"/>
      <c r="AC913" s="1"/>
      <c r="AD913" s="1"/>
    </row>
    <row r="914" customFormat="false" ht="18" hidden="false" customHeight="true" outlineLevel="0" collapsed="false">
      <c r="A914" s="1"/>
      <c r="B914" s="35"/>
      <c r="C914" s="8"/>
      <c r="D914" s="26"/>
      <c r="E914" s="27"/>
      <c r="F914" s="36"/>
      <c r="G914" s="36"/>
      <c r="H914" s="36"/>
      <c r="I914" s="36"/>
      <c r="J914" s="37" t="str">
        <f aca="false">IF($E914="","",IFERROR(G914/F914,""))</f>
        <v/>
      </c>
      <c r="K914" s="30" t="str">
        <f aca="false">IF($E914="","",IFERROR(E914/G914,""))</f>
        <v/>
      </c>
      <c r="L914" s="30" t="str">
        <f aca="false">IF($E914="","",IFERROR(E914/F914*1000,""))</f>
        <v/>
      </c>
      <c r="M914" s="37" t="str">
        <f aca="false">IF($E914="","",IFERROR(H914/G914,""))</f>
        <v/>
      </c>
      <c r="N914" s="30" t="str">
        <f aca="false">IF($E914="","",IFERROR(E914/H914,"—"))</f>
        <v/>
      </c>
      <c r="O914" s="30" t="str">
        <f aca="false">IF($E914="","",IFERROR(INDEX('Гео-калькулятор'!$K$7:$K$13,MATCH($C914,'Гео-калькулятор'!$B$7:$B$13,0)),""))</f>
        <v/>
      </c>
      <c r="P914" s="38" t="str">
        <f aca="false">IF($E914="","",IFERROR(N914/O914,""))</f>
        <v/>
      </c>
      <c r="Q914" s="39" t="str">
        <f aca="false">IF($E914="","",IF($I914&lt;&gt;"",$I914,N($H914)*IFERROR(INDEX('Гео-калькулятор'!$E$7:$E$13,MATCH($C914,'Гео-калькулятор'!$B$7:$B$13,0)),0)))</f>
        <v/>
      </c>
      <c r="R914" s="38" t="str">
        <f aca="false">IF($E914="","",IFERROR(Q914/H914,""))</f>
        <v/>
      </c>
      <c r="S914" s="30" t="str">
        <f aca="false">IF($E914="","",IFERROR(E914/Q914,"—"))</f>
        <v/>
      </c>
      <c r="T914" s="30" t="str">
        <f aca="false">IF($E914="","",Q914*IFERROR(INDEX('Гео-калькулятор'!$D$7:$D$13,MATCH($C914,'Гео-калькулятор'!$B$7:$B$13,0)),0))</f>
        <v/>
      </c>
      <c r="U914" s="40" t="str">
        <f aca="false">IF($E914="","",T914-E914)</f>
        <v/>
      </c>
      <c r="V914" s="41" t="str">
        <f aca="false">IF($E914="","",IFERROR(U914/E914,""))</f>
        <v/>
      </c>
      <c r="W914" s="10" t="str">
        <f aca="false">IF($E914="","",IF($I914&lt;&gt;"","факт","прогноз"))</f>
        <v/>
      </c>
      <c r="X914" s="1"/>
      <c r="Y914" s="1"/>
      <c r="Z914" s="1"/>
      <c r="AA914" s="1"/>
      <c r="AB914" s="1"/>
      <c r="AC914" s="1"/>
      <c r="AD914" s="1"/>
    </row>
    <row r="915" customFormat="false" ht="18" hidden="false" customHeight="true" outlineLevel="0" collapsed="false">
      <c r="A915" s="1"/>
      <c r="B915" s="35"/>
      <c r="C915" s="8"/>
      <c r="D915" s="26"/>
      <c r="E915" s="27"/>
      <c r="F915" s="36"/>
      <c r="G915" s="36"/>
      <c r="H915" s="36"/>
      <c r="I915" s="36"/>
      <c r="J915" s="37" t="str">
        <f aca="false">IF($E915="","",IFERROR(G915/F915,""))</f>
        <v/>
      </c>
      <c r="K915" s="30" t="str">
        <f aca="false">IF($E915="","",IFERROR(E915/G915,""))</f>
        <v/>
      </c>
      <c r="L915" s="30" t="str">
        <f aca="false">IF($E915="","",IFERROR(E915/F915*1000,""))</f>
        <v/>
      </c>
      <c r="M915" s="37" t="str">
        <f aca="false">IF($E915="","",IFERROR(H915/G915,""))</f>
        <v/>
      </c>
      <c r="N915" s="30" t="str">
        <f aca="false">IF($E915="","",IFERROR(E915/H915,"—"))</f>
        <v/>
      </c>
      <c r="O915" s="30" t="str">
        <f aca="false">IF($E915="","",IFERROR(INDEX('Гео-калькулятор'!$K$7:$K$13,MATCH($C915,'Гео-калькулятор'!$B$7:$B$13,0)),""))</f>
        <v/>
      </c>
      <c r="P915" s="38" t="str">
        <f aca="false">IF($E915="","",IFERROR(N915/O915,""))</f>
        <v/>
      </c>
      <c r="Q915" s="39" t="str">
        <f aca="false">IF($E915="","",IF($I915&lt;&gt;"",$I915,N($H915)*IFERROR(INDEX('Гео-калькулятор'!$E$7:$E$13,MATCH($C915,'Гео-калькулятор'!$B$7:$B$13,0)),0)))</f>
        <v/>
      </c>
      <c r="R915" s="38" t="str">
        <f aca="false">IF($E915="","",IFERROR(Q915/H915,""))</f>
        <v/>
      </c>
      <c r="S915" s="30" t="str">
        <f aca="false">IF($E915="","",IFERROR(E915/Q915,"—"))</f>
        <v/>
      </c>
      <c r="T915" s="30" t="str">
        <f aca="false">IF($E915="","",Q915*IFERROR(INDEX('Гео-калькулятор'!$D$7:$D$13,MATCH($C915,'Гео-калькулятор'!$B$7:$B$13,0)),0))</f>
        <v/>
      </c>
      <c r="U915" s="40" t="str">
        <f aca="false">IF($E915="","",T915-E915)</f>
        <v/>
      </c>
      <c r="V915" s="41" t="str">
        <f aca="false">IF($E915="","",IFERROR(U915/E915,""))</f>
        <v/>
      </c>
      <c r="W915" s="10" t="str">
        <f aca="false">IF($E915="","",IF($I915&lt;&gt;"","факт","прогноз"))</f>
        <v/>
      </c>
      <c r="X915" s="1"/>
      <c r="Y915" s="1"/>
      <c r="Z915" s="1"/>
      <c r="AA915" s="1"/>
      <c r="AB915" s="1"/>
      <c r="AC915" s="1"/>
      <c r="AD915" s="1"/>
    </row>
    <row r="916" customFormat="false" ht="18" hidden="false" customHeight="true" outlineLevel="0" collapsed="false">
      <c r="A916" s="1"/>
      <c r="B916" s="35"/>
      <c r="C916" s="8"/>
      <c r="D916" s="26"/>
      <c r="E916" s="27"/>
      <c r="F916" s="36"/>
      <c r="G916" s="36"/>
      <c r="H916" s="36"/>
      <c r="I916" s="36"/>
      <c r="J916" s="37" t="str">
        <f aca="false">IF($E916="","",IFERROR(G916/F916,""))</f>
        <v/>
      </c>
      <c r="K916" s="30" t="str">
        <f aca="false">IF($E916="","",IFERROR(E916/G916,""))</f>
        <v/>
      </c>
      <c r="L916" s="30" t="str">
        <f aca="false">IF($E916="","",IFERROR(E916/F916*1000,""))</f>
        <v/>
      </c>
      <c r="M916" s="37" t="str">
        <f aca="false">IF($E916="","",IFERROR(H916/G916,""))</f>
        <v/>
      </c>
      <c r="N916" s="30" t="str">
        <f aca="false">IF($E916="","",IFERROR(E916/H916,"—"))</f>
        <v/>
      </c>
      <c r="O916" s="30" t="str">
        <f aca="false">IF($E916="","",IFERROR(INDEX('Гео-калькулятор'!$K$7:$K$13,MATCH($C916,'Гео-калькулятор'!$B$7:$B$13,0)),""))</f>
        <v/>
      </c>
      <c r="P916" s="38" t="str">
        <f aca="false">IF($E916="","",IFERROR(N916/O916,""))</f>
        <v/>
      </c>
      <c r="Q916" s="39" t="str">
        <f aca="false">IF($E916="","",IF($I916&lt;&gt;"",$I916,N($H916)*IFERROR(INDEX('Гео-калькулятор'!$E$7:$E$13,MATCH($C916,'Гео-калькулятор'!$B$7:$B$13,0)),0)))</f>
        <v/>
      </c>
      <c r="R916" s="38" t="str">
        <f aca="false">IF($E916="","",IFERROR(Q916/H916,""))</f>
        <v/>
      </c>
      <c r="S916" s="30" t="str">
        <f aca="false">IF($E916="","",IFERROR(E916/Q916,"—"))</f>
        <v/>
      </c>
      <c r="T916" s="30" t="str">
        <f aca="false">IF($E916="","",Q916*IFERROR(INDEX('Гео-калькулятор'!$D$7:$D$13,MATCH($C916,'Гео-калькулятор'!$B$7:$B$13,0)),0))</f>
        <v/>
      </c>
      <c r="U916" s="40" t="str">
        <f aca="false">IF($E916="","",T916-E916)</f>
        <v/>
      </c>
      <c r="V916" s="41" t="str">
        <f aca="false">IF($E916="","",IFERROR(U916/E916,""))</f>
        <v/>
      </c>
      <c r="W916" s="10" t="str">
        <f aca="false">IF($E916="","",IF($I916&lt;&gt;"","факт","прогноз"))</f>
        <v/>
      </c>
      <c r="X916" s="1"/>
      <c r="Y916" s="1"/>
      <c r="Z916" s="1"/>
      <c r="AA916" s="1"/>
      <c r="AB916" s="1"/>
      <c r="AC916" s="1"/>
      <c r="AD916" s="1"/>
    </row>
    <row r="917" customFormat="false" ht="18" hidden="false" customHeight="true" outlineLevel="0" collapsed="false">
      <c r="A917" s="1"/>
      <c r="B917" s="35"/>
      <c r="C917" s="8"/>
      <c r="D917" s="26"/>
      <c r="E917" s="27"/>
      <c r="F917" s="36"/>
      <c r="G917" s="36"/>
      <c r="H917" s="36"/>
      <c r="I917" s="36"/>
      <c r="J917" s="37" t="str">
        <f aca="false">IF($E917="","",IFERROR(G917/F917,""))</f>
        <v/>
      </c>
      <c r="K917" s="30" t="str">
        <f aca="false">IF($E917="","",IFERROR(E917/G917,""))</f>
        <v/>
      </c>
      <c r="L917" s="30" t="str">
        <f aca="false">IF($E917="","",IFERROR(E917/F917*1000,""))</f>
        <v/>
      </c>
      <c r="M917" s="37" t="str">
        <f aca="false">IF($E917="","",IFERROR(H917/G917,""))</f>
        <v/>
      </c>
      <c r="N917" s="30" t="str">
        <f aca="false">IF($E917="","",IFERROR(E917/H917,"—"))</f>
        <v/>
      </c>
      <c r="O917" s="30" t="str">
        <f aca="false">IF($E917="","",IFERROR(INDEX('Гео-калькулятор'!$K$7:$K$13,MATCH($C917,'Гео-калькулятор'!$B$7:$B$13,0)),""))</f>
        <v/>
      </c>
      <c r="P917" s="38" t="str">
        <f aca="false">IF($E917="","",IFERROR(N917/O917,""))</f>
        <v/>
      </c>
      <c r="Q917" s="39" t="str">
        <f aca="false">IF($E917="","",IF($I917&lt;&gt;"",$I917,N($H917)*IFERROR(INDEX('Гео-калькулятор'!$E$7:$E$13,MATCH($C917,'Гео-калькулятор'!$B$7:$B$13,0)),0)))</f>
        <v/>
      </c>
      <c r="R917" s="38" t="str">
        <f aca="false">IF($E917="","",IFERROR(Q917/H917,""))</f>
        <v/>
      </c>
      <c r="S917" s="30" t="str">
        <f aca="false">IF($E917="","",IFERROR(E917/Q917,"—"))</f>
        <v/>
      </c>
      <c r="T917" s="30" t="str">
        <f aca="false">IF($E917="","",Q917*IFERROR(INDEX('Гео-калькулятор'!$D$7:$D$13,MATCH($C917,'Гео-калькулятор'!$B$7:$B$13,0)),0))</f>
        <v/>
      </c>
      <c r="U917" s="40" t="str">
        <f aca="false">IF($E917="","",T917-E917)</f>
        <v/>
      </c>
      <c r="V917" s="41" t="str">
        <f aca="false">IF($E917="","",IFERROR(U917/E917,""))</f>
        <v/>
      </c>
      <c r="W917" s="10" t="str">
        <f aca="false">IF($E917="","",IF($I917&lt;&gt;"","факт","прогноз"))</f>
        <v/>
      </c>
      <c r="X917" s="1"/>
      <c r="Y917" s="1"/>
      <c r="Z917" s="1"/>
      <c r="AA917" s="1"/>
      <c r="AB917" s="1"/>
      <c r="AC917" s="1"/>
      <c r="AD917" s="1"/>
    </row>
    <row r="918" customFormat="false" ht="18" hidden="false" customHeight="true" outlineLevel="0" collapsed="false">
      <c r="A918" s="1"/>
      <c r="B918" s="35"/>
      <c r="C918" s="8"/>
      <c r="D918" s="26"/>
      <c r="E918" s="27"/>
      <c r="F918" s="36"/>
      <c r="G918" s="36"/>
      <c r="H918" s="36"/>
      <c r="I918" s="36"/>
      <c r="J918" s="37" t="str">
        <f aca="false">IF($E918="","",IFERROR(G918/F918,""))</f>
        <v/>
      </c>
      <c r="K918" s="30" t="str">
        <f aca="false">IF($E918="","",IFERROR(E918/G918,""))</f>
        <v/>
      </c>
      <c r="L918" s="30" t="str">
        <f aca="false">IF($E918="","",IFERROR(E918/F918*1000,""))</f>
        <v/>
      </c>
      <c r="M918" s="37" t="str">
        <f aca="false">IF($E918="","",IFERROR(H918/G918,""))</f>
        <v/>
      </c>
      <c r="N918" s="30" t="str">
        <f aca="false">IF($E918="","",IFERROR(E918/H918,"—"))</f>
        <v/>
      </c>
      <c r="O918" s="30" t="str">
        <f aca="false">IF($E918="","",IFERROR(INDEX('Гео-калькулятор'!$K$7:$K$13,MATCH($C918,'Гео-калькулятор'!$B$7:$B$13,0)),""))</f>
        <v/>
      </c>
      <c r="P918" s="38" t="str">
        <f aca="false">IF($E918="","",IFERROR(N918/O918,""))</f>
        <v/>
      </c>
      <c r="Q918" s="39" t="str">
        <f aca="false">IF($E918="","",IF($I918&lt;&gt;"",$I918,N($H918)*IFERROR(INDEX('Гео-калькулятор'!$E$7:$E$13,MATCH($C918,'Гео-калькулятор'!$B$7:$B$13,0)),0)))</f>
        <v/>
      </c>
      <c r="R918" s="38" t="str">
        <f aca="false">IF($E918="","",IFERROR(Q918/H918,""))</f>
        <v/>
      </c>
      <c r="S918" s="30" t="str">
        <f aca="false">IF($E918="","",IFERROR(E918/Q918,"—"))</f>
        <v/>
      </c>
      <c r="T918" s="30" t="str">
        <f aca="false">IF($E918="","",Q918*IFERROR(INDEX('Гео-калькулятор'!$D$7:$D$13,MATCH($C918,'Гео-калькулятор'!$B$7:$B$13,0)),0))</f>
        <v/>
      </c>
      <c r="U918" s="40" t="str">
        <f aca="false">IF($E918="","",T918-E918)</f>
        <v/>
      </c>
      <c r="V918" s="41" t="str">
        <f aca="false">IF($E918="","",IFERROR(U918/E918,""))</f>
        <v/>
      </c>
      <c r="W918" s="10" t="str">
        <f aca="false">IF($E918="","",IF($I918&lt;&gt;"","факт","прогноз"))</f>
        <v/>
      </c>
      <c r="X918" s="1"/>
      <c r="Y918" s="1"/>
      <c r="Z918" s="1"/>
      <c r="AA918" s="1"/>
      <c r="AB918" s="1"/>
      <c r="AC918" s="1"/>
      <c r="AD918" s="1"/>
    </row>
    <row r="919" customFormat="false" ht="18" hidden="false" customHeight="true" outlineLevel="0" collapsed="false">
      <c r="A919" s="1"/>
      <c r="B919" s="35"/>
      <c r="C919" s="8"/>
      <c r="D919" s="26"/>
      <c r="E919" s="27"/>
      <c r="F919" s="36"/>
      <c r="G919" s="36"/>
      <c r="H919" s="36"/>
      <c r="I919" s="36"/>
      <c r="J919" s="37" t="str">
        <f aca="false">IF($E919="","",IFERROR(G919/F919,""))</f>
        <v/>
      </c>
      <c r="K919" s="30" t="str">
        <f aca="false">IF($E919="","",IFERROR(E919/G919,""))</f>
        <v/>
      </c>
      <c r="L919" s="30" t="str">
        <f aca="false">IF($E919="","",IFERROR(E919/F919*1000,""))</f>
        <v/>
      </c>
      <c r="M919" s="37" t="str">
        <f aca="false">IF($E919="","",IFERROR(H919/G919,""))</f>
        <v/>
      </c>
      <c r="N919" s="30" t="str">
        <f aca="false">IF($E919="","",IFERROR(E919/H919,"—"))</f>
        <v/>
      </c>
      <c r="O919" s="30" t="str">
        <f aca="false">IF($E919="","",IFERROR(INDEX('Гео-калькулятор'!$K$7:$K$13,MATCH($C919,'Гео-калькулятор'!$B$7:$B$13,0)),""))</f>
        <v/>
      </c>
      <c r="P919" s="38" t="str">
        <f aca="false">IF($E919="","",IFERROR(N919/O919,""))</f>
        <v/>
      </c>
      <c r="Q919" s="39" t="str">
        <f aca="false">IF($E919="","",IF($I919&lt;&gt;"",$I919,N($H919)*IFERROR(INDEX('Гео-калькулятор'!$E$7:$E$13,MATCH($C919,'Гео-калькулятор'!$B$7:$B$13,0)),0)))</f>
        <v/>
      </c>
      <c r="R919" s="38" t="str">
        <f aca="false">IF($E919="","",IFERROR(Q919/H919,""))</f>
        <v/>
      </c>
      <c r="S919" s="30" t="str">
        <f aca="false">IF($E919="","",IFERROR(E919/Q919,"—"))</f>
        <v/>
      </c>
      <c r="T919" s="30" t="str">
        <f aca="false">IF($E919="","",Q919*IFERROR(INDEX('Гео-калькулятор'!$D$7:$D$13,MATCH($C919,'Гео-калькулятор'!$B$7:$B$13,0)),0))</f>
        <v/>
      </c>
      <c r="U919" s="40" t="str">
        <f aca="false">IF($E919="","",T919-E919)</f>
        <v/>
      </c>
      <c r="V919" s="41" t="str">
        <f aca="false">IF($E919="","",IFERROR(U919/E919,""))</f>
        <v/>
      </c>
      <c r="W919" s="10" t="str">
        <f aca="false">IF($E919="","",IF($I919&lt;&gt;"","факт","прогноз"))</f>
        <v/>
      </c>
      <c r="X919" s="1"/>
      <c r="Y919" s="1"/>
      <c r="Z919" s="1"/>
      <c r="AA919" s="1"/>
      <c r="AB919" s="1"/>
      <c r="AC919" s="1"/>
      <c r="AD919" s="1"/>
    </row>
    <row r="920" customFormat="false" ht="18" hidden="false" customHeight="true" outlineLevel="0" collapsed="false">
      <c r="A920" s="1"/>
      <c r="B920" s="35"/>
      <c r="C920" s="8"/>
      <c r="D920" s="26"/>
      <c r="E920" s="27"/>
      <c r="F920" s="36"/>
      <c r="G920" s="36"/>
      <c r="H920" s="36"/>
      <c r="I920" s="36"/>
      <c r="J920" s="37" t="str">
        <f aca="false">IF($E920="","",IFERROR(G920/F920,""))</f>
        <v/>
      </c>
      <c r="K920" s="30" t="str">
        <f aca="false">IF($E920="","",IFERROR(E920/G920,""))</f>
        <v/>
      </c>
      <c r="L920" s="30" t="str">
        <f aca="false">IF($E920="","",IFERROR(E920/F920*1000,""))</f>
        <v/>
      </c>
      <c r="M920" s="37" t="str">
        <f aca="false">IF($E920="","",IFERROR(H920/G920,""))</f>
        <v/>
      </c>
      <c r="N920" s="30" t="str">
        <f aca="false">IF($E920="","",IFERROR(E920/H920,"—"))</f>
        <v/>
      </c>
      <c r="O920" s="30" t="str">
        <f aca="false">IF($E920="","",IFERROR(INDEX('Гео-калькулятор'!$K$7:$K$13,MATCH($C920,'Гео-калькулятор'!$B$7:$B$13,0)),""))</f>
        <v/>
      </c>
      <c r="P920" s="38" t="str">
        <f aca="false">IF($E920="","",IFERROR(N920/O920,""))</f>
        <v/>
      </c>
      <c r="Q920" s="39" t="str">
        <f aca="false">IF($E920="","",IF($I920&lt;&gt;"",$I920,N($H920)*IFERROR(INDEX('Гео-калькулятор'!$E$7:$E$13,MATCH($C920,'Гео-калькулятор'!$B$7:$B$13,0)),0)))</f>
        <v/>
      </c>
      <c r="R920" s="38" t="str">
        <f aca="false">IF($E920="","",IFERROR(Q920/H920,""))</f>
        <v/>
      </c>
      <c r="S920" s="30" t="str">
        <f aca="false">IF($E920="","",IFERROR(E920/Q920,"—"))</f>
        <v/>
      </c>
      <c r="T920" s="30" t="str">
        <f aca="false">IF($E920="","",Q920*IFERROR(INDEX('Гео-калькулятор'!$D$7:$D$13,MATCH($C920,'Гео-калькулятор'!$B$7:$B$13,0)),0))</f>
        <v/>
      </c>
      <c r="U920" s="40" t="str">
        <f aca="false">IF($E920="","",T920-E920)</f>
        <v/>
      </c>
      <c r="V920" s="41" t="str">
        <f aca="false">IF($E920="","",IFERROR(U920/E920,""))</f>
        <v/>
      </c>
      <c r="W920" s="10" t="str">
        <f aca="false">IF($E920="","",IF($I920&lt;&gt;"","факт","прогноз"))</f>
        <v/>
      </c>
      <c r="X920" s="1"/>
      <c r="Y920" s="1"/>
      <c r="Z920" s="1"/>
      <c r="AA920" s="1"/>
      <c r="AB920" s="1"/>
      <c r="AC920" s="1"/>
      <c r="AD920" s="1"/>
    </row>
    <row r="921" customFormat="false" ht="18" hidden="false" customHeight="true" outlineLevel="0" collapsed="false">
      <c r="A921" s="1"/>
      <c r="B921" s="35"/>
      <c r="C921" s="8"/>
      <c r="D921" s="26"/>
      <c r="E921" s="27"/>
      <c r="F921" s="36"/>
      <c r="G921" s="36"/>
      <c r="H921" s="36"/>
      <c r="I921" s="36"/>
      <c r="J921" s="37" t="str">
        <f aca="false">IF($E921="","",IFERROR(G921/F921,""))</f>
        <v/>
      </c>
      <c r="K921" s="30" t="str">
        <f aca="false">IF($E921="","",IFERROR(E921/G921,""))</f>
        <v/>
      </c>
      <c r="L921" s="30" t="str">
        <f aca="false">IF($E921="","",IFERROR(E921/F921*1000,""))</f>
        <v/>
      </c>
      <c r="M921" s="37" t="str">
        <f aca="false">IF($E921="","",IFERROR(H921/G921,""))</f>
        <v/>
      </c>
      <c r="N921" s="30" t="str">
        <f aca="false">IF($E921="","",IFERROR(E921/H921,"—"))</f>
        <v/>
      </c>
      <c r="O921" s="30" t="str">
        <f aca="false">IF($E921="","",IFERROR(INDEX('Гео-калькулятор'!$K$7:$K$13,MATCH($C921,'Гео-калькулятор'!$B$7:$B$13,0)),""))</f>
        <v/>
      </c>
      <c r="P921" s="38" t="str">
        <f aca="false">IF($E921="","",IFERROR(N921/O921,""))</f>
        <v/>
      </c>
      <c r="Q921" s="39" t="str">
        <f aca="false">IF($E921="","",IF($I921&lt;&gt;"",$I921,N($H921)*IFERROR(INDEX('Гео-калькулятор'!$E$7:$E$13,MATCH($C921,'Гео-калькулятор'!$B$7:$B$13,0)),0)))</f>
        <v/>
      </c>
      <c r="R921" s="38" t="str">
        <f aca="false">IF($E921="","",IFERROR(Q921/H921,""))</f>
        <v/>
      </c>
      <c r="S921" s="30" t="str">
        <f aca="false">IF($E921="","",IFERROR(E921/Q921,"—"))</f>
        <v/>
      </c>
      <c r="T921" s="30" t="str">
        <f aca="false">IF($E921="","",Q921*IFERROR(INDEX('Гео-калькулятор'!$D$7:$D$13,MATCH($C921,'Гео-калькулятор'!$B$7:$B$13,0)),0))</f>
        <v/>
      </c>
      <c r="U921" s="40" t="str">
        <f aca="false">IF($E921="","",T921-E921)</f>
        <v/>
      </c>
      <c r="V921" s="41" t="str">
        <f aca="false">IF($E921="","",IFERROR(U921/E921,""))</f>
        <v/>
      </c>
      <c r="W921" s="10" t="str">
        <f aca="false">IF($E921="","",IF($I921&lt;&gt;"","факт","прогноз"))</f>
        <v/>
      </c>
      <c r="X921" s="1"/>
      <c r="Y921" s="1"/>
      <c r="Z921" s="1"/>
      <c r="AA921" s="1"/>
      <c r="AB921" s="1"/>
      <c r="AC921" s="1"/>
      <c r="AD921" s="1"/>
    </row>
    <row r="922" customFormat="false" ht="18" hidden="false" customHeight="true" outlineLevel="0" collapsed="false">
      <c r="A922" s="1"/>
      <c r="B922" s="35"/>
      <c r="C922" s="8"/>
      <c r="D922" s="26"/>
      <c r="E922" s="27"/>
      <c r="F922" s="36"/>
      <c r="G922" s="36"/>
      <c r="H922" s="36"/>
      <c r="I922" s="36"/>
      <c r="J922" s="37" t="str">
        <f aca="false">IF($E922="","",IFERROR(G922/F922,""))</f>
        <v/>
      </c>
      <c r="K922" s="30" t="str">
        <f aca="false">IF($E922="","",IFERROR(E922/G922,""))</f>
        <v/>
      </c>
      <c r="L922" s="30" t="str">
        <f aca="false">IF($E922="","",IFERROR(E922/F922*1000,""))</f>
        <v/>
      </c>
      <c r="M922" s="37" t="str">
        <f aca="false">IF($E922="","",IFERROR(H922/G922,""))</f>
        <v/>
      </c>
      <c r="N922" s="30" t="str">
        <f aca="false">IF($E922="","",IFERROR(E922/H922,"—"))</f>
        <v/>
      </c>
      <c r="O922" s="30" t="str">
        <f aca="false">IF($E922="","",IFERROR(INDEX('Гео-калькулятор'!$K$7:$K$13,MATCH($C922,'Гео-калькулятор'!$B$7:$B$13,0)),""))</f>
        <v/>
      </c>
      <c r="P922" s="38" t="str">
        <f aca="false">IF($E922="","",IFERROR(N922/O922,""))</f>
        <v/>
      </c>
      <c r="Q922" s="39" t="str">
        <f aca="false">IF($E922="","",IF($I922&lt;&gt;"",$I922,N($H922)*IFERROR(INDEX('Гео-калькулятор'!$E$7:$E$13,MATCH($C922,'Гео-калькулятор'!$B$7:$B$13,0)),0)))</f>
        <v/>
      </c>
      <c r="R922" s="38" t="str">
        <f aca="false">IF($E922="","",IFERROR(Q922/H922,""))</f>
        <v/>
      </c>
      <c r="S922" s="30" t="str">
        <f aca="false">IF($E922="","",IFERROR(E922/Q922,"—"))</f>
        <v/>
      </c>
      <c r="T922" s="30" t="str">
        <f aca="false">IF($E922="","",Q922*IFERROR(INDEX('Гео-калькулятор'!$D$7:$D$13,MATCH($C922,'Гео-калькулятор'!$B$7:$B$13,0)),0))</f>
        <v/>
      </c>
      <c r="U922" s="40" t="str">
        <f aca="false">IF($E922="","",T922-E922)</f>
        <v/>
      </c>
      <c r="V922" s="41" t="str">
        <f aca="false">IF($E922="","",IFERROR(U922/E922,""))</f>
        <v/>
      </c>
      <c r="W922" s="10" t="str">
        <f aca="false">IF($E922="","",IF($I922&lt;&gt;"","факт","прогноз"))</f>
        <v/>
      </c>
      <c r="X922" s="1"/>
      <c r="Y922" s="1"/>
      <c r="Z922" s="1"/>
      <c r="AA922" s="1"/>
      <c r="AB922" s="1"/>
      <c r="AC922" s="1"/>
      <c r="AD922" s="1"/>
    </row>
    <row r="923" customFormat="false" ht="18" hidden="false" customHeight="true" outlineLevel="0" collapsed="false">
      <c r="A923" s="1"/>
      <c r="B923" s="35"/>
      <c r="C923" s="8"/>
      <c r="D923" s="26"/>
      <c r="E923" s="27"/>
      <c r="F923" s="36"/>
      <c r="G923" s="36"/>
      <c r="H923" s="36"/>
      <c r="I923" s="36"/>
      <c r="J923" s="37" t="str">
        <f aca="false">IF($E923="","",IFERROR(G923/F923,""))</f>
        <v/>
      </c>
      <c r="K923" s="30" t="str">
        <f aca="false">IF($E923="","",IFERROR(E923/G923,""))</f>
        <v/>
      </c>
      <c r="L923" s="30" t="str">
        <f aca="false">IF($E923="","",IFERROR(E923/F923*1000,""))</f>
        <v/>
      </c>
      <c r="M923" s="37" t="str">
        <f aca="false">IF($E923="","",IFERROR(H923/G923,""))</f>
        <v/>
      </c>
      <c r="N923" s="30" t="str">
        <f aca="false">IF($E923="","",IFERROR(E923/H923,"—"))</f>
        <v/>
      </c>
      <c r="O923" s="30" t="str">
        <f aca="false">IF($E923="","",IFERROR(INDEX('Гео-калькулятор'!$K$7:$K$13,MATCH($C923,'Гео-калькулятор'!$B$7:$B$13,0)),""))</f>
        <v/>
      </c>
      <c r="P923" s="38" t="str">
        <f aca="false">IF($E923="","",IFERROR(N923/O923,""))</f>
        <v/>
      </c>
      <c r="Q923" s="39" t="str">
        <f aca="false">IF($E923="","",IF($I923&lt;&gt;"",$I923,N($H923)*IFERROR(INDEX('Гео-калькулятор'!$E$7:$E$13,MATCH($C923,'Гео-калькулятор'!$B$7:$B$13,0)),0)))</f>
        <v/>
      </c>
      <c r="R923" s="38" t="str">
        <f aca="false">IF($E923="","",IFERROR(Q923/H923,""))</f>
        <v/>
      </c>
      <c r="S923" s="30" t="str">
        <f aca="false">IF($E923="","",IFERROR(E923/Q923,"—"))</f>
        <v/>
      </c>
      <c r="T923" s="30" t="str">
        <f aca="false">IF($E923="","",Q923*IFERROR(INDEX('Гео-калькулятор'!$D$7:$D$13,MATCH($C923,'Гео-калькулятор'!$B$7:$B$13,0)),0))</f>
        <v/>
      </c>
      <c r="U923" s="40" t="str">
        <f aca="false">IF($E923="","",T923-E923)</f>
        <v/>
      </c>
      <c r="V923" s="41" t="str">
        <f aca="false">IF($E923="","",IFERROR(U923/E923,""))</f>
        <v/>
      </c>
      <c r="W923" s="10" t="str">
        <f aca="false">IF($E923="","",IF($I923&lt;&gt;"","факт","прогноз"))</f>
        <v/>
      </c>
      <c r="X923" s="1"/>
      <c r="Y923" s="1"/>
      <c r="Z923" s="1"/>
      <c r="AA923" s="1"/>
      <c r="AB923" s="1"/>
      <c r="AC923" s="1"/>
      <c r="AD923" s="1"/>
    </row>
    <row r="924" customFormat="false" ht="18" hidden="false" customHeight="true" outlineLevel="0" collapsed="false">
      <c r="A924" s="1"/>
      <c r="B924" s="35"/>
      <c r="C924" s="8"/>
      <c r="D924" s="26"/>
      <c r="E924" s="27"/>
      <c r="F924" s="36"/>
      <c r="G924" s="36"/>
      <c r="H924" s="36"/>
      <c r="I924" s="36"/>
      <c r="J924" s="37" t="str">
        <f aca="false">IF($E924="","",IFERROR(G924/F924,""))</f>
        <v/>
      </c>
      <c r="K924" s="30" t="str">
        <f aca="false">IF($E924="","",IFERROR(E924/G924,""))</f>
        <v/>
      </c>
      <c r="L924" s="30" t="str">
        <f aca="false">IF($E924="","",IFERROR(E924/F924*1000,""))</f>
        <v/>
      </c>
      <c r="M924" s="37" t="str">
        <f aca="false">IF($E924="","",IFERROR(H924/G924,""))</f>
        <v/>
      </c>
      <c r="N924" s="30" t="str">
        <f aca="false">IF($E924="","",IFERROR(E924/H924,"—"))</f>
        <v/>
      </c>
      <c r="O924" s="30" t="str">
        <f aca="false">IF($E924="","",IFERROR(INDEX('Гео-калькулятор'!$K$7:$K$13,MATCH($C924,'Гео-калькулятор'!$B$7:$B$13,0)),""))</f>
        <v/>
      </c>
      <c r="P924" s="38" t="str">
        <f aca="false">IF($E924="","",IFERROR(N924/O924,""))</f>
        <v/>
      </c>
      <c r="Q924" s="39" t="str">
        <f aca="false">IF($E924="","",IF($I924&lt;&gt;"",$I924,N($H924)*IFERROR(INDEX('Гео-калькулятор'!$E$7:$E$13,MATCH($C924,'Гео-калькулятор'!$B$7:$B$13,0)),0)))</f>
        <v/>
      </c>
      <c r="R924" s="38" t="str">
        <f aca="false">IF($E924="","",IFERROR(Q924/H924,""))</f>
        <v/>
      </c>
      <c r="S924" s="30" t="str">
        <f aca="false">IF($E924="","",IFERROR(E924/Q924,"—"))</f>
        <v/>
      </c>
      <c r="T924" s="30" t="str">
        <f aca="false">IF($E924="","",Q924*IFERROR(INDEX('Гео-калькулятор'!$D$7:$D$13,MATCH($C924,'Гео-калькулятор'!$B$7:$B$13,0)),0))</f>
        <v/>
      </c>
      <c r="U924" s="40" t="str">
        <f aca="false">IF($E924="","",T924-E924)</f>
        <v/>
      </c>
      <c r="V924" s="41" t="str">
        <f aca="false">IF($E924="","",IFERROR(U924/E924,""))</f>
        <v/>
      </c>
      <c r="W924" s="10" t="str">
        <f aca="false">IF($E924="","",IF($I924&lt;&gt;"","факт","прогноз"))</f>
        <v/>
      </c>
      <c r="X924" s="1"/>
      <c r="Y924" s="1"/>
      <c r="Z924" s="1"/>
      <c r="AA924" s="1"/>
      <c r="AB924" s="1"/>
      <c r="AC924" s="1"/>
      <c r="AD924" s="1"/>
    </row>
    <row r="925" customFormat="false" ht="18" hidden="false" customHeight="true" outlineLevel="0" collapsed="false">
      <c r="A925" s="1"/>
      <c r="B925" s="35"/>
      <c r="C925" s="8"/>
      <c r="D925" s="26"/>
      <c r="E925" s="27"/>
      <c r="F925" s="36"/>
      <c r="G925" s="36"/>
      <c r="H925" s="36"/>
      <c r="I925" s="36"/>
      <c r="J925" s="37" t="str">
        <f aca="false">IF($E925="","",IFERROR(G925/F925,""))</f>
        <v/>
      </c>
      <c r="K925" s="30" t="str">
        <f aca="false">IF($E925="","",IFERROR(E925/G925,""))</f>
        <v/>
      </c>
      <c r="L925" s="30" t="str">
        <f aca="false">IF($E925="","",IFERROR(E925/F925*1000,""))</f>
        <v/>
      </c>
      <c r="M925" s="37" t="str">
        <f aca="false">IF($E925="","",IFERROR(H925/G925,""))</f>
        <v/>
      </c>
      <c r="N925" s="30" t="str">
        <f aca="false">IF($E925="","",IFERROR(E925/H925,"—"))</f>
        <v/>
      </c>
      <c r="O925" s="30" t="str">
        <f aca="false">IF($E925="","",IFERROR(INDEX('Гео-калькулятор'!$K$7:$K$13,MATCH($C925,'Гео-калькулятор'!$B$7:$B$13,0)),""))</f>
        <v/>
      </c>
      <c r="P925" s="38" t="str">
        <f aca="false">IF($E925="","",IFERROR(N925/O925,""))</f>
        <v/>
      </c>
      <c r="Q925" s="39" t="str">
        <f aca="false">IF($E925="","",IF($I925&lt;&gt;"",$I925,N($H925)*IFERROR(INDEX('Гео-калькулятор'!$E$7:$E$13,MATCH($C925,'Гео-калькулятор'!$B$7:$B$13,0)),0)))</f>
        <v/>
      </c>
      <c r="R925" s="38" t="str">
        <f aca="false">IF($E925="","",IFERROR(Q925/H925,""))</f>
        <v/>
      </c>
      <c r="S925" s="30" t="str">
        <f aca="false">IF($E925="","",IFERROR(E925/Q925,"—"))</f>
        <v/>
      </c>
      <c r="T925" s="30" t="str">
        <f aca="false">IF($E925="","",Q925*IFERROR(INDEX('Гео-калькулятор'!$D$7:$D$13,MATCH($C925,'Гео-калькулятор'!$B$7:$B$13,0)),0))</f>
        <v/>
      </c>
      <c r="U925" s="40" t="str">
        <f aca="false">IF($E925="","",T925-E925)</f>
        <v/>
      </c>
      <c r="V925" s="41" t="str">
        <f aca="false">IF($E925="","",IFERROR(U925/E925,""))</f>
        <v/>
      </c>
      <c r="W925" s="10" t="str">
        <f aca="false">IF($E925="","",IF($I925&lt;&gt;"","факт","прогноз"))</f>
        <v/>
      </c>
      <c r="X925" s="1"/>
      <c r="Y925" s="1"/>
      <c r="Z925" s="1"/>
      <c r="AA925" s="1"/>
      <c r="AB925" s="1"/>
      <c r="AC925" s="1"/>
      <c r="AD925" s="1"/>
    </row>
    <row r="926" customFormat="false" ht="18" hidden="false" customHeight="true" outlineLevel="0" collapsed="false">
      <c r="A926" s="1"/>
      <c r="B926" s="35"/>
      <c r="C926" s="8"/>
      <c r="D926" s="26"/>
      <c r="E926" s="27"/>
      <c r="F926" s="36"/>
      <c r="G926" s="36"/>
      <c r="H926" s="36"/>
      <c r="I926" s="36"/>
      <c r="J926" s="37" t="str">
        <f aca="false">IF($E926="","",IFERROR(G926/F926,""))</f>
        <v/>
      </c>
      <c r="K926" s="30" t="str">
        <f aca="false">IF($E926="","",IFERROR(E926/G926,""))</f>
        <v/>
      </c>
      <c r="L926" s="30" t="str">
        <f aca="false">IF($E926="","",IFERROR(E926/F926*1000,""))</f>
        <v/>
      </c>
      <c r="M926" s="37" t="str">
        <f aca="false">IF($E926="","",IFERROR(H926/G926,""))</f>
        <v/>
      </c>
      <c r="N926" s="30" t="str">
        <f aca="false">IF($E926="","",IFERROR(E926/H926,"—"))</f>
        <v/>
      </c>
      <c r="O926" s="30" t="str">
        <f aca="false">IF($E926="","",IFERROR(INDEX('Гео-калькулятор'!$K$7:$K$13,MATCH($C926,'Гео-калькулятор'!$B$7:$B$13,0)),""))</f>
        <v/>
      </c>
      <c r="P926" s="38" t="str">
        <f aca="false">IF($E926="","",IFERROR(N926/O926,""))</f>
        <v/>
      </c>
      <c r="Q926" s="39" t="str">
        <f aca="false">IF($E926="","",IF($I926&lt;&gt;"",$I926,N($H926)*IFERROR(INDEX('Гео-калькулятор'!$E$7:$E$13,MATCH($C926,'Гео-калькулятор'!$B$7:$B$13,0)),0)))</f>
        <v/>
      </c>
      <c r="R926" s="38" t="str">
        <f aca="false">IF($E926="","",IFERROR(Q926/H926,""))</f>
        <v/>
      </c>
      <c r="S926" s="30" t="str">
        <f aca="false">IF($E926="","",IFERROR(E926/Q926,"—"))</f>
        <v/>
      </c>
      <c r="T926" s="30" t="str">
        <f aca="false">IF($E926="","",Q926*IFERROR(INDEX('Гео-калькулятор'!$D$7:$D$13,MATCH($C926,'Гео-калькулятор'!$B$7:$B$13,0)),0))</f>
        <v/>
      </c>
      <c r="U926" s="40" t="str">
        <f aca="false">IF($E926="","",T926-E926)</f>
        <v/>
      </c>
      <c r="V926" s="41" t="str">
        <f aca="false">IF($E926="","",IFERROR(U926/E926,""))</f>
        <v/>
      </c>
      <c r="W926" s="10" t="str">
        <f aca="false">IF($E926="","",IF($I926&lt;&gt;"","факт","прогноз"))</f>
        <v/>
      </c>
      <c r="X926" s="1"/>
      <c r="Y926" s="1"/>
      <c r="Z926" s="1"/>
      <c r="AA926" s="1"/>
      <c r="AB926" s="1"/>
      <c r="AC926" s="1"/>
      <c r="AD926" s="1"/>
    </row>
    <row r="927" customFormat="false" ht="18" hidden="false" customHeight="true" outlineLevel="0" collapsed="false">
      <c r="A927" s="1"/>
      <c r="B927" s="35"/>
      <c r="C927" s="8"/>
      <c r="D927" s="26"/>
      <c r="E927" s="27"/>
      <c r="F927" s="36"/>
      <c r="G927" s="36"/>
      <c r="H927" s="36"/>
      <c r="I927" s="36"/>
      <c r="J927" s="37" t="str">
        <f aca="false">IF($E927="","",IFERROR(G927/F927,""))</f>
        <v/>
      </c>
      <c r="K927" s="30" t="str">
        <f aca="false">IF($E927="","",IFERROR(E927/G927,""))</f>
        <v/>
      </c>
      <c r="L927" s="30" t="str">
        <f aca="false">IF($E927="","",IFERROR(E927/F927*1000,""))</f>
        <v/>
      </c>
      <c r="M927" s="37" t="str">
        <f aca="false">IF($E927="","",IFERROR(H927/G927,""))</f>
        <v/>
      </c>
      <c r="N927" s="30" t="str">
        <f aca="false">IF($E927="","",IFERROR(E927/H927,"—"))</f>
        <v/>
      </c>
      <c r="O927" s="30" t="str">
        <f aca="false">IF($E927="","",IFERROR(INDEX('Гео-калькулятор'!$K$7:$K$13,MATCH($C927,'Гео-калькулятор'!$B$7:$B$13,0)),""))</f>
        <v/>
      </c>
      <c r="P927" s="38" t="str">
        <f aca="false">IF($E927="","",IFERROR(N927/O927,""))</f>
        <v/>
      </c>
      <c r="Q927" s="39" t="str">
        <f aca="false">IF($E927="","",IF($I927&lt;&gt;"",$I927,N($H927)*IFERROR(INDEX('Гео-калькулятор'!$E$7:$E$13,MATCH($C927,'Гео-калькулятор'!$B$7:$B$13,0)),0)))</f>
        <v/>
      </c>
      <c r="R927" s="38" t="str">
        <f aca="false">IF($E927="","",IFERROR(Q927/H927,""))</f>
        <v/>
      </c>
      <c r="S927" s="30" t="str">
        <f aca="false">IF($E927="","",IFERROR(E927/Q927,"—"))</f>
        <v/>
      </c>
      <c r="T927" s="30" t="str">
        <f aca="false">IF($E927="","",Q927*IFERROR(INDEX('Гео-калькулятор'!$D$7:$D$13,MATCH($C927,'Гео-калькулятор'!$B$7:$B$13,0)),0))</f>
        <v/>
      </c>
      <c r="U927" s="40" t="str">
        <f aca="false">IF($E927="","",T927-E927)</f>
        <v/>
      </c>
      <c r="V927" s="41" t="str">
        <f aca="false">IF($E927="","",IFERROR(U927/E927,""))</f>
        <v/>
      </c>
      <c r="W927" s="10" t="str">
        <f aca="false">IF($E927="","",IF($I927&lt;&gt;"","факт","прогноз"))</f>
        <v/>
      </c>
      <c r="X927" s="1"/>
      <c r="Y927" s="1"/>
      <c r="Z927" s="1"/>
      <c r="AA927" s="1"/>
      <c r="AB927" s="1"/>
      <c r="AC927" s="1"/>
      <c r="AD927" s="1"/>
    </row>
    <row r="928" customFormat="false" ht="18" hidden="false" customHeight="true" outlineLevel="0" collapsed="false">
      <c r="A928" s="1"/>
      <c r="B928" s="35"/>
      <c r="C928" s="8"/>
      <c r="D928" s="26"/>
      <c r="E928" s="27"/>
      <c r="F928" s="36"/>
      <c r="G928" s="36"/>
      <c r="H928" s="36"/>
      <c r="I928" s="36"/>
      <c r="J928" s="37" t="str">
        <f aca="false">IF($E928="","",IFERROR(G928/F928,""))</f>
        <v/>
      </c>
      <c r="K928" s="30" t="str">
        <f aca="false">IF($E928="","",IFERROR(E928/G928,""))</f>
        <v/>
      </c>
      <c r="L928" s="30" t="str">
        <f aca="false">IF($E928="","",IFERROR(E928/F928*1000,""))</f>
        <v/>
      </c>
      <c r="M928" s="37" t="str">
        <f aca="false">IF($E928="","",IFERROR(H928/G928,""))</f>
        <v/>
      </c>
      <c r="N928" s="30" t="str">
        <f aca="false">IF($E928="","",IFERROR(E928/H928,"—"))</f>
        <v/>
      </c>
      <c r="O928" s="30" t="str">
        <f aca="false">IF($E928="","",IFERROR(INDEX('Гео-калькулятор'!$K$7:$K$13,MATCH($C928,'Гео-калькулятор'!$B$7:$B$13,0)),""))</f>
        <v/>
      </c>
      <c r="P928" s="38" t="str">
        <f aca="false">IF($E928="","",IFERROR(N928/O928,""))</f>
        <v/>
      </c>
      <c r="Q928" s="39" t="str">
        <f aca="false">IF($E928="","",IF($I928&lt;&gt;"",$I928,N($H928)*IFERROR(INDEX('Гео-калькулятор'!$E$7:$E$13,MATCH($C928,'Гео-калькулятор'!$B$7:$B$13,0)),0)))</f>
        <v/>
      </c>
      <c r="R928" s="38" t="str">
        <f aca="false">IF($E928="","",IFERROR(Q928/H928,""))</f>
        <v/>
      </c>
      <c r="S928" s="30" t="str">
        <f aca="false">IF($E928="","",IFERROR(E928/Q928,"—"))</f>
        <v/>
      </c>
      <c r="T928" s="30" t="str">
        <f aca="false">IF($E928="","",Q928*IFERROR(INDEX('Гео-калькулятор'!$D$7:$D$13,MATCH($C928,'Гео-калькулятор'!$B$7:$B$13,0)),0))</f>
        <v/>
      </c>
      <c r="U928" s="40" t="str">
        <f aca="false">IF($E928="","",T928-E928)</f>
        <v/>
      </c>
      <c r="V928" s="41" t="str">
        <f aca="false">IF($E928="","",IFERROR(U928/E928,""))</f>
        <v/>
      </c>
      <c r="W928" s="10" t="str">
        <f aca="false">IF($E928="","",IF($I928&lt;&gt;"","факт","прогноз"))</f>
        <v/>
      </c>
      <c r="X928" s="1"/>
      <c r="Y928" s="1"/>
      <c r="Z928" s="1"/>
      <c r="AA928" s="1"/>
      <c r="AB928" s="1"/>
      <c r="AC928" s="1"/>
      <c r="AD928" s="1"/>
    </row>
    <row r="929" customFormat="false" ht="18" hidden="false" customHeight="true" outlineLevel="0" collapsed="false">
      <c r="A929" s="1"/>
      <c r="B929" s="35"/>
      <c r="C929" s="8"/>
      <c r="D929" s="26"/>
      <c r="E929" s="27"/>
      <c r="F929" s="36"/>
      <c r="G929" s="36"/>
      <c r="H929" s="36"/>
      <c r="I929" s="36"/>
      <c r="J929" s="37" t="str">
        <f aca="false">IF($E929="","",IFERROR(G929/F929,""))</f>
        <v/>
      </c>
      <c r="K929" s="30" t="str">
        <f aca="false">IF($E929="","",IFERROR(E929/G929,""))</f>
        <v/>
      </c>
      <c r="L929" s="30" t="str">
        <f aca="false">IF($E929="","",IFERROR(E929/F929*1000,""))</f>
        <v/>
      </c>
      <c r="M929" s="37" t="str">
        <f aca="false">IF($E929="","",IFERROR(H929/G929,""))</f>
        <v/>
      </c>
      <c r="N929" s="30" t="str">
        <f aca="false">IF($E929="","",IFERROR(E929/H929,"—"))</f>
        <v/>
      </c>
      <c r="O929" s="30" t="str">
        <f aca="false">IF($E929="","",IFERROR(INDEX('Гео-калькулятор'!$K$7:$K$13,MATCH($C929,'Гео-калькулятор'!$B$7:$B$13,0)),""))</f>
        <v/>
      </c>
      <c r="P929" s="38" t="str">
        <f aca="false">IF($E929="","",IFERROR(N929/O929,""))</f>
        <v/>
      </c>
      <c r="Q929" s="39" t="str">
        <f aca="false">IF($E929="","",IF($I929&lt;&gt;"",$I929,N($H929)*IFERROR(INDEX('Гео-калькулятор'!$E$7:$E$13,MATCH($C929,'Гео-калькулятор'!$B$7:$B$13,0)),0)))</f>
        <v/>
      </c>
      <c r="R929" s="38" t="str">
        <f aca="false">IF($E929="","",IFERROR(Q929/H929,""))</f>
        <v/>
      </c>
      <c r="S929" s="30" t="str">
        <f aca="false">IF($E929="","",IFERROR(E929/Q929,"—"))</f>
        <v/>
      </c>
      <c r="T929" s="30" t="str">
        <f aca="false">IF($E929="","",Q929*IFERROR(INDEX('Гео-калькулятор'!$D$7:$D$13,MATCH($C929,'Гео-калькулятор'!$B$7:$B$13,0)),0))</f>
        <v/>
      </c>
      <c r="U929" s="40" t="str">
        <f aca="false">IF($E929="","",T929-E929)</f>
        <v/>
      </c>
      <c r="V929" s="41" t="str">
        <f aca="false">IF($E929="","",IFERROR(U929/E929,""))</f>
        <v/>
      </c>
      <c r="W929" s="10" t="str">
        <f aca="false">IF($E929="","",IF($I929&lt;&gt;"","факт","прогноз"))</f>
        <v/>
      </c>
      <c r="X929" s="1"/>
      <c r="Y929" s="1"/>
      <c r="Z929" s="1"/>
      <c r="AA929" s="1"/>
      <c r="AB929" s="1"/>
      <c r="AC929" s="1"/>
      <c r="AD929" s="1"/>
    </row>
    <row r="930" customFormat="false" ht="18" hidden="false" customHeight="true" outlineLevel="0" collapsed="false">
      <c r="A930" s="1"/>
      <c r="B930" s="35"/>
      <c r="C930" s="8"/>
      <c r="D930" s="26"/>
      <c r="E930" s="27"/>
      <c r="F930" s="36"/>
      <c r="G930" s="36"/>
      <c r="H930" s="36"/>
      <c r="I930" s="36"/>
      <c r="J930" s="37" t="str">
        <f aca="false">IF($E930="","",IFERROR(G930/F930,""))</f>
        <v/>
      </c>
      <c r="K930" s="30" t="str">
        <f aca="false">IF($E930="","",IFERROR(E930/G930,""))</f>
        <v/>
      </c>
      <c r="L930" s="30" t="str">
        <f aca="false">IF($E930="","",IFERROR(E930/F930*1000,""))</f>
        <v/>
      </c>
      <c r="M930" s="37" t="str">
        <f aca="false">IF($E930="","",IFERROR(H930/G930,""))</f>
        <v/>
      </c>
      <c r="N930" s="30" t="str">
        <f aca="false">IF($E930="","",IFERROR(E930/H930,"—"))</f>
        <v/>
      </c>
      <c r="O930" s="30" t="str">
        <f aca="false">IF($E930="","",IFERROR(INDEX('Гео-калькулятор'!$K$7:$K$13,MATCH($C930,'Гео-калькулятор'!$B$7:$B$13,0)),""))</f>
        <v/>
      </c>
      <c r="P930" s="38" t="str">
        <f aca="false">IF($E930="","",IFERROR(N930/O930,""))</f>
        <v/>
      </c>
      <c r="Q930" s="39" t="str">
        <f aca="false">IF($E930="","",IF($I930&lt;&gt;"",$I930,N($H930)*IFERROR(INDEX('Гео-калькулятор'!$E$7:$E$13,MATCH($C930,'Гео-калькулятор'!$B$7:$B$13,0)),0)))</f>
        <v/>
      </c>
      <c r="R930" s="38" t="str">
        <f aca="false">IF($E930="","",IFERROR(Q930/H930,""))</f>
        <v/>
      </c>
      <c r="S930" s="30" t="str">
        <f aca="false">IF($E930="","",IFERROR(E930/Q930,"—"))</f>
        <v/>
      </c>
      <c r="T930" s="30" t="str">
        <f aca="false">IF($E930="","",Q930*IFERROR(INDEX('Гео-калькулятор'!$D$7:$D$13,MATCH($C930,'Гео-калькулятор'!$B$7:$B$13,0)),0))</f>
        <v/>
      </c>
      <c r="U930" s="40" t="str">
        <f aca="false">IF($E930="","",T930-E930)</f>
        <v/>
      </c>
      <c r="V930" s="41" t="str">
        <f aca="false">IF($E930="","",IFERROR(U930/E930,""))</f>
        <v/>
      </c>
      <c r="W930" s="10" t="str">
        <f aca="false">IF($E930="","",IF($I930&lt;&gt;"","факт","прогноз"))</f>
        <v/>
      </c>
      <c r="X930" s="1"/>
      <c r="Y930" s="1"/>
      <c r="Z930" s="1"/>
      <c r="AA930" s="1"/>
      <c r="AB930" s="1"/>
      <c r="AC930" s="1"/>
      <c r="AD930" s="1"/>
    </row>
    <row r="931" customFormat="false" ht="18" hidden="false" customHeight="true" outlineLevel="0" collapsed="false">
      <c r="A931" s="1"/>
      <c r="B931" s="35"/>
      <c r="C931" s="8"/>
      <c r="D931" s="26"/>
      <c r="E931" s="27"/>
      <c r="F931" s="36"/>
      <c r="G931" s="36"/>
      <c r="H931" s="36"/>
      <c r="I931" s="36"/>
      <c r="J931" s="37" t="str">
        <f aca="false">IF($E931="","",IFERROR(G931/F931,""))</f>
        <v/>
      </c>
      <c r="K931" s="30" t="str">
        <f aca="false">IF($E931="","",IFERROR(E931/G931,""))</f>
        <v/>
      </c>
      <c r="L931" s="30" t="str">
        <f aca="false">IF($E931="","",IFERROR(E931/F931*1000,""))</f>
        <v/>
      </c>
      <c r="M931" s="37" t="str">
        <f aca="false">IF($E931="","",IFERROR(H931/G931,""))</f>
        <v/>
      </c>
      <c r="N931" s="30" t="str">
        <f aca="false">IF($E931="","",IFERROR(E931/H931,"—"))</f>
        <v/>
      </c>
      <c r="O931" s="30" t="str">
        <f aca="false">IF($E931="","",IFERROR(INDEX('Гео-калькулятор'!$K$7:$K$13,MATCH($C931,'Гео-калькулятор'!$B$7:$B$13,0)),""))</f>
        <v/>
      </c>
      <c r="P931" s="38" t="str">
        <f aca="false">IF($E931="","",IFERROR(N931/O931,""))</f>
        <v/>
      </c>
      <c r="Q931" s="39" t="str">
        <f aca="false">IF($E931="","",IF($I931&lt;&gt;"",$I931,N($H931)*IFERROR(INDEX('Гео-калькулятор'!$E$7:$E$13,MATCH($C931,'Гео-калькулятор'!$B$7:$B$13,0)),0)))</f>
        <v/>
      </c>
      <c r="R931" s="38" t="str">
        <f aca="false">IF($E931="","",IFERROR(Q931/H931,""))</f>
        <v/>
      </c>
      <c r="S931" s="30" t="str">
        <f aca="false">IF($E931="","",IFERROR(E931/Q931,"—"))</f>
        <v/>
      </c>
      <c r="T931" s="30" t="str">
        <f aca="false">IF($E931="","",Q931*IFERROR(INDEX('Гео-калькулятор'!$D$7:$D$13,MATCH($C931,'Гео-калькулятор'!$B$7:$B$13,0)),0))</f>
        <v/>
      </c>
      <c r="U931" s="40" t="str">
        <f aca="false">IF($E931="","",T931-E931)</f>
        <v/>
      </c>
      <c r="V931" s="41" t="str">
        <f aca="false">IF($E931="","",IFERROR(U931/E931,""))</f>
        <v/>
      </c>
      <c r="W931" s="10" t="str">
        <f aca="false">IF($E931="","",IF($I931&lt;&gt;"","факт","прогноз"))</f>
        <v/>
      </c>
      <c r="X931" s="1"/>
      <c r="Y931" s="1"/>
      <c r="Z931" s="1"/>
      <c r="AA931" s="1"/>
      <c r="AB931" s="1"/>
      <c r="AC931" s="1"/>
      <c r="AD931" s="1"/>
    </row>
    <row r="932" customFormat="false" ht="18" hidden="false" customHeight="true" outlineLevel="0" collapsed="false">
      <c r="A932" s="1"/>
      <c r="B932" s="35"/>
      <c r="C932" s="8"/>
      <c r="D932" s="26"/>
      <c r="E932" s="27"/>
      <c r="F932" s="36"/>
      <c r="G932" s="36"/>
      <c r="H932" s="36"/>
      <c r="I932" s="36"/>
      <c r="J932" s="37" t="str">
        <f aca="false">IF($E932="","",IFERROR(G932/F932,""))</f>
        <v/>
      </c>
      <c r="K932" s="30" t="str">
        <f aca="false">IF($E932="","",IFERROR(E932/G932,""))</f>
        <v/>
      </c>
      <c r="L932" s="30" t="str">
        <f aca="false">IF($E932="","",IFERROR(E932/F932*1000,""))</f>
        <v/>
      </c>
      <c r="M932" s="37" t="str">
        <f aca="false">IF($E932="","",IFERROR(H932/G932,""))</f>
        <v/>
      </c>
      <c r="N932" s="30" t="str">
        <f aca="false">IF($E932="","",IFERROR(E932/H932,"—"))</f>
        <v/>
      </c>
      <c r="O932" s="30" t="str">
        <f aca="false">IF($E932="","",IFERROR(INDEX('Гео-калькулятор'!$K$7:$K$13,MATCH($C932,'Гео-калькулятор'!$B$7:$B$13,0)),""))</f>
        <v/>
      </c>
      <c r="P932" s="38" t="str">
        <f aca="false">IF($E932="","",IFERROR(N932/O932,""))</f>
        <v/>
      </c>
      <c r="Q932" s="39" t="str">
        <f aca="false">IF($E932="","",IF($I932&lt;&gt;"",$I932,N($H932)*IFERROR(INDEX('Гео-калькулятор'!$E$7:$E$13,MATCH($C932,'Гео-калькулятор'!$B$7:$B$13,0)),0)))</f>
        <v/>
      </c>
      <c r="R932" s="38" t="str">
        <f aca="false">IF($E932="","",IFERROR(Q932/H932,""))</f>
        <v/>
      </c>
      <c r="S932" s="30" t="str">
        <f aca="false">IF($E932="","",IFERROR(E932/Q932,"—"))</f>
        <v/>
      </c>
      <c r="T932" s="30" t="str">
        <f aca="false">IF($E932="","",Q932*IFERROR(INDEX('Гео-калькулятор'!$D$7:$D$13,MATCH($C932,'Гео-калькулятор'!$B$7:$B$13,0)),0))</f>
        <v/>
      </c>
      <c r="U932" s="40" t="str">
        <f aca="false">IF($E932="","",T932-E932)</f>
        <v/>
      </c>
      <c r="V932" s="41" t="str">
        <f aca="false">IF($E932="","",IFERROR(U932/E932,""))</f>
        <v/>
      </c>
      <c r="W932" s="10" t="str">
        <f aca="false">IF($E932="","",IF($I932&lt;&gt;"","факт","прогноз"))</f>
        <v/>
      </c>
      <c r="X932" s="1"/>
      <c r="Y932" s="1"/>
      <c r="Z932" s="1"/>
      <c r="AA932" s="1"/>
      <c r="AB932" s="1"/>
      <c r="AC932" s="1"/>
      <c r="AD932" s="1"/>
    </row>
    <row r="933" customFormat="false" ht="18" hidden="false" customHeight="true" outlineLevel="0" collapsed="false">
      <c r="A933" s="1"/>
      <c r="B933" s="35"/>
      <c r="C933" s="8"/>
      <c r="D933" s="26"/>
      <c r="E933" s="27"/>
      <c r="F933" s="36"/>
      <c r="G933" s="36"/>
      <c r="H933" s="36"/>
      <c r="I933" s="36"/>
      <c r="J933" s="37" t="str">
        <f aca="false">IF($E933="","",IFERROR(G933/F933,""))</f>
        <v/>
      </c>
      <c r="K933" s="30" t="str">
        <f aca="false">IF($E933="","",IFERROR(E933/G933,""))</f>
        <v/>
      </c>
      <c r="L933" s="30" t="str">
        <f aca="false">IF($E933="","",IFERROR(E933/F933*1000,""))</f>
        <v/>
      </c>
      <c r="M933" s="37" t="str">
        <f aca="false">IF($E933="","",IFERROR(H933/G933,""))</f>
        <v/>
      </c>
      <c r="N933" s="30" t="str">
        <f aca="false">IF($E933="","",IFERROR(E933/H933,"—"))</f>
        <v/>
      </c>
      <c r="O933" s="30" t="str">
        <f aca="false">IF($E933="","",IFERROR(INDEX('Гео-калькулятор'!$K$7:$K$13,MATCH($C933,'Гео-калькулятор'!$B$7:$B$13,0)),""))</f>
        <v/>
      </c>
      <c r="P933" s="38" t="str">
        <f aca="false">IF($E933="","",IFERROR(N933/O933,""))</f>
        <v/>
      </c>
      <c r="Q933" s="39" t="str">
        <f aca="false">IF($E933="","",IF($I933&lt;&gt;"",$I933,N($H933)*IFERROR(INDEX('Гео-калькулятор'!$E$7:$E$13,MATCH($C933,'Гео-калькулятор'!$B$7:$B$13,0)),0)))</f>
        <v/>
      </c>
      <c r="R933" s="38" t="str">
        <f aca="false">IF($E933="","",IFERROR(Q933/H933,""))</f>
        <v/>
      </c>
      <c r="S933" s="30" t="str">
        <f aca="false">IF($E933="","",IFERROR(E933/Q933,"—"))</f>
        <v/>
      </c>
      <c r="T933" s="30" t="str">
        <f aca="false">IF($E933="","",Q933*IFERROR(INDEX('Гео-калькулятор'!$D$7:$D$13,MATCH($C933,'Гео-калькулятор'!$B$7:$B$13,0)),0))</f>
        <v/>
      </c>
      <c r="U933" s="40" t="str">
        <f aca="false">IF($E933="","",T933-E933)</f>
        <v/>
      </c>
      <c r="V933" s="41" t="str">
        <f aca="false">IF($E933="","",IFERROR(U933/E933,""))</f>
        <v/>
      </c>
      <c r="W933" s="10" t="str">
        <f aca="false">IF($E933="","",IF($I933&lt;&gt;"","факт","прогноз"))</f>
        <v/>
      </c>
      <c r="X933" s="1"/>
      <c r="Y933" s="1"/>
      <c r="Z933" s="1"/>
      <c r="AA933" s="1"/>
      <c r="AB933" s="1"/>
      <c r="AC933" s="1"/>
      <c r="AD933" s="1"/>
    </row>
    <row r="934" customFormat="false" ht="18" hidden="false" customHeight="true" outlineLevel="0" collapsed="false">
      <c r="A934" s="1"/>
      <c r="B934" s="35"/>
      <c r="C934" s="8"/>
      <c r="D934" s="26"/>
      <c r="E934" s="27"/>
      <c r="F934" s="36"/>
      <c r="G934" s="36"/>
      <c r="H934" s="36"/>
      <c r="I934" s="36"/>
      <c r="J934" s="37" t="str">
        <f aca="false">IF($E934="","",IFERROR(G934/F934,""))</f>
        <v/>
      </c>
      <c r="K934" s="30" t="str">
        <f aca="false">IF($E934="","",IFERROR(E934/G934,""))</f>
        <v/>
      </c>
      <c r="L934" s="30" t="str">
        <f aca="false">IF($E934="","",IFERROR(E934/F934*1000,""))</f>
        <v/>
      </c>
      <c r="M934" s="37" t="str">
        <f aca="false">IF($E934="","",IFERROR(H934/G934,""))</f>
        <v/>
      </c>
      <c r="N934" s="30" t="str">
        <f aca="false">IF($E934="","",IFERROR(E934/H934,"—"))</f>
        <v/>
      </c>
      <c r="O934" s="30" t="str">
        <f aca="false">IF($E934="","",IFERROR(INDEX('Гео-калькулятор'!$K$7:$K$13,MATCH($C934,'Гео-калькулятор'!$B$7:$B$13,0)),""))</f>
        <v/>
      </c>
      <c r="P934" s="38" t="str">
        <f aca="false">IF($E934="","",IFERROR(N934/O934,""))</f>
        <v/>
      </c>
      <c r="Q934" s="39" t="str">
        <f aca="false">IF($E934="","",IF($I934&lt;&gt;"",$I934,N($H934)*IFERROR(INDEX('Гео-калькулятор'!$E$7:$E$13,MATCH($C934,'Гео-калькулятор'!$B$7:$B$13,0)),0)))</f>
        <v/>
      </c>
      <c r="R934" s="38" t="str">
        <f aca="false">IF($E934="","",IFERROR(Q934/H934,""))</f>
        <v/>
      </c>
      <c r="S934" s="30" t="str">
        <f aca="false">IF($E934="","",IFERROR(E934/Q934,"—"))</f>
        <v/>
      </c>
      <c r="T934" s="30" t="str">
        <f aca="false">IF($E934="","",Q934*IFERROR(INDEX('Гео-калькулятор'!$D$7:$D$13,MATCH($C934,'Гео-калькулятор'!$B$7:$B$13,0)),0))</f>
        <v/>
      </c>
      <c r="U934" s="40" t="str">
        <f aca="false">IF($E934="","",T934-E934)</f>
        <v/>
      </c>
      <c r="V934" s="41" t="str">
        <f aca="false">IF($E934="","",IFERROR(U934/E934,""))</f>
        <v/>
      </c>
      <c r="W934" s="10" t="str">
        <f aca="false">IF($E934="","",IF($I934&lt;&gt;"","факт","прогноз"))</f>
        <v/>
      </c>
      <c r="X934" s="1"/>
      <c r="Y934" s="1"/>
      <c r="Z934" s="1"/>
      <c r="AA934" s="1"/>
      <c r="AB934" s="1"/>
      <c r="AC934" s="1"/>
      <c r="AD934" s="1"/>
    </row>
    <row r="935" customFormat="false" ht="18" hidden="false" customHeight="true" outlineLevel="0" collapsed="false">
      <c r="A935" s="1"/>
      <c r="B935" s="35"/>
      <c r="C935" s="8"/>
      <c r="D935" s="26"/>
      <c r="E935" s="27"/>
      <c r="F935" s="36"/>
      <c r="G935" s="36"/>
      <c r="H935" s="36"/>
      <c r="I935" s="36"/>
      <c r="J935" s="37" t="str">
        <f aca="false">IF($E935="","",IFERROR(G935/F935,""))</f>
        <v/>
      </c>
      <c r="K935" s="30" t="str">
        <f aca="false">IF($E935="","",IFERROR(E935/G935,""))</f>
        <v/>
      </c>
      <c r="L935" s="30" t="str">
        <f aca="false">IF($E935="","",IFERROR(E935/F935*1000,""))</f>
        <v/>
      </c>
      <c r="M935" s="37" t="str">
        <f aca="false">IF($E935="","",IFERROR(H935/G935,""))</f>
        <v/>
      </c>
      <c r="N935" s="30" t="str">
        <f aca="false">IF($E935="","",IFERROR(E935/H935,"—"))</f>
        <v/>
      </c>
      <c r="O935" s="30" t="str">
        <f aca="false">IF($E935="","",IFERROR(INDEX('Гео-калькулятор'!$K$7:$K$13,MATCH($C935,'Гео-калькулятор'!$B$7:$B$13,0)),""))</f>
        <v/>
      </c>
      <c r="P935" s="38" t="str">
        <f aca="false">IF($E935="","",IFERROR(N935/O935,""))</f>
        <v/>
      </c>
      <c r="Q935" s="39" t="str">
        <f aca="false">IF($E935="","",IF($I935&lt;&gt;"",$I935,N($H935)*IFERROR(INDEX('Гео-калькулятор'!$E$7:$E$13,MATCH($C935,'Гео-калькулятор'!$B$7:$B$13,0)),0)))</f>
        <v/>
      </c>
      <c r="R935" s="38" t="str">
        <f aca="false">IF($E935="","",IFERROR(Q935/H935,""))</f>
        <v/>
      </c>
      <c r="S935" s="30" t="str">
        <f aca="false">IF($E935="","",IFERROR(E935/Q935,"—"))</f>
        <v/>
      </c>
      <c r="T935" s="30" t="str">
        <f aca="false">IF($E935="","",Q935*IFERROR(INDEX('Гео-калькулятор'!$D$7:$D$13,MATCH($C935,'Гео-калькулятор'!$B$7:$B$13,0)),0))</f>
        <v/>
      </c>
      <c r="U935" s="40" t="str">
        <f aca="false">IF($E935="","",T935-E935)</f>
        <v/>
      </c>
      <c r="V935" s="41" t="str">
        <f aca="false">IF($E935="","",IFERROR(U935/E935,""))</f>
        <v/>
      </c>
      <c r="W935" s="10" t="str">
        <f aca="false">IF($E935="","",IF($I935&lt;&gt;"","факт","прогноз"))</f>
        <v/>
      </c>
      <c r="X935" s="1"/>
      <c r="Y935" s="1"/>
      <c r="Z935" s="1"/>
      <c r="AA935" s="1"/>
      <c r="AB935" s="1"/>
      <c r="AC935" s="1"/>
      <c r="AD935" s="1"/>
    </row>
    <row r="936" customFormat="false" ht="18" hidden="false" customHeight="true" outlineLevel="0" collapsed="false">
      <c r="A936" s="1"/>
      <c r="B936" s="35"/>
      <c r="C936" s="8"/>
      <c r="D936" s="26"/>
      <c r="E936" s="27"/>
      <c r="F936" s="36"/>
      <c r="G936" s="36"/>
      <c r="H936" s="36"/>
      <c r="I936" s="36"/>
      <c r="J936" s="37" t="str">
        <f aca="false">IF($E936="","",IFERROR(G936/F936,""))</f>
        <v/>
      </c>
      <c r="K936" s="30" t="str">
        <f aca="false">IF($E936="","",IFERROR(E936/G936,""))</f>
        <v/>
      </c>
      <c r="L936" s="30" t="str">
        <f aca="false">IF($E936="","",IFERROR(E936/F936*1000,""))</f>
        <v/>
      </c>
      <c r="M936" s="37" t="str">
        <f aca="false">IF($E936="","",IFERROR(H936/G936,""))</f>
        <v/>
      </c>
      <c r="N936" s="30" t="str">
        <f aca="false">IF($E936="","",IFERROR(E936/H936,"—"))</f>
        <v/>
      </c>
      <c r="O936" s="30" t="str">
        <f aca="false">IF($E936="","",IFERROR(INDEX('Гео-калькулятор'!$K$7:$K$13,MATCH($C936,'Гео-калькулятор'!$B$7:$B$13,0)),""))</f>
        <v/>
      </c>
      <c r="P936" s="38" t="str">
        <f aca="false">IF($E936="","",IFERROR(N936/O936,""))</f>
        <v/>
      </c>
      <c r="Q936" s="39" t="str">
        <f aca="false">IF($E936="","",IF($I936&lt;&gt;"",$I936,N($H936)*IFERROR(INDEX('Гео-калькулятор'!$E$7:$E$13,MATCH($C936,'Гео-калькулятор'!$B$7:$B$13,0)),0)))</f>
        <v/>
      </c>
      <c r="R936" s="38" t="str">
        <f aca="false">IF($E936="","",IFERROR(Q936/H936,""))</f>
        <v/>
      </c>
      <c r="S936" s="30" t="str">
        <f aca="false">IF($E936="","",IFERROR(E936/Q936,"—"))</f>
        <v/>
      </c>
      <c r="T936" s="30" t="str">
        <f aca="false">IF($E936="","",Q936*IFERROR(INDEX('Гео-калькулятор'!$D$7:$D$13,MATCH($C936,'Гео-калькулятор'!$B$7:$B$13,0)),0))</f>
        <v/>
      </c>
      <c r="U936" s="40" t="str">
        <f aca="false">IF($E936="","",T936-E936)</f>
        <v/>
      </c>
      <c r="V936" s="41" t="str">
        <f aca="false">IF($E936="","",IFERROR(U936/E936,""))</f>
        <v/>
      </c>
      <c r="W936" s="10" t="str">
        <f aca="false">IF($E936="","",IF($I936&lt;&gt;"","факт","прогноз"))</f>
        <v/>
      </c>
      <c r="X936" s="1"/>
      <c r="Y936" s="1"/>
      <c r="Z936" s="1"/>
      <c r="AA936" s="1"/>
      <c r="AB936" s="1"/>
      <c r="AC936" s="1"/>
      <c r="AD936" s="1"/>
    </row>
    <row r="937" customFormat="false" ht="18" hidden="false" customHeight="true" outlineLevel="0" collapsed="false">
      <c r="A937" s="1"/>
      <c r="B937" s="35"/>
      <c r="C937" s="8"/>
      <c r="D937" s="26"/>
      <c r="E937" s="27"/>
      <c r="F937" s="36"/>
      <c r="G937" s="36"/>
      <c r="H937" s="36"/>
      <c r="I937" s="36"/>
      <c r="J937" s="37" t="str">
        <f aca="false">IF($E937="","",IFERROR(G937/F937,""))</f>
        <v/>
      </c>
      <c r="K937" s="30" t="str">
        <f aca="false">IF($E937="","",IFERROR(E937/G937,""))</f>
        <v/>
      </c>
      <c r="L937" s="30" t="str">
        <f aca="false">IF($E937="","",IFERROR(E937/F937*1000,""))</f>
        <v/>
      </c>
      <c r="M937" s="37" t="str">
        <f aca="false">IF($E937="","",IFERROR(H937/G937,""))</f>
        <v/>
      </c>
      <c r="N937" s="30" t="str">
        <f aca="false">IF($E937="","",IFERROR(E937/H937,"—"))</f>
        <v/>
      </c>
      <c r="O937" s="30" t="str">
        <f aca="false">IF($E937="","",IFERROR(INDEX('Гео-калькулятор'!$K$7:$K$13,MATCH($C937,'Гео-калькулятор'!$B$7:$B$13,0)),""))</f>
        <v/>
      </c>
      <c r="P937" s="38" t="str">
        <f aca="false">IF($E937="","",IFERROR(N937/O937,""))</f>
        <v/>
      </c>
      <c r="Q937" s="39" t="str">
        <f aca="false">IF($E937="","",IF($I937&lt;&gt;"",$I937,N($H937)*IFERROR(INDEX('Гео-калькулятор'!$E$7:$E$13,MATCH($C937,'Гео-калькулятор'!$B$7:$B$13,0)),0)))</f>
        <v/>
      </c>
      <c r="R937" s="38" t="str">
        <f aca="false">IF($E937="","",IFERROR(Q937/H937,""))</f>
        <v/>
      </c>
      <c r="S937" s="30" t="str">
        <f aca="false">IF($E937="","",IFERROR(E937/Q937,"—"))</f>
        <v/>
      </c>
      <c r="T937" s="30" t="str">
        <f aca="false">IF($E937="","",Q937*IFERROR(INDEX('Гео-калькулятор'!$D$7:$D$13,MATCH($C937,'Гео-калькулятор'!$B$7:$B$13,0)),0))</f>
        <v/>
      </c>
      <c r="U937" s="40" t="str">
        <f aca="false">IF($E937="","",T937-E937)</f>
        <v/>
      </c>
      <c r="V937" s="41" t="str">
        <f aca="false">IF($E937="","",IFERROR(U937/E937,""))</f>
        <v/>
      </c>
      <c r="W937" s="10" t="str">
        <f aca="false">IF($E937="","",IF($I937&lt;&gt;"","факт","прогноз"))</f>
        <v/>
      </c>
      <c r="X937" s="1"/>
      <c r="Y937" s="1"/>
      <c r="Z937" s="1"/>
      <c r="AA937" s="1"/>
      <c r="AB937" s="1"/>
      <c r="AC937" s="1"/>
      <c r="AD937" s="1"/>
    </row>
    <row r="938" customFormat="false" ht="18" hidden="false" customHeight="true" outlineLevel="0" collapsed="false">
      <c r="A938" s="1"/>
      <c r="B938" s="35"/>
      <c r="C938" s="8"/>
      <c r="D938" s="26"/>
      <c r="E938" s="27"/>
      <c r="F938" s="36"/>
      <c r="G938" s="36"/>
      <c r="H938" s="36"/>
      <c r="I938" s="36"/>
      <c r="J938" s="37" t="str">
        <f aca="false">IF($E938="","",IFERROR(G938/F938,""))</f>
        <v/>
      </c>
      <c r="K938" s="30" t="str">
        <f aca="false">IF($E938="","",IFERROR(E938/G938,""))</f>
        <v/>
      </c>
      <c r="L938" s="30" t="str">
        <f aca="false">IF($E938="","",IFERROR(E938/F938*1000,""))</f>
        <v/>
      </c>
      <c r="M938" s="37" t="str">
        <f aca="false">IF($E938="","",IFERROR(H938/G938,""))</f>
        <v/>
      </c>
      <c r="N938" s="30" t="str">
        <f aca="false">IF($E938="","",IFERROR(E938/H938,"—"))</f>
        <v/>
      </c>
      <c r="O938" s="30" t="str">
        <f aca="false">IF($E938="","",IFERROR(INDEX('Гео-калькулятор'!$K$7:$K$13,MATCH($C938,'Гео-калькулятор'!$B$7:$B$13,0)),""))</f>
        <v/>
      </c>
      <c r="P938" s="38" t="str">
        <f aca="false">IF($E938="","",IFERROR(N938/O938,""))</f>
        <v/>
      </c>
      <c r="Q938" s="39" t="str">
        <f aca="false">IF($E938="","",IF($I938&lt;&gt;"",$I938,N($H938)*IFERROR(INDEX('Гео-калькулятор'!$E$7:$E$13,MATCH($C938,'Гео-калькулятор'!$B$7:$B$13,0)),0)))</f>
        <v/>
      </c>
      <c r="R938" s="38" t="str">
        <f aca="false">IF($E938="","",IFERROR(Q938/H938,""))</f>
        <v/>
      </c>
      <c r="S938" s="30" t="str">
        <f aca="false">IF($E938="","",IFERROR(E938/Q938,"—"))</f>
        <v/>
      </c>
      <c r="T938" s="30" t="str">
        <f aca="false">IF($E938="","",Q938*IFERROR(INDEX('Гео-калькулятор'!$D$7:$D$13,MATCH($C938,'Гео-калькулятор'!$B$7:$B$13,0)),0))</f>
        <v/>
      </c>
      <c r="U938" s="40" t="str">
        <f aca="false">IF($E938="","",T938-E938)</f>
        <v/>
      </c>
      <c r="V938" s="41" t="str">
        <f aca="false">IF($E938="","",IFERROR(U938/E938,""))</f>
        <v/>
      </c>
      <c r="W938" s="10" t="str">
        <f aca="false">IF($E938="","",IF($I938&lt;&gt;"","факт","прогноз"))</f>
        <v/>
      </c>
      <c r="X938" s="1"/>
      <c r="Y938" s="1"/>
      <c r="Z938" s="1"/>
      <c r="AA938" s="1"/>
      <c r="AB938" s="1"/>
      <c r="AC938" s="1"/>
      <c r="AD938" s="1"/>
    </row>
    <row r="939" customFormat="false" ht="18" hidden="false" customHeight="true" outlineLevel="0" collapsed="false">
      <c r="A939" s="1"/>
      <c r="B939" s="35"/>
      <c r="C939" s="8"/>
      <c r="D939" s="26"/>
      <c r="E939" s="27"/>
      <c r="F939" s="36"/>
      <c r="G939" s="36"/>
      <c r="H939" s="36"/>
      <c r="I939" s="36"/>
      <c r="J939" s="37" t="str">
        <f aca="false">IF($E939="","",IFERROR(G939/F939,""))</f>
        <v/>
      </c>
      <c r="K939" s="30" t="str">
        <f aca="false">IF($E939="","",IFERROR(E939/G939,""))</f>
        <v/>
      </c>
      <c r="L939" s="30" t="str">
        <f aca="false">IF($E939="","",IFERROR(E939/F939*1000,""))</f>
        <v/>
      </c>
      <c r="M939" s="37" t="str">
        <f aca="false">IF($E939="","",IFERROR(H939/G939,""))</f>
        <v/>
      </c>
      <c r="N939" s="30" t="str">
        <f aca="false">IF($E939="","",IFERROR(E939/H939,"—"))</f>
        <v/>
      </c>
      <c r="O939" s="30" t="str">
        <f aca="false">IF($E939="","",IFERROR(INDEX('Гео-калькулятор'!$K$7:$K$13,MATCH($C939,'Гео-калькулятор'!$B$7:$B$13,0)),""))</f>
        <v/>
      </c>
      <c r="P939" s="38" t="str">
        <f aca="false">IF($E939="","",IFERROR(N939/O939,""))</f>
        <v/>
      </c>
      <c r="Q939" s="39" t="str">
        <f aca="false">IF($E939="","",IF($I939&lt;&gt;"",$I939,N($H939)*IFERROR(INDEX('Гео-калькулятор'!$E$7:$E$13,MATCH($C939,'Гео-калькулятор'!$B$7:$B$13,0)),0)))</f>
        <v/>
      </c>
      <c r="R939" s="38" t="str">
        <f aca="false">IF($E939="","",IFERROR(Q939/H939,""))</f>
        <v/>
      </c>
      <c r="S939" s="30" t="str">
        <f aca="false">IF($E939="","",IFERROR(E939/Q939,"—"))</f>
        <v/>
      </c>
      <c r="T939" s="30" t="str">
        <f aca="false">IF($E939="","",Q939*IFERROR(INDEX('Гео-калькулятор'!$D$7:$D$13,MATCH($C939,'Гео-калькулятор'!$B$7:$B$13,0)),0))</f>
        <v/>
      </c>
      <c r="U939" s="40" t="str">
        <f aca="false">IF($E939="","",T939-E939)</f>
        <v/>
      </c>
      <c r="V939" s="41" t="str">
        <f aca="false">IF($E939="","",IFERROR(U939/E939,""))</f>
        <v/>
      </c>
      <c r="W939" s="10" t="str">
        <f aca="false">IF($E939="","",IF($I939&lt;&gt;"","факт","прогноз"))</f>
        <v/>
      </c>
      <c r="X939" s="1"/>
      <c r="Y939" s="1"/>
      <c r="Z939" s="1"/>
      <c r="AA939" s="1"/>
      <c r="AB939" s="1"/>
      <c r="AC939" s="1"/>
      <c r="AD939" s="1"/>
    </row>
    <row r="940" customFormat="false" ht="18" hidden="false" customHeight="true" outlineLevel="0" collapsed="false">
      <c r="A940" s="1"/>
      <c r="B940" s="35"/>
      <c r="C940" s="8"/>
      <c r="D940" s="26"/>
      <c r="E940" s="27"/>
      <c r="F940" s="36"/>
      <c r="G940" s="36"/>
      <c r="H940" s="36"/>
      <c r="I940" s="36"/>
      <c r="J940" s="37" t="str">
        <f aca="false">IF($E940="","",IFERROR(G940/F940,""))</f>
        <v/>
      </c>
      <c r="K940" s="30" t="str">
        <f aca="false">IF($E940="","",IFERROR(E940/G940,""))</f>
        <v/>
      </c>
      <c r="L940" s="30" t="str">
        <f aca="false">IF($E940="","",IFERROR(E940/F940*1000,""))</f>
        <v/>
      </c>
      <c r="M940" s="37" t="str">
        <f aca="false">IF($E940="","",IFERROR(H940/G940,""))</f>
        <v/>
      </c>
      <c r="N940" s="30" t="str">
        <f aca="false">IF($E940="","",IFERROR(E940/H940,"—"))</f>
        <v/>
      </c>
      <c r="O940" s="30" t="str">
        <f aca="false">IF($E940="","",IFERROR(INDEX('Гео-калькулятор'!$K$7:$K$13,MATCH($C940,'Гео-калькулятор'!$B$7:$B$13,0)),""))</f>
        <v/>
      </c>
      <c r="P940" s="38" t="str">
        <f aca="false">IF($E940="","",IFERROR(N940/O940,""))</f>
        <v/>
      </c>
      <c r="Q940" s="39" t="str">
        <f aca="false">IF($E940="","",IF($I940&lt;&gt;"",$I940,N($H940)*IFERROR(INDEX('Гео-калькулятор'!$E$7:$E$13,MATCH($C940,'Гео-калькулятор'!$B$7:$B$13,0)),0)))</f>
        <v/>
      </c>
      <c r="R940" s="38" t="str">
        <f aca="false">IF($E940="","",IFERROR(Q940/H940,""))</f>
        <v/>
      </c>
      <c r="S940" s="30" t="str">
        <f aca="false">IF($E940="","",IFERROR(E940/Q940,"—"))</f>
        <v/>
      </c>
      <c r="T940" s="30" t="str">
        <f aca="false">IF($E940="","",Q940*IFERROR(INDEX('Гео-калькулятор'!$D$7:$D$13,MATCH($C940,'Гео-калькулятор'!$B$7:$B$13,0)),0))</f>
        <v/>
      </c>
      <c r="U940" s="40" t="str">
        <f aca="false">IF($E940="","",T940-E940)</f>
        <v/>
      </c>
      <c r="V940" s="41" t="str">
        <f aca="false">IF($E940="","",IFERROR(U940/E940,""))</f>
        <v/>
      </c>
      <c r="W940" s="10" t="str">
        <f aca="false">IF($E940="","",IF($I940&lt;&gt;"","факт","прогноз"))</f>
        <v/>
      </c>
      <c r="X940" s="1"/>
      <c r="Y940" s="1"/>
      <c r="Z940" s="1"/>
      <c r="AA940" s="1"/>
      <c r="AB940" s="1"/>
      <c r="AC940" s="1"/>
      <c r="AD940" s="1"/>
    </row>
    <row r="941" customFormat="false" ht="18" hidden="false" customHeight="true" outlineLevel="0" collapsed="false">
      <c r="A941" s="1"/>
      <c r="B941" s="35"/>
      <c r="C941" s="8"/>
      <c r="D941" s="26"/>
      <c r="E941" s="27"/>
      <c r="F941" s="36"/>
      <c r="G941" s="36"/>
      <c r="H941" s="36"/>
      <c r="I941" s="36"/>
      <c r="J941" s="37" t="str">
        <f aca="false">IF($E941="","",IFERROR(G941/F941,""))</f>
        <v/>
      </c>
      <c r="K941" s="30" t="str">
        <f aca="false">IF($E941="","",IFERROR(E941/G941,""))</f>
        <v/>
      </c>
      <c r="L941" s="30" t="str">
        <f aca="false">IF($E941="","",IFERROR(E941/F941*1000,""))</f>
        <v/>
      </c>
      <c r="M941" s="37" t="str">
        <f aca="false">IF($E941="","",IFERROR(H941/G941,""))</f>
        <v/>
      </c>
      <c r="N941" s="30" t="str">
        <f aca="false">IF($E941="","",IFERROR(E941/H941,"—"))</f>
        <v/>
      </c>
      <c r="O941" s="30" t="str">
        <f aca="false">IF($E941="","",IFERROR(INDEX('Гео-калькулятор'!$K$7:$K$13,MATCH($C941,'Гео-калькулятор'!$B$7:$B$13,0)),""))</f>
        <v/>
      </c>
      <c r="P941" s="38" t="str">
        <f aca="false">IF($E941="","",IFERROR(N941/O941,""))</f>
        <v/>
      </c>
      <c r="Q941" s="39" t="str">
        <f aca="false">IF($E941="","",IF($I941&lt;&gt;"",$I941,N($H941)*IFERROR(INDEX('Гео-калькулятор'!$E$7:$E$13,MATCH($C941,'Гео-калькулятор'!$B$7:$B$13,0)),0)))</f>
        <v/>
      </c>
      <c r="R941" s="38" t="str">
        <f aca="false">IF($E941="","",IFERROR(Q941/H941,""))</f>
        <v/>
      </c>
      <c r="S941" s="30" t="str">
        <f aca="false">IF($E941="","",IFERROR(E941/Q941,"—"))</f>
        <v/>
      </c>
      <c r="T941" s="30" t="str">
        <f aca="false">IF($E941="","",Q941*IFERROR(INDEX('Гео-калькулятор'!$D$7:$D$13,MATCH($C941,'Гео-калькулятор'!$B$7:$B$13,0)),0))</f>
        <v/>
      </c>
      <c r="U941" s="40" t="str">
        <f aca="false">IF($E941="","",T941-E941)</f>
        <v/>
      </c>
      <c r="V941" s="41" t="str">
        <f aca="false">IF($E941="","",IFERROR(U941/E941,""))</f>
        <v/>
      </c>
      <c r="W941" s="10" t="str">
        <f aca="false">IF($E941="","",IF($I941&lt;&gt;"","факт","прогноз"))</f>
        <v/>
      </c>
      <c r="X941" s="1"/>
      <c r="Y941" s="1"/>
      <c r="Z941" s="1"/>
      <c r="AA941" s="1"/>
      <c r="AB941" s="1"/>
      <c r="AC941" s="1"/>
      <c r="AD941" s="1"/>
    </row>
    <row r="942" customFormat="false" ht="18" hidden="false" customHeight="true" outlineLevel="0" collapsed="false">
      <c r="A942" s="1"/>
      <c r="B942" s="35"/>
      <c r="C942" s="8"/>
      <c r="D942" s="26"/>
      <c r="E942" s="27"/>
      <c r="F942" s="36"/>
      <c r="G942" s="36"/>
      <c r="H942" s="36"/>
      <c r="I942" s="36"/>
      <c r="J942" s="37" t="str">
        <f aca="false">IF($E942="","",IFERROR(G942/F942,""))</f>
        <v/>
      </c>
      <c r="K942" s="30" t="str">
        <f aca="false">IF($E942="","",IFERROR(E942/G942,""))</f>
        <v/>
      </c>
      <c r="L942" s="30" t="str">
        <f aca="false">IF($E942="","",IFERROR(E942/F942*1000,""))</f>
        <v/>
      </c>
      <c r="M942" s="37" t="str">
        <f aca="false">IF($E942="","",IFERROR(H942/G942,""))</f>
        <v/>
      </c>
      <c r="N942" s="30" t="str">
        <f aca="false">IF($E942="","",IFERROR(E942/H942,"—"))</f>
        <v/>
      </c>
      <c r="O942" s="30" t="str">
        <f aca="false">IF($E942="","",IFERROR(INDEX('Гео-калькулятор'!$K$7:$K$13,MATCH($C942,'Гео-калькулятор'!$B$7:$B$13,0)),""))</f>
        <v/>
      </c>
      <c r="P942" s="38" t="str">
        <f aca="false">IF($E942="","",IFERROR(N942/O942,""))</f>
        <v/>
      </c>
      <c r="Q942" s="39" t="str">
        <f aca="false">IF($E942="","",IF($I942&lt;&gt;"",$I942,N($H942)*IFERROR(INDEX('Гео-калькулятор'!$E$7:$E$13,MATCH($C942,'Гео-калькулятор'!$B$7:$B$13,0)),0)))</f>
        <v/>
      </c>
      <c r="R942" s="38" t="str">
        <f aca="false">IF($E942="","",IFERROR(Q942/H942,""))</f>
        <v/>
      </c>
      <c r="S942" s="30" t="str">
        <f aca="false">IF($E942="","",IFERROR(E942/Q942,"—"))</f>
        <v/>
      </c>
      <c r="T942" s="30" t="str">
        <f aca="false">IF($E942="","",Q942*IFERROR(INDEX('Гео-калькулятор'!$D$7:$D$13,MATCH($C942,'Гео-калькулятор'!$B$7:$B$13,0)),0))</f>
        <v/>
      </c>
      <c r="U942" s="40" t="str">
        <f aca="false">IF($E942="","",T942-E942)</f>
        <v/>
      </c>
      <c r="V942" s="41" t="str">
        <f aca="false">IF($E942="","",IFERROR(U942/E942,""))</f>
        <v/>
      </c>
      <c r="W942" s="10" t="str">
        <f aca="false">IF($E942="","",IF($I942&lt;&gt;"","факт","прогноз"))</f>
        <v/>
      </c>
      <c r="X942" s="1"/>
      <c r="Y942" s="1"/>
      <c r="Z942" s="1"/>
      <c r="AA942" s="1"/>
      <c r="AB942" s="1"/>
      <c r="AC942" s="1"/>
      <c r="AD942" s="1"/>
    </row>
    <row r="943" customFormat="false" ht="18" hidden="false" customHeight="true" outlineLevel="0" collapsed="false">
      <c r="A943" s="1"/>
      <c r="B943" s="35"/>
      <c r="C943" s="8"/>
      <c r="D943" s="26"/>
      <c r="E943" s="27"/>
      <c r="F943" s="36"/>
      <c r="G943" s="36"/>
      <c r="H943" s="36"/>
      <c r="I943" s="36"/>
      <c r="J943" s="37" t="str">
        <f aca="false">IF($E943="","",IFERROR(G943/F943,""))</f>
        <v/>
      </c>
      <c r="K943" s="30" t="str">
        <f aca="false">IF($E943="","",IFERROR(E943/G943,""))</f>
        <v/>
      </c>
      <c r="L943" s="30" t="str">
        <f aca="false">IF($E943="","",IFERROR(E943/F943*1000,""))</f>
        <v/>
      </c>
      <c r="M943" s="37" t="str">
        <f aca="false">IF($E943="","",IFERROR(H943/G943,""))</f>
        <v/>
      </c>
      <c r="N943" s="30" t="str">
        <f aca="false">IF($E943="","",IFERROR(E943/H943,"—"))</f>
        <v/>
      </c>
      <c r="O943" s="30" t="str">
        <f aca="false">IF($E943="","",IFERROR(INDEX('Гео-калькулятор'!$K$7:$K$13,MATCH($C943,'Гео-калькулятор'!$B$7:$B$13,0)),""))</f>
        <v/>
      </c>
      <c r="P943" s="38" t="str">
        <f aca="false">IF($E943="","",IFERROR(N943/O943,""))</f>
        <v/>
      </c>
      <c r="Q943" s="39" t="str">
        <f aca="false">IF($E943="","",IF($I943&lt;&gt;"",$I943,N($H943)*IFERROR(INDEX('Гео-калькулятор'!$E$7:$E$13,MATCH($C943,'Гео-калькулятор'!$B$7:$B$13,0)),0)))</f>
        <v/>
      </c>
      <c r="R943" s="38" t="str">
        <f aca="false">IF($E943="","",IFERROR(Q943/H943,""))</f>
        <v/>
      </c>
      <c r="S943" s="30" t="str">
        <f aca="false">IF($E943="","",IFERROR(E943/Q943,"—"))</f>
        <v/>
      </c>
      <c r="T943" s="30" t="str">
        <f aca="false">IF($E943="","",Q943*IFERROR(INDEX('Гео-калькулятор'!$D$7:$D$13,MATCH($C943,'Гео-калькулятор'!$B$7:$B$13,0)),0))</f>
        <v/>
      </c>
      <c r="U943" s="40" t="str">
        <f aca="false">IF($E943="","",T943-E943)</f>
        <v/>
      </c>
      <c r="V943" s="41" t="str">
        <f aca="false">IF($E943="","",IFERROR(U943/E943,""))</f>
        <v/>
      </c>
      <c r="W943" s="10" t="str">
        <f aca="false">IF($E943="","",IF($I943&lt;&gt;"","факт","прогноз"))</f>
        <v/>
      </c>
      <c r="X943" s="1"/>
      <c r="Y943" s="1"/>
      <c r="Z943" s="1"/>
      <c r="AA943" s="1"/>
      <c r="AB943" s="1"/>
      <c r="AC943" s="1"/>
      <c r="AD943" s="1"/>
    </row>
    <row r="944" customFormat="false" ht="18" hidden="false" customHeight="true" outlineLevel="0" collapsed="false">
      <c r="A944" s="1"/>
      <c r="B944" s="35"/>
      <c r="C944" s="8"/>
      <c r="D944" s="26"/>
      <c r="E944" s="27"/>
      <c r="F944" s="36"/>
      <c r="G944" s="36"/>
      <c r="H944" s="36"/>
      <c r="I944" s="36"/>
      <c r="J944" s="37" t="str">
        <f aca="false">IF($E944="","",IFERROR(G944/F944,""))</f>
        <v/>
      </c>
      <c r="K944" s="30" t="str">
        <f aca="false">IF($E944="","",IFERROR(E944/G944,""))</f>
        <v/>
      </c>
      <c r="L944" s="30" t="str">
        <f aca="false">IF($E944="","",IFERROR(E944/F944*1000,""))</f>
        <v/>
      </c>
      <c r="M944" s="37" t="str">
        <f aca="false">IF($E944="","",IFERROR(H944/G944,""))</f>
        <v/>
      </c>
      <c r="N944" s="30" t="str">
        <f aca="false">IF($E944="","",IFERROR(E944/H944,"—"))</f>
        <v/>
      </c>
      <c r="O944" s="30" t="str">
        <f aca="false">IF($E944="","",IFERROR(INDEX('Гео-калькулятор'!$K$7:$K$13,MATCH($C944,'Гео-калькулятор'!$B$7:$B$13,0)),""))</f>
        <v/>
      </c>
      <c r="P944" s="38" t="str">
        <f aca="false">IF($E944="","",IFERROR(N944/O944,""))</f>
        <v/>
      </c>
      <c r="Q944" s="39" t="str">
        <f aca="false">IF($E944="","",IF($I944&lt;&gt;"",$I944,N($H944)*IFERROR(INDEX('Гео-калькулятор'!$E$7:$E$13,MATCH($C944,'Гео-калькулятор'!$B$7:$B$13,0)),0)))</f>
        <v/>
      </c>
      <c r="R944" s="38" t="str">
        <f aca="false">IF($E944="","",IFERROR(Q944/H944,""))</f>
        <v/>
      </c>
      <c r="S944" s="30" t="str">
        <f aca="false">IF($E944="","",IFERROR(E944/Q944,"—"))</f>
        <v/>
      </c>
      <c r="T944" s="30" t="str">
        <f aca="false">IF($E944="","",Q944*IFERROR(INDEX('Гео-калькулятор'!$D$7:$D$13,MATCH($C944,'Гео-калькулятор'!$B$7:$B$13,0)),0))</f>
        <v/>
      </c>
      <c r="U944" s="40" t="str">
        <f aca="false">IF($E944="","",T944-E944)</f>
        <v/>
      </c>
      <c r="V944" s="41" t="str">
        <f aca="false">IF($E944="","",IFERROR(U944/E944,""))</f>
        <v/>
      </c>
      <c r="W944" s="10" t="str">
        <f aca="false">IF($E944="","",IF($I944&lt;&gt;"","факт","прогноз"))</f>
        <v/>
      </c>
      <c r="X944" s="1"/>
      <c r="Y944" s="1"/>
      <c r="Z944" s="1"/>
      <c r="AA944" s="1"/>
      <c r="AB944" s="1"/>
      <c r="AC944" s="1"/>
      <c r="AD944" s="1"/>
    </row>
    <row r="945" customFormat="false" ht="18" hidden="false" customHeight="true" outlineLevel="0" collapsed="false">
      <c r="A945" s="1"/>
      <c r="B945" s="35"/>
      <c r="C945" s="8"/>
      <c r="D945" s="26"/>
      <c r="E945" s="27"/>
      <c r="F945" s="36"/>
      <c r="G945" s="36"/>
      <c r="H945" s="36"/>
      <c r="I945" s="36"/>
      <c r="J945" s="37" t="str">
        <f aca="false">IF($E945="","",IFERROR(G945/F945,""))</f>
        <v/>
      </c>
      <c r="K945" s="30" t="str">
        <f aca="false">IF($E945="","",IFERROR(E945/G945,""))</f>
        <v/>
      </c>
      <c r="L945" s="30" t="str">
        <f aca="false">IF($E945="","",IFERROR(E945/F945*1000,""))</f>
        <v/>
      </c>
      <c r="M945" s="37" t="str">
        <f aca="false">IF($E945="","",IFERROR(H945/G945,""))</f>
        <v/>
      </c>
      <c r="N945" s="30" t="str">
        <f aca="false">IF($E945="","",IFERROR(E945/H945,"—"))</f>
        <v/>
      </c>
      <c r="O945" s="30" t="str">
        <f aca="false">IF($E945="","",IFERROR(INDEX('Гео-калькулятор'!$K$7:$K$13,MATCH($C945,'Гео-калькулятор'!$B$7:$B$13,0)),""))</f>
        <v/>
      </c>
      <c r="P945" s="38" t="str">
        <f aca="false">IF($E945="","",IFERROR(N945/O945,""))</f>
        <v/>
      </c>
      <c r="Q945" s="39" t="str">
        <f aca="false">IF($E945="","",IF($I945&lt;&gt;"",$I945,N($H945)*IFERROR(INDEX('Гео-калькулятор'!$E$7:$E$13,MATCH($C945,'Гео-калькулятор'!$B$7:$B$13,0)),0)))</f>
        <v/>
      </c>
      <c r="R945" s="38" t="str">
        <f aca="false">IF($E945="","",IFERROR(Q945/H945,""))</f>
        <v/>
      </c>
      <c r="S945" s="30" t="str">
        <f aca="false">IF($E945="","",IFERROR(E945/Q945,"—"))</f>
        <v/>
      </c>
      <c r="T945" s="30" t="str">
        <f aca="false">IF($E945="","",Q945*IFERROR(INDEX('Гео-калькулятор'!$D$7:$D$13,MATCH($C945,'Гео-калькулятор'!$B$7:$B$13,0)),0))</f>
        <v/>
      </c>
      <c r="U945" s="40" t="str">
        <f aca="false">IF($E945="","",T945-E945)</f>
        <v/>
      </c>
      <c r="V945" s="41" t="str">
        <f aca="false">IF($E945="","",IFERROR(U945/E945,""))</f>
        <v/>
      </c>
      <c r="W945" s="10" t="str">
        <f aca="false">IF($E945="","",IF($I945&lt;&gt;"","факт","прогноз"))</f>
        <v/>
      </c>
      <c r="X945" s="1"/>
      <c r="Y945" s="1"/>
      <c r="Z945" s="1"/>
      <c r="AA945" s="1"/>
      <c r="AB945" s="1"/>
      <c r="AC945" s="1"/>
      <c r="AD945" s="1"/>
    </row>
    <row r="946" customFormat="false" ht="18" hidden="false" customHeight="true" outlineLevel="0" collapsed="false">
      <c r="A946" s="1"/>
      <c r="B946" s="35"/>
      <c r="C946" s="8"/>
      <c r="D946" s="26"/>
      <c r="E946" s="27"/>
      <c r="F946" s="36"/>
      <c r="G946" s="36"/>
      <c r="H946" s="36"/>
      <c r="I946" s="36"/>
      <c r="J946" s="37" t="str">
        <f aca="false">IF($E946="","",IFERROR(G946/F946,""))</f>
        <v/>
      </c>
      <c r="K946" s="30" t="str">
        <f aca="false">IF($E946="","",IFERROR(E946/G946,""))</f>
        <v/>
      </c>
      <c r="L946" s="30" t="str">
        <f aca="false">IF($E946="","",IFERROR(E946/F946*1000,""))</f>
        <v/>
      </c>
      <c r="M946" s="37" t="str">
        <f aca="false">IF($E946="","",IFERROR(H946/G946,""))</f>
        <v/>
      </c>
      <c r="N946" s="30" t="str">
        <f aca="false">IF($E946="","",IFERROR(E946/H946,"—"))</f>
        <v/>
      </c>
      <c r="O946" s="30" t="str">
        <f aca="false">IF($E946="","",IFERROR(INDEX('Гео-калькулятор'!$K$7:$K$13,MATCH($C946,'Гео-калькулятор'!$B$7:$B$13,0)),""))</f>
        <v/>
      </c>
      <c r="P946" s="38" t="str">
        <f aca="false">IF($E946="","",IFERROR(N946/O946,""))</f>
        <v/>
      </c>
      <c r="Q946" s="39" t="str">
        <f aca="false">IF($E946="","",IF($I946&lt;&gt;"",$I946,N($H946)*IFERROR(INDEX('Гео-калькулятор'!$E$7:$E$13,MATCH($C946,'Гео-калькулятор'!$B$7:$B$13,0)),0)))</f>
        <v/>
      </c>
      <c r="R946" s="38" t="str">
        <f aca="false">IF($E946="","",IFERROR(Q946/H946,""))</f>
        <v/>
      </c>
      <c r="S946" s="30" t="str">
        <f aca="false">IF($E946="","",IFERROR(E946/Q946,"—"))</f>
        <v/>
      </c>
      <c r="T946" s="30" t="str">
        <f aca="false">IF($E946="","",Q946*IFERROR(INDEX('Гео-калькулятор'!$D$7:$D$13,MATCH($C946,'Гео-калькулятор'!$B$7:$B$13,0)),0))</f>
        <v/>
      </c>
      <c r="U946" s="40" t="str">
        <f aca="false">IF($E946="","",T946-E946)</f>
        <v/>
      </c>
      <c r="V946" s="41" t="str">
        <f aca="false">IF($E946="","",IFERROR(U946/E946,""))</f>
        <v/>
      </c>
      <c r="W946" s="10" t="str">
        <f aca="false">IF($E946="","",IF($I946&lt;&gt;"","факт","прогноз"))</f>
        <v/>
      </c>
      <c r="X946" s="1"/>
      <c r="Y946" s="1"/>
      <c r="Z946" s="1"/>
      <c r="AA946" s="1"/>
      <c r="AB946" s="1"/>
      <c r="AC946" s="1"/>
      <c r="AD946" s="1"/>
    </row>
    <row r="947" customFormat="false" ht="18" hidden="false" customHeight="true" outlineLevel="0" collapsed="false">
      <c r="A947" s="1"/>
      <c r="B947" s="35"/>
      <c r="C947" s="8"/>
      <c r="D947" s="26"/>
      <c r="E947" s="27"/>
      <c r="F947" s="36"/>
      <c r="G947" s="36"/>
      <c r="H947" s="36"/>
      <c r="I947" s="36"/>
      <c r="J947" s="37" t="str">
        <f aca="false">IF($E947="","",IFERROR(G947/F947,""))</f>
        <v/>
      </c>
      <c r="K947" s="30" t="str">
        <f aca="false">IF($E947="","",IFERROR(E947/G947,""))</f>
        <v/>
      </c>
      <c r="L947" s="30" t="str">
        <f aca="false">IF($E947="","",IFERROR(E947/F947*1000,""))</f>
        <v/>
      </c>
      <c r="M947" s="37" t="str">
        <f aca="false">IF($E947="","",IFERROR(H947/G947,""))</f>
        <v/>
      </c>
      <c r="N947" s="30" t="str">
        <f aca="false">IF($E947="","",IFERROR(E947/H947,"—"))</f>
        <v/>
      </c>
      <c r="O947" s="30" t="str">
        <f aca="false">IF($E947="","",IFERROR(INDEX('Гео-калькулятор'!$K$7:$K$13,MATCH($C947,'Гео-калькулятор'!$B$7:$B$13,0)),""))</f>
        <v/>
      </c>
      <c r="P947" s="38" t="str">
        <f aca="false">IF($E947="","",IFERROR(N947/O947,""))</f>
        <v/>
      </c>
      <c r="Q947" s="39" t="str">
        <f aca="false">IF($E947="","",IF($I947&lt;&gt;"",$I947,N($H947)*IFERROR(INDEX('Гео-калькулятор'!$E$7:$E$13,MATCH($C947,'Гео-калькулятор'!$B$7:$B$13,0)),0)))</f>
        <v/>
      </c>
      <c r="R947" s="38" t="str">
        <f aca="false">IF($E947="","",IFERROR(Q947/H947,""))</f>
        <v/>
      </c>
      <c r="S947" s="30" t="str">
        <f aca="false">IF($E947="","",IFERROR(E947/Q947,"—"))</f>
        <v/>
      </c>
      <c r="T947" s="30" t="str">
        <f aca="false">IF($E947="","",Q947*IFERROR(INDEX('Гео-калькулятор'!$D$7:$D$13,MATCH($C947,'Гео-калькулятор'!$B$7:$B$13,0)),0))</f>
        <v/>
      </c>
      <c r="U947" s="40" t="str">
        <f aca="false">IF($E947="","",T947-E947)</f>
        <v/>
      </c>
      <c r="V947" s="41" t="str">
        <f aca="false">IF($E947="","",IFERROR(U947/E947,""))</f>
        <v/>
      </c>
      <c r="W947" s="10" t="str">
        <f aca="false">IF($E947="","",IF($I947&lt;&gt;"","факт","прогноз"))</f>
        <v/>
      </c>
      <c r="X947" s="1"/>
      <c r="Y947" s="1"/>
      <c r="Z947" s="1"/>
      <c r="AA947" s="1"/>
      <c r="AB947" s="1"/>
      <c r="AC947" s="1"/>
      <c r="AD947" s="1"/>
    </row>
    <row r="948" customFormat="false" ht="18" hidden="false" customHeight="true" outlineLevel="0" collapsed="false">
      <c r="A948" s="1"/>
      <c r="B948" s="35"/>
      <c r="C948" s="8"/>
      <c r="D948" s="26"/>
      <c r="E948" s="27"/>
      <c r="F948" s="36"/>
      <c r="G948" s="36"/>
      <c r="H948" s="36"/>
      <c r="I948" s="36"/>
      <c r="J948" s="37" t="str">
        <f aca="false">IF($E948="","",IFERROR(G948/F948,""))</f>
        <v/>
      </c>
      <c r="K948" s="30" t="str">
        <f aca="false">IF($E948="","",IFERROR(E948/G948,""))</f>
        <v/>
      </c>
      <c r="L948" s="30" t="str">
        <f aca="false">IF($E948="","",IFERROR(E948/F948*1000,""))</f>
        <v/>
      </c>
      <c r="M948" s="37" t="str">
        <f aca="false">IF($E948="","",IFERROR(H948/G948,""))</f>
        <v/>
      </c>
      <c r="N948" s="30" t="str">
        <f aca="false">IF($E948="","",IFERROR(E948/H948,"—"))</f>
        <v/>
      </c>
      <c r="O948" s="30" t="str">
        <f aca="false">IF($E948="","",IFERROR(INDEX('Гео-калькулятор'!$K$7:$K$13,MATCH($C948,'Гео-калькулятор'!$B$7:$B$13,0)),""))</f>
        <v/>
      </c>
      <c r="P948" s="38" t="str">
        <f aca="false">IF($E948="","",IFERROR(N948/O948,""))</f>
        <v/>
      </c>
      <c r="Q948" s="39" t="str">
        <f aca="false">IF($E948="","",IF($I948&lt;&gt;"",$I948,N($H948)*IFERROR(INDEX('Гео-калькулятор'!$E$7:$E$13,MATCH($C948,'Гео-калькулятор'!$B$7:$B$13,0)),0)))</f>
        <v/>
      </c>
      <c r="R948" s="38" t="str">
        <f aca="false">IF($E948="","",IFERROR(Q948/H948,""))</f>
        <v/>
      </c>
      <c r="S948" s="30" t="str">
        <f aca="false">IF($E948="","",IFERROR(E948/Q948,"—"))</f>
        <v/>
      </c>
      <c r="T948" s="30" t="str">
        <f aca="false">IF($E948="","",Q948*IFERROR(INDEX('Гео-калькулятор'!$D$7:$D$13,MATCH($C948,'Гео-калькулятор'!$B$7:$B$13,0)),0))</f>
        <v/>
      </c>
      <c r="U948" s="40" t="str">
        <f aca="false">IF($E948="","",T948-E948)</f>
        <v/>
      </c>
      <c r="V948" s="41" t="str">
        <f aca="false">IF($E948="","",IFERROR(U948/E948,""))</f>
        <v/>
      </c>
      <c r="W948" s="10" t="str">
        <f aca="false">IF($E948="","",IF($I948&lt;&gt;"","факт","прогноз"))</f>
        <v/>
      </c>
      <c r="X948" s="1"/>
      <c r="Y948" s="1"/>
      <c r="Z948" s="1"/>
      <c r="AA948" s="1"/>
      <c r="AB948" s="1"/>
      <c r="AC948" s="1"/>
      <c r="AD948" s="1"/>
    </row>
    <row r="949" customFormat="false" ht="18" hidden="false" customHeight="true" outlineLevel="0" collapsed="false">
      <c r="A949" s="1"/>
      <c r="B949" s="35"/>
      <c r="C949" s="8"/>
      <c r="D949" s="26"/>
      <c r="E949" s="27"/>
      <c r="F949" s="36"/>
      <c r="G949" s="36"/>
      <c r="H949" s="36"/>
      <c r="I949" s="36"/>
      <c r="J949" s="37" t="str">
        <f aca="false">IF($E949="","",IFERROR(G949/F949,""))</f>
        <v/>
      </c>
      <c r="K949" s="30" t="str">
        <f aca="false">IF($E949="","",IFERROR(E949/G949,""))</f>
        <v/>
      </c>
      <c r="L949" s="30" t="str">
        <f aca="false">IF($E949="","",IFERROR(E949/F949*1000,""))</f>
        <v/>
      </c>
      <c r="M949" s="37" t="str">
        <f aca="false">IF($E949="","",IFERROR(H949/G949,""))</f>
        <v/>
      </c>
      <c r="N949" s="30" t="str">
        <f aca="false">IF($E949="","",IFERROR(E949/H949,"—"))</f>
        <v/>
      </c>
      <c r="O949" s="30" t="str">
        <f aca="false">IF($E949="","",IFERROR(INDEX('Гео-калькулятор'!$K$7:$K$13,MATCH($C949,'Гео-калькулятор'!$B$7:$B$13,0)),""))</f>
        <v/>
      </c>
      <c r="P949" s="38" t="str">
        <f aca="false">IF($E949="","",IFERROR(N949/O949,""))</f>
        <v/>
      </c>
      <c r="Q949" s="39" t="str">
        <f aca="false">IF($E949="","",IF($I949&lt;&gt;"",$I949,N($H949)*IFERROR(INDEX('Гео-калькулятор'!$E$7:$E$13,MATCH($C949,'Гео-калькулятор'!$B$7:$B$13,0)),0)))</f>
        <v/>
      </c>
      <c r="R949" s="38" t="str">
        <f aca="false">IF($E949="","",IFERROR(Q949/H949,""))</f>
        <v/>
      </c>
      <c r="S949" s="30" t="str">
        <f aca="false">IF($E949="","",IFERROR(E949/Q949,"—"))</f>
        <v/>
      </c>
      <c r="T949" s="30" t="str">
        <f aca="false">IF($E949="","",Q949*IFERROR(INDEX('Гео-калькулятор'!$D$7:$D$13,MATCH($C949,'Гео-калькулятор'!$B$7:$B$13,0)),0))</f>
        <v/>
      </c>
      <c r="U949" s="40" t="str">
        <f aca="false">IF($E949="","",T949-E949)</f>
        <v/>
      </c>
      <c r="V949" s="41" t="str">
        <f aca="false">IF($E949="","",IFERROR(U949/E949,""))</f>
        <v/>
      </c>
      <c r="W949" s="10" t="str">
        <f aca="false">IF($E949="","",IF($I949&lt;&gt;"","факт","прогноз"))</f>
        <v/>
      </c>
      <c r="X949" s="1"/>
      <c r="Y949" s="1"/>
      <c r="Z949" s="1"/>
      <c r="AA949" s="1"/>
      <c r="AB949" s="1"/>
      <c r="AC949" s="1"/>
      <c r="AD949" s="1"/>
    </row>
    <row r="950" customFormat="false" ht="18" hidden="false" customHeight="true" outlineLevel="0" collapsed="false">
      <c r="A950" s="1"/>
      <c r="B950" s="35"/>
      <c r="C950" s="8"/>
      <c r="D950" s="26"/>
      <c r="E950" s="27"/>
      <c r="F950" s="36"/>
      <c r="G950" s="36"/>
      <c r="H950" s="36"/>
      <c r="I950" s="36"/>
      <c r="J950" s="37" t="str">
        <f aca="false">IF($E950="","",IFERROR(G950/F950,""))</f>
        <v/>
      </c>
      <c r="K950" s="30" t="str">
        <f aca="false">IF($E950="","",IFERROR(E950/G950,""))</f>
        <v/>
      </c>
      <c r="L950" s="30" t="str">
        <f aca="false">IF($E950="","",IFERROR(E950/F950*1000,""))</f>
        <v/>
      </c>
      <c r="M950" s="37" t="str">
        <f aca="false">IF($E950="","",IFERROR(H950/G950,""))</f>
        <v/>
      </c>
      <c r="N950" s="30" t="str">
        <f aca="false">IF($E950="","",IFERROR(E950/H950,"—"))</f>
        <v/>
      </c>
      <c r="O950" s="30" t="str">
        <f aca="false">IF($E950="","",IFERROR(INDEX('Гео-калькулятор'!$K$7:$K$13,MATCH($C950,'Гео-калькулятор'!$B$7:$B$13,0)),""))</f>
        <v/>
      </c>
      <c r="P950" s="38" t="str">
        <f aca="false">IF($E950="","",IFERROR(N950/O950,""))</f>
        <v/>
      </c>
      <c r="Q950" s="39" t="str">
        <f aca="false">IF($E950="","",IF($I950&lt;&gt;"",$I950,N($H950)*IFERROR(INDEX('Гео-калькулятор'!$E$7:$E$13,MATCH($C950,'Гео-калькулятор'!$B$7:$B$13,0)),0)))</f>
        <v/>
      </c>
      <c r="R950" s="38" t="str">
        <f aca="false">IF($E950="","",IFERROR(Q950/H950,""))</f>
        <v/>
      </c>
      <c r="S950" s="30" t="str">
        <f aca="false">IF($E950="","",IFERROR(E950/Q950,"—"))</f>
        <v/>
      </c>
      <c r="T950" s="30" t="str">
        <f aca="false">IF($E950="","",Q950*IFERROR(INDEX('Гео-калькулятор'!$D$7:$D$13,MATCH($C950,'Гео-калькулятор'!$B$7:$B$13,0)),0))</f>
        <v/>
      </c>
      <c r="U950" s="40" t="str">
        <f aca="false">IF($E950="","",T950-E950)</f>
        <v/>
      </c>
      <c r="V950" s="41" t="str">
        <f aca="false">IF($E950="","",IFERROR(U950/E950,""))</f>
        <v/>
      </c>
      <c r="W950" s="10" t="str">
        <f aca="false">IF($E950="","",IF($I950&lt;&gt;"","факт","прогноз"))</f>
        <v/>
      </c>
      <c r="X950" s="1"/>
      <c r="Y950" s="1"/>
      <c r="Z950" s="1"/>
      <c r="AA950" s="1"/>
      <c r="AB950" s="1"/>
      <c r="AC950" s="1"/>
      <c r="AD950" s="1"/>
    </row>
    <row r="951" customFormat="false" ht="18" hidden="false" customHeight="true" outlineLevel="0" collapsed="false">
      <c r="A951" s="1"/>
      <c r="B951" s="35"/>
      <c r="C951" s="8"/>
      <c r="D951" s="26"/>
      <c r="E951" s="27"/>
      <c r="F951" s="36"/>
      <c r="G951" s="36"/>
      <c r="H951" s="36"/>
      <c r="I951" s="36"/>
      <c r="J951" s="37" t="str">
        <f aca="false">IF($E951="","",IFERROR(G951/F951,""))</f>
        <v/>
      </c>
      <c r="K951" s="30" t="str">
        <f aca="false">IF($E951="","",IFERROR(E951/G951,""))</f>
        <v/>
      </c>
      <c r="L951" s="30" t="str">
        <f aca="false">IF($E951="","",IFERROR(E951/F951*1000,""))</f>
        <v/>
      </c>
      <c r="M951" s="37" t="str">
        <f aca="false">IF($E951="","",IFERROR(H951/G951,""))</f>
        <v/>
      </c>
      <c r="N951" s="30" t="str">
        <f aca="false">IF($E951="","",IFERROR(E951/H951,"—"))</f>
        <v/>
      </c>
      <c r="O951" s="30" t="str">
        <f aca="false">IF($E951="","",IFERROR(INDEX('Гео-калькулятор'!$K$7:$K$13,MATCH($C951,'Гео-калькулятор'!$B$7:$B$13,0)),""))</f>
        <v/>
      </c>
      <c r="P951" s="38" t="str">
        <f aca="false">IF($E951="","",IFERROR(N951/O951,""))</f>
        <v/>
      </c>
      <c r="Q951" s="39" t="str">
        <f aca="false">IF($E951="","",IF($I951&lt;&gt;"",$I951,N($H951)*IFERROR(INDEX('Гео-калькулятор'!$E$7:$E$13,MATCH($C951,'Гео-калькулятор'!$B$7:$B$13,0)),0)))</f>
        <v/>
      </c>
      <c r="R951" s="38" t="str">
        <f aca="false">IF($E951="","",IFERROR(Q951/H951,""))</f>
        <v/>
      </c>
      <c r="S951" s="30" t="str">
        <f aca="false">IF($E951="","",IFERROR(E951/Q951,"—"))</f>
        <v/>
      </c>
      <c r="T951" s="30" t="str">
        <f aca="false">IF($E951="","",Q951*IFERROR(INDEX('Гео-калькулятор'!$D$7:$D$13,MATCH($C951,'Гео-калькулятор'!$B$7:$B$13,0)),0))</f>
        <v/>
      </c>
      <c r="U951" s="40" t="str">
        <f aca="false">IF($E951="","",T951-E951)</f>
        <v/>
      </c>
      <c r="V951" s="41" t="str">
        <f aca="false">IF($E951="","",IFERROR(U951/E951,""))</f>
        <v/>
      </c>
      <c r="W951" s="10" t="str">
        <f aca="false">IF($E951="","",IF($I951&lt;&gt;"","факт","прогноз"))</f>
        <v/>
      </c>
      <c r="X951" s="1"/>
      <c r="Y951" s="1"/>
      <c r="Z951" s="1"/>
      <c r="AA951" s="1"/>
      <c r="AB951" s="1"/>
      <c r="AC951" s="1"/>
      <c r="AD951" s="1"/>
    </row>
    <row r="952" customFormat="false" ht="18" hidden="false" customHeight="true" outlineLevel="0" collapsed="false">
      <c r="A952" s="1"/>
      <c r="B952" s="35"/>
      <c r="C952" s="8"/>
      <c r="D952" s="26"/>
      <c r="E952" s="27"/>
      <c r="F952" s="36"/>
      <c r="G952" s="36"/>
      <c r="H952" s="36"/>
      <c r="I952" s="36"/>
      <c r="J952" s="37" t="str">
        <f aca="false">IF($E952="","",IFERROR(G952/F952,""))</f>
        <v/>
      </c>
      <c r="K952" s="30" t="str">
        <f aca="false">IF($E952="","",IFERROR(E952/G952,""))</f>
        <v/>
      </c>
      <c r="L952" s="30" t="str">
        <f aca="false">IF($E952="","",IFERROR(E952/F952*1000,""))</f>
        <v/>
      </c>
      <c r="M952" s="37" t="str">
        <f aca="false">IF($E952="","",IFERROR(H952/G952,""))</f>
        <v/>
      </c>
      <c r="N952" s="30" t="str">
        <f aca="false">IF($E952="","",IFERROR(E952/H952,"—"))</f>
        <v/>
      </c>
      <c r="O952" s="30" t="str">
        <f aca="false">IF($E952="","",IFERROR(INDEX('Гео-калькулятор'!$K$7:$K$13,MATCH($C952,'Гео-калькулятор'!$B$7:$B$13,0)),""))</f>
        <v/>
      </c>
      <c r="P952" s="38" t="str">
        <f aca="false">IF($E952="","",IFERROR(N952/O952,""))</f>
        <v/>
      </c>
      <c r="Q952" s="39" t="str">
        <f aca="false">IF($E952="","",IF($I952&lt;&gt;"",$I952,N($H952)*IFERROR(INDEX('Гео-калькулятор'!$E$7:$E$13,MATCH($C952,'Гео-калькулятор'!$B$7:$B$13,0)),0)))</f>
        <v/>
      </c>
      <c r="R952" s="38" t="str">
        <f aca="false">IF($E952="","",IFERROR(Q952/H952,""))</f>
        <v/>
      </c>
      <c r="S952" s="30" t="str">
        <f aca="false">IF($E952="","",IFERROR(E952/Q952,"—"))</f>
        <v/>
      </c>
      <c r="T952" s="30" t="str">
        <f aca="false">IF($E952="","",Q952*IFERROR(INDEX('Гео-калькулятор'!$D$7:$D$13,MATCH($C952,'Гео-калькулятор'!$B$7:$B$13,0)),0))</f>
        <v/>
      </c>
      <c r="U952" s="40" t="str">
        <f aca="false">IF($E952="","",T952-E952)</f>
        <v/>
      </c>
      <c r="V952" s="41" t="str">
        <f aca="false">IF($E952="","",IFERROR(U952/E952,""))</f>
        <v/>
      </c>
      <c r="W952" s="10" t="str">
        <f aca="false">IF($E952="","",IF($I952&lt;&gt;"","факт","прогноз"))</f>
        <v/>
      </c>
      <c r="X952" s="1"/>
      <c r="Y952" s="1"/>
      <c r="Z952" s="1"/>
      <c r="AA952" s="1"/>
      <c r="AB952" s="1"/>
      <c r="AC952" s="1"/>
      <c r="AD952" s="1"/>
    </row>
    <row r="953" customFormat="false" ht="18" hidden="false" customHeight="true" outlineLevel="0" collapsed="false">
      <c r="A953" s="1"/>
      <c r="B953" s="35"/>
      <c r="C953" s="8"/>
      <c r="D953" s="26"/>
      <c r="E953" s="27"/>
      <c r="F953" s="36"/>
      <c r="G953" s="36"/>
      <c r="H953" s="36"/>
      <c r="I953" s="36"/>
      <c r="J953" s="37" t="str">
        <f aca="false">IF($E953="","",IFERROR(G953/F953,""))</f>
        <v/>
      </c>
      <c r="K953" s="30" t="str">
        <f aca="false">IF($E953="","",IFERROR(E953/G953,""))</f>
        <v/>
      </c>
      <c r="L953" s="30" t="str">
        <f aca="false">IF($E953="","",IFERROR(E953/F953*1000,""))</f>
        <v/>
      </c>
      <c r="M953" s="37" t="str">
        <f aca="false">IF($E953="","",IFERROR(H953/G953,""))</f>
        <v/>
      </c>
      <c r="N953" s="30" t="str">
        <f aca="false">IF($E953="","",IFERROR(E953/H953,"—"))</f>
        <v/>
      </c>
      <c r="O953" s="30" t="str">
        <f aca="false">IF($E953="","",IFERROR(INDEX('Гео-калькулятор'!$K$7:$K$13,MATCH($C953,'Гео-калькулятор'!$B$7:$B$13,0)),""))</f>
        <v/>
      </c>
      <c r="P953" s="38" t="str">
        <f aca="false">IF($E953="","",IFERROR(N953/O953,""))</f>
        <v/>
      </c>
      <c r="Q953" s="39" t="str">
        <f aca="false">IF($E953="","",IF($I953&lt;&gt;"",$I953,N($H953)*IFERROR(INDEX('Гео-калькулятор'!$E$7:$E$13,MATCH($C953,'Гео-калькулятор'!$B$7:$B$13,0)),0)))</f>
        <v/>
      </c>
      <c r="R953" s="38" t="str">
        <f aca="false">IF($E953="","",IFERROR(Q953/H953,""))</f>
        <v/>
      </c>
      <c r="S953" s="30" t="str">
        <f aca="false">IF($E953="","",IFERROR(E953/Q953,"—"))</f>
        <v/>
      </c>
      <c r="T953" s="30" t="str">
        <f aca="false">IF($E953="","",Q953*IFERROR(INDEX('Гео-калькулятор'!$D$7:$D$13,MATCH($C953,'Гео-калькулятор'!$B$7:$B$13,0)),0))</f>
        <v/>
      </c>
      <c r="U953" s="40" t="str">
        <f aca="false">IF($E953="","",T953-E953)</f>
        <v/>
      </c>
      <c r="V953" s="41" t="str">
        <f aca="false">IF($E953="","",IFERROR(U953/E953,""))</f>
        <v/>
      </c>
      <c r="W953" s="10" t="str">
        <f aca="false">IF($E953="","",IF($I953&lt;&gt;"","факт","прогноз"))</f>
        <v/>
      </c>
      <c r="X953" s="1"/>
      <c r="Y953" s="1"/>
      <c r="Z953" s="1"/>
      <c r="AA953" s="1"/>
      <c r="AB953" s="1"/>
      <c r="AC953" s="1"/>
      <c r="AD953" s="1"/>
    </row>
    <row r="954" customFormat="false" ht="18" hidden="false" customHeight="true" outlineLevel="0" collapsed="false">
      <c r="A954" s="1"/>
      <c r="B954" s="35"/>
      <c r="C954" s="8"/>
      <c r="D954" s="26"/>
      <c r="E954" s="27"/>
      <c r="F954" s="36"/>
      <c r="G954" s="36"/>
      <c r="H954" s="36"/>
      <c r="I954" s="36"/>
      <c r="J954" s="37" t="str">
        <f aca="false">IF($E954="","",IFERROR(G954/F954,""))</f>
        <v/>
      </c>
      <c r="K954" s="30" t="str">
        <f aca="false">IF($E954="","",IFERROR(E954/G954,""))</f>
        <v/>
      </c>
      <c r="L954" s="30" t="str">
        <f aca="false">IF($E954="","",IFERROR(E954/F954*1000,""))</f>
        <v/>
      </c>
      <c r="M954" s="37" t="str">
        <f aca="false">IF($E954="","",IFERROR(H954/G954,""))</f>
        <v/>
      </c>
      <c r="N954" s="30" t="str">
        <f aca="false">IF($E954="","",IFERROR(E954/H954,"—"))</f>
        <v/>
      </c>
      <c r="O954" s="30" t="str">
        <f aca="false">IF($E954="","",IFERROR(INDEX('Гео-калькулятор'!$K$7:$K$13,MATCH($C954,'Гео-калькулятор'!$B$7:$B$13,0)),""))</f>
        <v/>
      </c>
      <c r="P954" s="38" t="str">
        <f aca="false">IF($E954="","",IFERROR(N954/O954,""))</f>
        <v/>
      </c>
      <c r="Q954" s="39" t="str">
        <f aca="false">IF($E954="","",IF($I954&lt;&gt;"",$I954,N($H954)*IFERROR(INDEX('Гео-калькулятор'!$E$7:$E$13,MATCH($C954,'Гео-калькулятор'!$B$7:$B$13,0)),0)))</f>
        <v/>
      </c>
      <c r="R954" s="38" t="str">
        <f aca="false">IF($E954="","",IFERROR(Q954/H954,""))</f>
        <v/>
      </c>
      <c r="S954" s="30" t="str">
        <f aca="false">IF($E954="","",IFERROR(E954/Q954,"—"))</f>
        <v/>
      </c>
      <c r="T954" s="30" t="str">
        <f aca="false">IF($E954="","",Q954*IFERROR(INDEX('Гео-калькулятор'!$D$7:$D$13,MATCH($C954,'Гео-калькулятор'!$B$7:$B$13,0)),0))</f>
        <v/>
      </c>
      <c r="U954" s="40" t="str">
        <f aca="false">IF($E954="","",T954-E954)</f>
        <v/>
      </c>
      <c r="V954" s="41" t="str">
        <f aca="false">IF($E954="","",IFERROR(U954/E954,""))</f>
        <v/>
      </c>
      <c r="W954" s="10" t="str">
        <f aca="false">IF($E954="","",IF($I954&lt;&gt;"","факт","прогноз"))</f>
        <v/>
      </c>
      <c r="X954" s="1"/>
      <c r="Y954" s="1"/>
      <c r="Z954" s="1"/>
      <c r="AA954" s="1"/>
      <c r="AB954" s="1"/>
      <c r="AC954" s="1"/>
      <c r="AD954" s="1"/>
    </row>
    <row r="955" customFormat="false" ht="18" hidden="false" customHeight="true" outlineLevel="0" collapsed="false">
      <c r="A955" s="1"/>
      <c r="B955" s="35"/>
      <c r="C955" s="8"/>
      <c r="D955" s="26"/>
      <c r="E955" s="27"/>
      <c r="F955" s="36"/>
      <c r="G955" s="36"/>
      <c r="H955" s="36"/>
      <c r="I955" s="36"/>
      <c r="J955" s="37" t="str">
        <f aca="false">IF($E955="","",IFERROR(G955/F955,""))</f>
        <v/>
      </c>
      <c r="K955" s="30" t="str">
        <f aca="false">IF($E955="","",IFERROR(E955/G955,""))</f>
        <v/>
      </c>
      <c r="L955" s="30" t="str">
        <f aca="false">IF($E955="","",IFERROR(E955/F955*1000,""))</f>
        <v/>
      </c>
      <c r="M955" s="37" t="str">
        <f aca="false">IF($E955="","",IFERROR(H955/G955,""))</f>
        <v/>
      </c>
      <c r="N955" s="30" t="str">
        <f aca="false">IF($E955="","",IFERROR(E955/H955,"—"))</f>
        <v/>
      </c>
      <c r="O955" s="30" t="str">
        <f aca="false">IF($E955="","",IFERROR(INDEX('Гео-калькулятор'!$K$7:$K$13,MATCH($C955,'Гео-калькулятор'!$B$7:$B$13,0)),""))</f>
        <v/>
      </c>
      <c r="P955" s="38" t="str">
        <f aca="false">IF($E955="","",IFERROR(N955/O955,""))</f>
        <v/>
      </c>
      <c r="Q955" s="39" t="str">
        <f aca="false">IF($E955="","",IF($I955&lt;&gt;"",$I955,N($H955)*IFERROR(INDEX('Гео-калькулятор'!$E$7:$E$13,MATCH($C955,'Гео-калькулятор'!$B$7:$B$13,0)),0)))</f>
        <v/>
      </c>
      <c r="R955" s="38" t="str">
        <f aca="false">IF($E955="","",IFERROR(Q955/H955,""))</f>
        <v/>
      </c>
      <c r="S955" s="30" t="str">
        <f aca="false">IF($E955="","",IFERROR(E955/Q955,"—"))</f>
        <v/>
      </c>
      <c r="T955" s="30" t="str">
        <f aca="false">IF($E955="","",Q955*IFERROR(INDEX('Гео-калькулятор'!$D$7:$D$13,MATCH($C955,'Гео-калькулятор'!$B$7:$B$13,0)),0))</f>
        <v/>
      </c>
      <c r="U955" s="40" t="str">
        <f aca="false">IF($E955="","",T955-E955)</f>
        <v/>
      </c>
      <c r="V955" s="41" t="str">
        <f aca="false">IF($E955="","",IFERROR(U955/E955,""))</f>
        <v/>
      </c>
      <c r="W955" s="10" t="str">
        <f aca="false">IF($E955="","",IF($I955&lt;&gt;"","факт","прогноз"))</f>
        <v/>
      </c>
      <c r="X955" s="1"/>
      <c r="Y955" s="1"/>
      <c r="Z955" s="1"/>
      <c r="AA955" s="1"/>
      <c r="AB955" s="1"/>
      <c r="AC955" s="1"/>
      <c r="AD955" s="1"/>
    </row>
    <row r="956" customFormat="false" ht="18" hidden="false" customHeight="true" outlineLevel="0" collapsed="false">
      <c r="A956" s="1"/>
      <c r="B956" s="35"/>
      <c r="C956" s="8"/>
      <c r="D956" s="26"/>
      <c r="E956" s="27"/>
      <c r="F956" s="36"/>
      <c r="G956" s="36"/>
      <c r="H956" s="36"/>
      <c r="I956" s="36"/>
      <c r="J956" s="37" t="str">
        <f aca="false">IF($E956="","",IFERROR(G956/F956,""))</f>
        <v/>
      </c>
      <c r="K956" s="30" t="str">
        <f aca="false">IF($E956="","",IFERROR(E956/G956,""))</f>
        <v/>
      </c>
      <c r="L956" s="30" t="str">
        <f aca="false">IF($E956="","",IFERROR(E956/F956*1000,""))</f>
        <v/>
      </c>
      <c r="M956" s="37" t="str">
        <f aca="false">IF($E956="","",IFERROR(H956/G956,""))</f>
        <v/>
      </c>
      <c r="N956" s="30" t="str">
        <f aca="false">IF($E956="","",IFERROR(E956/H956,"—"))</f>
        <v/>
      </c>
      <c r="O956" s="30" t="str">
        <f aca="false">IF($E956="","",IFERROR(INDEX('Гео-калькулятор'!$K$7:$K$13,MATCH($C956,'Гео-калькулятор'!$B$7:$B$13,0)),""))</f>
        <v/>
      </c>
      <c r="P956" s="38" t="str">
        <f aca="false">IF($E956="","",IFERROR(N956/O956,""))</f>
        <v/>
      </c>
      <c r="Q956" s="39" t="str">
        <f aca="false">IF($E956="","",IF($I956&lt;&gt;"",$I956,N($H956)*IFERROR(INDEX('Гео-калькулятор'!$E$7:$E$13,MATCH($C956,'Гео-калькулятор'!$B$7:$B$13,0)),0)))</f>
        <v/>
      </c>
      <c r="R956" s="38" t="str">
        <f aca="false">IF($E956="","",IFERROR(Q956/H956,""))</f>
        <v/>
      </c>
      <c r="S956" s="30" t="str">
        <f aca="false">IF($E956="","",IFERROR(E956/Q956,"—"))</f>
        <v/>
      </c>
      <c r="T956" s="30" t="str">
        <f aca="false">IF($E956="","",Q956*IFERROR(INDEX('Гео-калькулятор'!$D$7:$D$13,MATCH($C956,'Гео-калькулятор'!$B$7:$B$13,0)),0))</f>
        <v/>
      </c>
      <c r="U956" s="40" t="str">
        <f aca="false">IF($E956="","",T956-E956)</f>
        <v/>
      </c>
      <c r="V956" s="41" t="str">
        <f aca="false">IF($E956="","",IFERROR(U956/E956,""))</f>
        <v/>
      </c>
      <c r="W956" s="10" t="str">
        <f aca="false">IF($E956="","",IF($I956&lt;&gt;"","факт","прогноз"))</f>
        <v/>
      </c>
      <c r="X956" s="1"/>
      <c r="Y956" s="1"/>
      <c r="Z956" s="1"/>
      <c r="AA956" s="1"/>
      <c r="AB956" s="1"/>
      <c r="AC956" s="1"/>
      <c r="AD956" s="1"/>
    </row>
    <row r="957" customFormat="false" ht="18" hidden="false" customHeight="true" outlineLevel="0" collapsed="false">
      <c r="A957" s="1"/>
      <c r="B957" s="35"/>
      <c r="C957" s="8"/>
      <c r="D957" s="26"/>
      <c r="E957" s="27"/>
      <c r="F957" s="36"/>
      <c r="G957" s="36"/>
      <c r="H957" s="36"/>
      <c r="I957" s="36"/>
      <c r="J957" s="37" t="str">
        <f aca="false">IF($E957="","",IFERROR(G957/F957,""))</f>
        <v/>
      </c>
      <c r="K957" s="30" t="str">
        <f aca="false">IF($E957="","",IFERROR(E957/G957,""))</f>
        <v/>
      </c>
      <c r="L957" s="30" t="str">
        <f aca="false">IF($E957="","",IFERROR(E957/F957*1000,""))</f>
        <v/>
      </c>
      <c r="M957" s="37" t="str">
        <f aca="false">IF($E957="","",IFERROR(H957/G957,""))</f>
        <v/>
      </c>
      <c r="N957" s="30" t="str">
        <f aca="false">IF($E957="","",IFERROR(E957/H957,"—"))</f>
        <v/>
      </c>
      <c r="O957" s="30" t="str">
        <f aca="false">IF($E957="","",IFERROR(INDEX('Гео-калькулятор'!$K$7:$K$13,MATCH($C957,'Гео-калькулятор'!$B$7:$B$13,0)),""))</f>
        <v/>
      </c>
      <c r="P957" s="38" t="str">
        <f aca="false">IF($E957="","",IFERROR(N957/O957,""))</f>
        <v/>
      </c>
      <c r="Q957" s="39" t="str">
        <f aca="false">IF($E957="","",IF($I957&lt;&gt;"",$I957,N($H957)*IFERROR(INDEX('Гео-калькулятор'!$E$7:$E$13,MATCH($C957,'Гео-калькулятор'!$B$7:$B$13,0)),0)))</f>
        <v/>
      </c>
      <c r="R957" s="38" t="str">
        <f aca="false">IF($E957="","",IFERROR(Q957/H957,""))</f>
        <v/>
      </c>
      <c r="S957" s="30" t="str">
        <f aca="false">IF($E957="","",IFERROR(E957/Q957,"—"))</f>
        <v/>
      </c>
      <c r="T957" s="30" t="str">
        <f aca="false">IF($E957="","",Q957*IFERROR(INDEX('Гео-калькулятор'!$D$7:$D$13,MATCH($C957,'Гео-калькулятор'!$B$7:$B$13,0)),0))</f>
        <v/>
      </c>
      <c r="U957" s="40" t="str">
        <f aca="false">IF($E957="","",T957-E957)</f>
        <v/>
      </c>
      <c r="V957" s="41" t="str">
        <f aca="false">IF($E957="","",IFERROR(U957/E957,""))</f>
        <v/>
      </c>
      <c r="W957" s="10" t="str">
        <f aca="false">IF($E957="","",IF($I957&lt;&gt;"","факт","прогноз"))</f>
        <v/>
      </c>
      <c r="X957" s="1"/>
      <c r="Y957" s="1"/>
      <c r="Z957" s="1"/>
      <c r="AA957" s="1"/>
      <c r="AB957" s="1"/>
      <c r="AC957" s="1"/>
      <c r="AD957" s="1"/>
    </row>
    <row r="958" customFormat="false" ht="18" hidden="false" customHeight="true" outlineLevel="0" collapsed="false">
      <c r="A958" s="1"/>
      <c r="B958" s="35"/>
      <c r="C958" s="8"/>
      <c r="D958" s="26"/>
      <c r="E958" s="27"/>
      <c r="F958" s="36"/>
      <c r="G958" s="36"/>
      <c r="H958" s="36"/>
      <c r="I958" s="36"/>
      <c r="J958" s="37" t="str">
        <f aca="false">IF($E958="","",IFERROR(G958/F958,""))</f>
        <v/>
      </c>
      <c r="K958" s="30" t="str">
        <f aca="false">IF($E958="","",IFERROR(E958/G958,""))</f>
        <v/>
      </c>
      <c r="L958" s="30" t="str">
        <f aca="false">IF($E958="","",IFERROR(E958/F958*1000,""))</f>
        <v/>
      </c>
      <c r="M958" s="37" t="str">
        <f aca="false">IF($E958="","",IFERROR(H958/G958,""))</f>
        <v/>
      </c>
      <c r="N958" s="30" t="str">
        <f aca="false">IF($E958="","",IFERROR(E958/H958,"—"))</f>
        <v/>
      </c>
      <c r="O958" s="30" t="str">
        <f aca="false">IF($E958="","",IFERROR(INDEX('Гео-калькулятор'!$K$7:$K$13,MATCH($C958,'Гео-калькулятор'!$B$7:$B$13,0)),""))</f>
        <v/>
      </c>
      <c r="P958" s="38" t="str">
        <f aca="false">IF($E958="","",IFERROR(N958/O958,""))</f>
        <v/>
      </c>
      <c r="Q958" s="39" t="str">
        <f aca="false">IF($E958="","",IF($I958&lt;&gt;"",$I958,N($H958)*IFERROR(INDEX('Гео-калькулятор'!$E$7:$E$13,MATCH($C958,'Гео-калькулятор'!$B$7:$B$13,0)),0)))</f>
        <v/>
      </c>
      <c r="R958" s="38" t="str">
        <f aca="false">IF($E958="","",IFERROR(Q958/H958,""))</f>
        <v/>
      </c>
      <c r="S958" s="30" t="str">
        <f aca="false">IF($E958="","",IFERROR(E958/Q958,"—"))</f>
        <v/>
      </c>
      <c r="T958" s="30" t="str">
        <f aca="false">IF($E958="","",Q958*IFERROR(INDEX('Гео-калькулятор'!$D$7:$D$13,MATCH($C958,'Гео-калькулятор'!$B$7:$B$13,0)),0))</f>
        <v/>
      </c>
      <c r="U958" s="40" t="str">
        <f aca="false">IF($E958="","",T958-E958)</f>
        <v/>
      </c>
      <c r="V958" s="41" t="str">
        <f aca="false">IF($E958="","",IFERROR(U958/E958,""))</f>
        <v/>
      </c>
      <c r="W958" s="10" t="str">
        <f aca="false">IF($E958="","",IF($I958&lt;&gt;"","факт","прогноз"))</f>
        <v/>
      </c>
      <c r="X958" s="1"/>
      <c r="Y958" s="1"/>
      <c r="Z958" s="1"/>
      <c r="AA958" s="1"/>
      <c r="AB958" s="1"/>
      <c r="AC958" s="1"/>
      <c r="AD958" s="1"/>
    </row>
    <row r="959" customFormat="false" ht="18" hidden="false" customHeight="true" outlineLevel="0" collapsed="false">
      <c r="A959" s="1"/>
      <c r="B959" s="35"/>
      <c r="C959" s="8"/>
      <c r="D959" s="26"/>
      <c r="E959" s="27"/>
      <c r="F959" s="36"/>
      <c r="G959" s="36"/>
      <c r="H959" s="36"/>
      <c r="I959" s="36"/>
      <c r="J959" s="37" t="str">
        <f aca="false">IF($E959="","",IFERROR(G959/F959,""))</f>
        <v/>
      </c>
      <c r="K959" s="30" t="str">
        <f aca="false">IF($E959="","",IFERROR(E959/G959,""))</f>
        <v/>
      </c>
      <c r="L959" s="30" t="str">
        <f aca="false">IF($E959="","",IFERROR(E959/F959*1000,""))</f>
        <v/>
      </c>
      <c r="M959" s="37" t="str">
        <f aca="false">IF($E959="","",IFERROR(H959/G959,""))</f>
        <v/>
      </c>
      <c r="N959" s="30" t="str">
        <f aca="false">IF($E959="","",IFERROR(E959/H959,"—"))</f>
        <v/>
      </c>
      <c r="O959" s="30" t="str">
        <f aca="false">IF($E959="","",IFERROR(INDEX('Гео-калькулятор'!$K$7:$K$13,MATCH($C959,'Гео-калькулятор'!$B$7:$B$13,0)),""))</f>
        <v/>
      </c>
      <c r="P959" s="38" t="str">
        <f aca="false">IF($E959="","",IFERROR(N959/O959,""))</f>
        <v/>
      </c>
      <c r="Q959" s="39" t="str">
        <f aca="false">IF($E959="","",IF($I959&lt;&gt;"",$I959,N($H959)*IFERROR(INDEX('Гео-калькулятор'!$E$7:$E$13,MATCH($C959,'Гео-калькулятор'!$B$7:$B$13,0)),0)))</f>
        <v/>
      </c>
      <c r="R959" s="38" t="str">
        <f aca="false">IF($E959="","",IFERROR(Q959/H959,""))</f>
        <v/>
      </c>
      <c r="S959" s="30" t="str">
        <f aca="false">IF($E959="","",IFERROR(E959/Q959,"—"))</f>
        <v/>
      </c>
      <c r="T959" s="30" t="str">
        <f aca="false">IF($E959="","",Q959*IFERROR(INDEX('Гео-калькулятор'!$D$7:$D$13,MATCH($C959,'Гео-калькулятор'!$B$7:$B$13,0)),0))</f>
        <v/>
      </c>
      <c r="U959" s="40" t="str">
        <f aca="false">IF($E959="","",T959-E959)</f>
        <v/>
      </c>
      <c r="V959" s="41" t="str">
        <f aca="false">IF($E959="","",IFERROR(U959/E959,""))</f>
        <v/>
      </c>
      <c r="W959" s="10" t="str">
        <f aca="false">IF($E959="","",IF($I959&lt;&gt;"","факт","прогноз"))</f>
        <v/>
      </c>
      <c r="X959" s="1"/>
      <c r="Y959" s="1"/>
      <c r="Z959" s="1"/>
      <c r="AA959" s="1"/>
      <c r="AB959" s="1"/>
      <c r="AC959" s="1"/>
      <c r="AD959" s="1"/>
    </row>
    <row r="960" customFormat="false" ht="18" hidden="false" customHeight="true" outlineLevel="0" collapsed="false">
      <c r="A960" s="1"/>
      <c r="B960" s="35"/>
      <c r="C960" s="8"/>
      <c r="D960" s="26"/>
      <c r="E960" s="27"/>
      <c r="F960" s="36"/>
      <c r="G960" s="36"/>
      <c r="H960" s="36"/>
      <c r="I960" s="36"/>
      <c r="J960" s="37" t="str">
        <f aca="false">IF($E960="","",IFERROR(G960/F960,""))</f>
        <v/>
      </c>
      <c r="K960" s="30" t="str">
        <f aca="false">IF($E960="","",IFERROR(E960/G960,""))</f>
        <v/>
      </c>
      <c r="L960" s="30" t="str">
        <f aca="false">IF($E960="","",IFERROR(E960/F960*1000,""))</f>
        <v/>
      </c>
      <c r="M960" s="37" t="str">
        <f aca="false">IF($E960="","",IFERROR(H960/G960,""))</f>
        <v/>
      </c>
      <c r="N960" s="30" t="str">
        <f aca="false">IF($E960="","",IFERROR(E960/H960,"—"))</f>
        <v/>
      </c>
      <c r="O960" s="30" t="str">
        <f aca="false">IF($E960="","",IFERROR(INDEX('Гео-калькулятор'!$K$7:$K$13,MATCH($C960,'Гео-калькулятор'!$B$7:$B$13,0)),""))</f>
        <v/>
      </c>
      <c r="P960" s="38" t="str">
        <f aca="false">IF($E960="","",IFERROR(N960/O960,""))</f>
        <v/>
      </c>
      <c r="Q960" s="39" t="str">
        <f aca="false">IF($E960="","",IF($I960&lt;&gt;"",$I960,N($H960)*IFERROR(INDEX('Гео-калькулятор'!$E$7:$E$13,MATCH($C960,'Гео-калькулятор'!$B$7:$B$13,0)),0)))</f>
        <v/>
      </c>
      <c r="R960" s="38" t="str">
        <f aca="false">IF($E960="","",IFERROR(Q960/H960,""))</f>
        <v/>
      </c>
      <c r="S960" s="30" t="str">
        <f aca="false">IF($E960="","",IFERROR(E960/Q960,"—"))</f>
        <v/>
      </c>
      <c r="T960" s="30" t="str">
        <f aca="false">IF($E960="","",Q960*IFERROR(INDEX('Гео-калькулятор'!$D$7:$D$13,MATCH($C960,'Гео-калькулятор'!$B$7:$B$13,0)),0))</f>
        <v/>
      </c>
      <c r="U960" s="40" t="str">
        <f aca="false">IF($E960="","",T960-E960)</f>
        <v/>
      </c>
      <c r="V960" s="41" t="str">
        <f aca="false">IF($E960="","",IFERROR(U960/E960,""))</f>
        <v/>
      </c>
      <c r="W960" s="10" t="str">
        <f aca="false">IF($E960="","",IF($I960&lt;&gt;"","факт","прогноз"))</f>
        <v/>
      </c>
      <c r="X960" s="1"/>
      <c r="Y960" s="1"/>
      <c r="Z960" s="1"/>
      <c r="AA960" s="1"/>
      <c r="AB960" s="1"/>
      <c r="AC960" s="1"/>
      <c r="AD960" s="1"/>
    </row>
    <row r="961" customFormat="false" ht="18" hidden="false" customHeight="true" outlineLevel="0" collapsed="false">
      <c r="A961" s="1"/>
      <c r="B961" s="35"/>
      <c r="C961" s="8"/>
      <c r="D961" s="26"/>
      <c r="E961" s="27"/>
      <c r="F961" s="36"/>
      <c r="G961" s="36"/>
      <c r="H961" s="36"/>
      <c r="I961" s="36"/>
      <c r="J961" s="37" t="str">
        <f aca="false">IF($E961="","",IFERROR(G961/F961,""))</f>
        <v/>
      </c>
      <c r="K961" s="30" t="str">
        <f aca="false">IF($E961="","",IFERROR(E961/G961,""))</f>
        <v/>
      </c>
      <c r="L961" s="30" t="str">
        <f aca="false">IF($E961="","",IFERROR(E961/F961*1000,""))</f>
        <v/>
      </c>
      <c r="M961" s="37" t="str">
        <f aca="false">IF($E961="","",IFERROR(H961/G961,""))</f>
        <v/>
      </c>
      <c r="N961" s="30" t="str">
        <f aca="false">IF($E961="","",IFERROR(E961/H961,"—"))</f>
        <v/>
      </c>
      <c r="O961" s="30" t="str">
        <f aca="false">IF($E961="","",IFERROR(INDEX('Гео-калькулятор'!$K$7:$K$13,MATCH($C961,'Гео-калькулятор'!$B$7:$B$13,0)),""))</f>
        <v/>
      </c>
      <c r="P961" s="38" t="str">
        <f aca="false">IF($E961="","",IFERROR(N961/O961,""))</f>
        <v/>
      </c>
      <c r="Q961" s="39" t="str">
        <f aca="false">IF($E961="","",IF($I961&lt;&gt;"",$I961,N($H961)*IFERROR(INDEX('Гео-калькулятор'!$E$7:$E$13,MATCH($C961,'Гео-калькулятор'!$B$7:$B$13,0)),0)))</f>
        <v/>
      </c>
      <c r="R961" s="38" t="str">
        <f aca="false">IF($E961="","",IFERROR(Q961/H961,""))</f>
        <v/>
      </c>
      <c r="S961" s="30" t="str">
        <f aca="false">IF($E961="","",IFERROR(E961/Q961,"—"))</f>
        <v/>
      </c>
      <c r="T961" s="30" t="str">
        <f aca="false">IF($E961="","",Q961*IFERROR(INDEX('Гео-калькулятор'!$D$7:$D$13,MATCH($C961,'Гео-калькулятор'!$B$7:$B$13,0)),0))</f>
        <v/>
      </c>
      <c r="U961" s="40" t="str">
        <f aca="false">IF($E961="","",T961-E961)</f>
        <v/>
      </c>
      <c r="V961" s="41" t="str">
        <f aca="false">IF($E961="","",IFERROR(U961/E961,""))</f>
        <v/>
      </c>
      <c r="W961" s="10" t="str">
        <f aca="false">IF($E961="","",IF($I961&lt;&gt;"","факт","прогноз"))</f>
        <v/>
      </c>
      <c r="X961" s="1"/>
      <c r="Y961" s="1"/>
      <c r="Z961" s="1"/>
      <c r="AA961" s="1"/>
      <c r="AB961" s="1"/>
      <c r="AC961" s="1"/>
      <c r="AD961" s="1"/>
    </row>
    <row r="962" customFormat="false" ht="18" hidden="false" customHeight="true" outlineLevel="0" collapsed="false">
      <c r="A962" s="1"/>
      <c r="B962" s="35"/>
      <c r="C962" s="8"/>
      <c r="D962" s="26"/>
      <c r="E962" s="27"/>
      <c r="F962" s="36"/>
      <c r="G962" s="36"/>
      <c r="H962" s="36"/>
      <c r="I962" s="36"/>
      <c r="J962" s="37" t="str">
        <f aca="false">IF($E962="","",IFERROR(G962/F962,""))</f>
        <v/>
      </c>
      <c r="K962" s="30" t="str">
        <f aca="false">IF($E962="","",IFERROR(E962/G962,""))</f>
        <v/>
      </c>
      <c r="L962" s="30" t="str">
        <f aca="false">IF($E962="","",IFERROR(E962/F962*1000,""))</f>
        <v/>
      </c>
      <c r="M962" s="37" t="str">
        <f aca="false">IF($E962="","",IFERROR(H962/G962,""))</f>
        <v/>
      </c>
      <c r="N962" s="30" t="str">
        <f aca="false">IF($E962="","",IFERROR(E962/H962,"—"))</f>
        <v/>
      </c>
      <c r="O962" s="30" t="str">
        <f aca="false">IF($E962="","",IFERROR(INDEX('Гео-калькулятор'!$K$7:$K$13,MATCH($C962,'Гео-калькулятор'!$B$7:$B$13,0)),""))</f>
        <v/>
      </c>
      <c r="P962" s="38" t="str">
        <f aca="false">IF($E962="","",IFERROR(N962/O962,""))</f>
        <v/>
      </c>
      <c r="Q962" s="39" t="str">
        <f aca="false">IF($E962="","",IF($I962&lt;&gt;"",$I962,N($H962)*IFERROR(INDEX('Гео-калькулятор'!$E$7:$E$13,MATCH($C962,'Гео-калькулятор'!$B$7:$B$13,0)),0)))</f>
        <v/>
      </c>
      <c r="R962" s="38" t="str">
        <f aca="false">IF($E962="","",IFERROR(Q962/H962,""))</f>
        <v/>
      </c>
      <c r="S962" s="30" t="str">
        <f aca="false">IF($E962="","",IFERROR(E962/Q962,"—"))</f>
        <v/>
      </c>
      <c r="T962" s="30" t="str">
        <f aca="false">IF($E962="","",Q962*IFERROR(INDEX('Гео-калькулятор'!$D$7:$D$13,MATCH($C962,'Гео-калькулятор'!$B$7:$B$13,0)),0))</f>
        <v/>
      </c>
      <c r="U962" s="40" t="str">
        <f aca="false">IF($E962="","",T962-E962)</f>
        <v/>
      </c>
      <c r="V962" s="41" t="str">
        <f aca="false">IF($E962="","",IFERROR(U962/E962,""))</f>
        <v/>
      </c>
      <c r="W962" s="10" t="str">
        <f aca="false">IF($E962="","",IF($I962&lt;&gt;"","факт","прогноз"))</f>
        <v/>
      </c>
      <c r="X962" s="1"/>
      <c r="Y962" s="1"/>
      <c r="Z962" s="1"/>
      <c r="AA962" s="1"/>
      <c r="AB962" s="1"/>
      <c r="AC962" s="1"/>
      <c r="AD962" s="1"/>
    </row>
    <row r="963" customFormat="false" ht="18" hidden="false" customHeight="true" outlineLevel="0" collapsed="false">
      <c r="A963" s="1"/>
      <c r="B963" s="35"/>
      <c r="C963" s="8"/>
      <c r="D963" s="26"/>
      <c r="E963" s="27"/>
      <c r="F963" s="36"/>
      <c r="G963" s="36"/>
      <c r="H963" s="36"/>
      <c r="I963" s="36"/>
      <c r="J963" s="37" t="str">
        <f aca="false">IF($E963="","",IFERROR(G963/F963,""))</f>
        <v/>
      </c>
      <c r="K963" s="30" t="str">
        <f aca="false">IF($E963="","",IFERROR(E963/G963,""))</f>
        <v/>
      </c>
      <c r="L963" s="30" t="str">
        <f aca="false">IF($E963="","",IFERROR(E963/F963*1000,""))</f>
        <v/>
      </c>
      <c r="M963" s="37" t="str">
        <f aca="false">IF($E963="","",IFERROR(H963/G963,""))</f>
        <v/>
      </c>
      <c r="N963" s="30" t="str">
        <f aca="false">IF($E963="","",IFERROR(E963/H963,"—"))</f>
        <v/>
      </c>
      <c r="O963" s="30" t="str">
        <f aca="false">IF($E963="","",IFERROR(INDEX('Гео-калькулятор'!$K$7:$K$13,MATCH($C963,'Гео-калькулятор'!$B$7:$B$13,0)),""))</f>
        <v/>
      </c>
      <c r="P963" s="38" t="str">
        <f aca="false">IF($E963="","",IFERROR(N963/O963,""))</f>
        <v/>
      </c>
      <c r="Q963" s="39" t="str">
        <f aca="false">IF($E963="","",IF($I963&lt;&gt;"",$I963,N($H963)*IFERROR(INDEX('Гео-калькулятор'!$E$7:$E$13,MATCH($C963,'Гео-калькулятор'!$B$7:$B$13,0)),0)))</f>
        <v/>
      </c>
      <c r="R963" s="38" t="str">
        <f aca="false">IF($E963="","",IFERROR(Q963/H963,""))</f>
        <v/>
      </c>
      <c r="S963" s="30" t="str">
        <f aca="false">IF($E963="","",IFERROR(E963/Q963,"—"))</f>
        <v/>
      </c>
      <c r="T963" s="30" t="str">
        <f aca="false">IF($E963="","",Q963*IFERROR(INDEX('Гео-калькулятор'!$D$7:$D$13,MATCH($C963,'Гео-калькулятор'!$B$7:$B$13,0)),0))</f>
        <v/>
      </c>
      <c r="U963" s="40" t="str">
        <f aca="false">IF($E963="","",T963-E963)</f>
        <v/>
      </c>
      <c r="V963" s="41" t="str">
        <f aca="false">IF($E963="","",IFERROR(U963/E963,""))</f>
        <v/>
      </c>
      <c r="W963" s="10" t="str">
        <f aca="false">IF($E963="","",IF($I963&lt;&gt;"","факт","прогноз"))</f>
        <v/>
      </c>
      <c r="X963" s="1"/>
      <c r="Y963" s="1"/>
      <c r="Z963" s="1"/>
      <c r="AA963" s="1"/>
      <c r="AB963" s="1"/>
      <c r="AC963" s="1"/>
      <c r="AD963" s="1"/>
    </row>
    <row r="964" customFormat="false" ht="18" hidden="false" customHeight="true" outlineLevel="0" collapsed="false">
      <c r="A964" s="1"/>
      <c r="B964" s="35"/>
      <c r="C964" s="8"/>
      <c r="D964" s="26"/>
      <c r="E964" s="27"/>
      <c r="F964" s="36"/>
      <c r="G964" s="36"/>
      <c r="H964" s="36"/>
      <c r="I964" s="36"/>
      <c r="J964" s="37" t="str">
        <f aca="false">IF($E964="","",IFERROR(G964/F964,""))</f>
        <v/>
      </c>
      <c r="K964" s="30" t="str">
        <f aca="false">IF($E964="","",IFERROR(E964/G964,""))</f>
        <v/>
      </c>
      <c r="L964" s="30" t="str">
        <f aca="false">IF($E964="","",IFERROR(E964/F964*1000,""))</f>
        <v/>
      </c>
      <c r="M964" s="37" t="str">
        <f aca="false">IF($E964="","",IFERROR(H964/G964,""))</f>
        <v/>
      </c>
      <c r="N964" s="30" t="str">
        <f aca="false">IF($E964="","",IFERROR(E964/H964,"—"))</f>
        <v/>
      </c>
      <c r="O964" s="30" t="str">
        <f aca="false">IF($E964="","",IFERROR(INDEX('Гео-калькулятор'!$K$7:$K$13,MATCH($C964,'Гео-калькулятор'!$B$7:$B$13,0)),""))</f>
        <v/>
      </c>
      <c r="P964" s="38" t="str">
        <f aca="false">IF($E964="","",IFERROR(N964/O964,""))</f>
        <v/>
      </c>
      <c r="Q964" s="39" t="str">
        <f aca="false">IF($E964="","",IF($I964&lt;&gt;"",$I964,N($H964)*IFERROR(INDEX('Гео-калькулятор'!$E$7:$E$13,MATCH($C964,'Гео-калькулятор'!$B$7:$B$13,0)),0)))</f>
        <v/>
      </c>
      <c r="R964" s="38" t="str">
        <f aca="false">IF($E964="","",IFERROR(Q964/H964,""))</f>
        <v/>
      </c>
      <c r="S964" s="30" t="str">
        <f aca="false">IF($E964="","",IFERROR(E964/Q964,"—"))</f>
        <v/>
      </c>
      <c r="T964" s="30" t="str">
        <f aca="false">IF($E964="","",Q964*IFERROR(INDEX('Гео-калькулятор'!$D$7:$D$13,MATCH($C964,'Гео-калькулятор'!$B$7:$B$13,0)),0))</f>
        <v/>
      </c>
      <c r="U964" s="40" t="str">
        <f aca="false">IF($E964="","",T964-E964)</f>
        <v/>
      </c>
      <c r="V964" s="41" t="str">
        <f aca="false">IF($E964="","",IFERROR(U964/E964,""))</f>
        <v/>
      </c>
      <c r="W964" s="10" t="str">
        <f aca="false">IF($E964="","",IF($I964&lt;&gt;"","факт","прогноз"))</f>
        <v/>
      </c>
      <c r="X964" s="1"/>
      <c r="Y964" s="1"/>
      <c r="Z964" s="1"/>
      <c r="AA964" s="1"/>
      <c r="AB964" s="1"/>
      <c r="AC964" s="1"/>
      <c r="AD964" s="1"/>
    </row>
    <row r="965" customFormat="false" ht="18" hidden="false" customHeight="true" outlineLevel="0" collapsed="false">
      <c r="A965" s="1"/>
      <c r="B965" s="35"/>
      <c r="C965" s="8"/>
      <c r="D965" s="26"/>
      <c r="E965" s="27"/>
      <c r="F965" s="36"/>
      <c r="G965" s="36"/>
      <c r="H965" s="36"/>
      <c r="I965" s="36"/>
      <c r="J965" s="37" t="str">
        <f aca="false">IF($E965="","",IFERROR(G965/F965,""))</f>
        <v/>
      </c>
      <c r="K965" s="30" t="str">
        <f aca="false">IF($E965="","",IFERROR(E965/G965,""))</f>
        <v/>
      </c>
      <c r="L965" s="30" t="str">
        <f aca="false">IF($E965="","",IFERROR(E965/F965*1000,""))</f>
        <v/>
      </c>
      <c r="M965" s="37" t="str">
        <f aca="false">IF($E965="","",IFERROR(H965/G965,""))</f>
        <v/>
      </c>
      <c r="N965" s="30" t="str">
        <f aca="false">IF($E965="","",IFERROR(E965/H965,"—"))</f>
        <v/>
      </c>
      <c r="O965" s="30" t="str">
        <f aca="false">IF($E965="","",IFERROR(INDEX('Гео-калькулятор'!$K$7:$K$13,MATCH($C965,'Гео-калькулятор'!$B$7:$B$13,0)),""))</f>
        <v/>
      </c>
      <c r="P965" s="38" t="str">
        <f aca="false">IF($E965="","",IFERROR(N965/O965,""))</f>
        <v/>
      </c>
      <c r="Q965" s="39" t="str">
        <f aca="false">IF($E965="","",IF($I965&lt;&gt;"",$I965,N($H965)*IFERROR(INDEX('Гео-калькулятор'!$E$7:$E$13,MATCH($C965,'Гео-калькулятор'!$B$7:$B$13,0)),0)))</f>
        <v/>
      </c>
      <c r="R965" s="38" t="str">
        <f aca="false">IF($E965="","",IFERROR(Q965/H965,""))</f>
        <v/>
      </c>
      <c r="S965" s="30" t="str">
        <f aca="false">IF($E965="","",IFERROR(E965/Q965,"—"))</f>
        <v/>
      </c>
      <c r="T965" s="30" t="str">
        <f aca="false">IF($E965="","",Q965*IFERROR(INDEX('Гео-калькулятор'!$D$7:$D$13,MATCH($C965,'Гео-калькулятор'!$B$7:$B$13,0)),0))</f>
        <v/>
      </c>
      <c r="U965" s="40" t="str">
        <f aca="false">IF($E965="","",T965-E965)</f>
        <v/>
      </c>
      <c r="V965" s="41" t="str">
        <f aca="false">IF($E965="","",IFERROR(U965/E965,""))</f>
        <v/>
      </c>
      <c r="W965" s="10" t="str">
        <f aca="false">IF($E965="","",IF($I965&lt;&gt;"","факт","прогноз"))</f>
        <v/>
      </c>
      <c r="X965" s="1"/>
      <c r="Y965" s="1"/>
      <c r="Z965" s="1"/>
      <c r="AA965" s="1"/>
      <c r="AB965" s="1"/>
      <c r="AC965" s="1"/>
      <c r="AD965" s="1"/>
    </row>
    <row r="966" customFormat="false" ht="18" hidden="false" customHeight="true" outlineLevel="0" collapsed="false">
      <c r="A966" s="1"/>
      <c r="B966" s="35"/>
      <c r="C966" s="8"/>
      <c r="D966" s="26"/>
      <c r="E966" s="27"/>
      <c r="F966" s="36"/>
      <c r="G966" s="36"/>
      <c r="H966" s="36"/>
      <c r="I966" s="36"/>
      <c r="J966" s="37" t="str">
        <f aca="false">IF($E966="","",IFERROR(G966/F966,""))</f>
        <v/>
      </c>
      <c r="K966" s="30" t="str">
        <f aca="false">IF($E966="","",IFERROR(E966/G966,""))</f>
        <v/>
      </c>
      <c r="L966" s="30" t="str">
        <f aca="false">IF($E966="","",IFERROR(E966/F966*1000,""))</f>
        <v/>
      </c>
      <c r="M966" s="37" t="str">
        <f aca="false">IF($E966="","",IFERROR(H966/G966,""))</f>
        <v/>
      </c>
      <c r="N966" s="30" t="str">
        <f aca="false">IF($E966="","",IFERROR(E966/H966,"—"))</f>
        <v/>
      </c>
      <c r="O966" s="30" t="str">
        <f aca="false">IF($E966="","",IFERROR(INDEX('Гео-калькулятор'!$K$7:$K$13,MATCH($C966,'Гео-калькулятор'!$B$7:$B$13,0)),""))</f>
        <v/>
      </c>
      <c r="P966" s="38" t="str">
        <f aca="false">IF($E966="","",IFERROR(N966/O966,""))</f>
        <v/>
      </c>
      <c r="Q966" s="39" t="str">
        <f aca="false">IF($E966="","",IF($I966&lt;&gt;"",$I966,N($H966)*IFERROR(INDEX('Гео-калькулятор'!$E$7:$E$13,MATCH($C966,'Гео-калькулятор'!$B$7:$B$13,0)),0)))</f>
        <v/>
      </c>
      <c r="R966" s="38" t="str">
        <f aca="false">IF($E966="","",IFERROR(Q966/H966,""))</f>
        <v/>
      </c>
      <c r="S966" s="30" t="str">
        <f aca="false">IF($E966="","",IFERROR(E966/Q966,"—"))</f>
        <v/>
      </c>
      <c r="T966" s="30" t="str">
        <f aca="false">IF($E966="","",Q966*IFERROR(INDEX('Гео-калькулятор'!$D$7:$D$13,MATCH($C966,'Гео-калькулятор'!$B$7:$B$13,0)),0))</f>
        <v/>
      </c>
      <c r="U966" s="40" t="str">
        <f aca="false">IF($E966="","",T966-E966)</f>
        <v/>
      </c>
      <c r="V966" s="41" t="str">
        <f aca="false">IF($E966="","",IFERROR(U966/E966,""))</f>
        <v/>
      </c>
      <c r="W966" s="10" t="str">
        <f aca="false">IF($E966="","",IF($I966&lt;&gt;"","факт","прогноз"))</f>
        <v/>
      </c>
      <c r="X966" s="1"/>
      <c r="Y966" s="1"/>
      <c r="Z966" s="1"/>
      <c r="AA966" s="1"/>
      <c r="AB966" s="1"/>
      <c r="AC966" s="1"/>
      <c r="AD966" s="1"/>
    </row>
    <row r="967" customFormat="false" ht="18" hidden="false" customHeight="true" outlineLevel="0" collapsed="false">
      <c r="A967" s="1"/>
      <c r="B967" s="35"/>
      <c r="C967" s="8"/>
      <c r="D967" s="26"/>
      <c r="E967" s="27"/>
      <c r="F967" s="36"/>
      <c r="G967" s="36"/>
      <c r="H967" s="36"/>
      <c r="I967" s="36"/>
      <c r="J967" s="37" t="str">
        <f aca="false">IF($E967="","",IFERROR(G967/F967,""))</f>
        <v/>
      </c>
      <c r="K967" s="30" t="str">
        <f aca="false">IF($E967="","",IFERROR(E967/G967,""))</f>
        <v/>
      </c>
      <c r="L967" s="30" t="str">
        <f aca="false">IF($E967="","",IFERROR(E967/F967*1000,""))</f>
        <v/>
      </c>
      <c r="M967" s="37" t="str">
        <f aca="false">IF($E967="","",IFERROR(H967/G967,""))</f>
        <v/>
      </c>
      <c r="N967" s="30" t="str">
        <f aca="false">IF($E967="","",IFERROR(E967/H967,"—"))</f>
        <v/>
      </c>
      <c r="O967" s="30" t="str">
        <f aca="false">IF($E967="","",IFERROR(INDEX('Гео-калькулятор'!$K$7:$K$13,MATCH($C967,'Гео-калькулятор'!$B$7:$B$13,0)),""))</f>
        <v/>
      </c>
      <c r="P967" s="38" t="str">
        <f aca="false">IF($E967="","",IFERROR(N967/O967,""))</f>
        <v/>
      </c>
      <c r="Q967" s="39" t="str">
        <f aca="false">IF($E967="","",IF($I967&lt;&gt;"",$I967,N($H967)*IFERROR(INDEX('Гео-калькулятор'!$E$7:$E$13,MATCH($C967,'Гео-калькулятор'!$B$7:$B$13,0)),0)))</f>
        <v/>
      </c>
      <c r="R967" s="38" t="str">
        <f aca="false">IF($E967="","",IFERROR(Q967/H967,""))</f>
        <v/>
      </c>
      <c r="S967" s="30" t="str">
        <f aca="false">IF($E967="","",IFERROR(E967/Q967,"—"))</f>
        <v/>
      </c>
      <c r="T967" s="30" t="str">
        <f aca="false">IF($E967="","",Q967*IFERROR(INDEX('Гео-калькулятор'!$D$7:$D$13,MATCH($C967,'Гео-калькулятор'!$B$7:$B$13,0)),0))</f>
        <v/>
      </c>
      <c r="U967" s="40" t="str">
        <f aca="false">IF($E967="","",T967-E967)</f>
        <v/>
      </c>
      <c r="V967" s="41" t="str">
        <f aca="false">IF($E967="","",IFERROR(U967/E967,""))</f>
        <v/>
      </c>
      <c r="W967" s="10" t="str">
        <f aca="false">IF($E967="","",IF($I967&lt;&gt;"","факт","прогноз"))</f>
        <v/>
      </c>
      <c r="X967" s="1"/>
      <c r="Y967" s="1"/>
      <c r="Z967" s="1"/>
      <c r="AA967" s="1"/>
      <c r="AB967" s="1"/>
      <c r="AC967" s="1"/>
      <c r="AD967" s="1"/>
    </row>
    <row r="968" customFormat="false" ht="18" hidden="false" customHeight="true" outlineLevel="0" collapsed="false">
      <c r="A968" s="1"/>
      <c r="B968" s="35"/>
      <c r="C968" s="8"/>
      <c r="D968" s="26"/>
      <c r="E968" s="27"/>
      <c r="F968" s="36"/>
      <c r="G968" s="36"/>
      <c r="H968" s="36"/>
      <c r="I968" s="36"/>
      <c r="J968" s="37" t="str">
        <f aca="false">IF($E968="","",IFERROR(G968/F968,""))</f>
        <v/>
      </c>
      <c r="K968" s="30" t="str">
        <f aca="false">IF($E968="","",IFERROR(E968/G968,""))</f>
        <v/>
      </c>
      <c r="L968" s="30" t="str">
        <f aca="false">IF($E968="","",IFERROR(E968/F968*1000,""))</f>
        <v/>
      </c>
      <c r="M968" s="37" t="str">
        <f aca="false">IF($E968="","",IFERROR(H968/G968,""))</f>
        <v/>
      </c>
      <c r="N968" s="30" t="str">
        <f aca="false">IF($E968="","",IFERROR(E968/H968,"—"))</f>
        <v/>
      </c>
      <c r="O968" s="30" t="str">
        <f aca="false">IF($E968="","",IFERROR(INDEX('Гео-калькулятор'!$K$7:$K$13,MATCH($C968,'Гео-калькулятор'!$B$7:$B$13,0)),""))</f>
        <v/>
      </c>
      <c r="P968" s="38" t="str">
        <f aca="false">IF($E968="","",IFERROR(N968/O968,""))</f>
        <v/>
      </c>
      <c r="Q968" s="39" t="str">
        <f aca="false">IF($E968="","",IF($I968&lt;&gt;"",$I968,N($H968)*IFERROR(INDEX('Гео-калькулятор'!$E$7:$E$13,MATCH($C968,'Гео-калькулятор'!$B$7:$B$13,0)),0)))</f>
        <v/>
      </c>
      <c r="R968" s="38" t="str">
        <f aca="false">IF($E968="","",IFERROR(Q968/H968,""))</f>
        <v/>
      </c>
      <c r="S968" s="30" t="str">
        <f aca="false">IF($E968="","",IFERROR(E968/Q968,"—"))</f>
        <v/>
      </c>
      <c r="T968" s="30" t="str">
        <f aca="false">IF($E968="","",Q968*IFERROR(INDEX('Гео-калькулятор'!$D$7:$D$13,MATCH($C968,'Гео-калькулятор'!$B$7:$B$13,0)),0))</f>
        <v/>
      </c>
      <c r="U968" s="40" t="str">
        <f aca="false">IF($E968="","",T968-E968)</f>
        <v/>
      </c>
      <c r="V968" s="41" t="str">
        <f aca="false">IF($E968="","",IFERROR(U968/E968,""))</f>
        <v/>
      </c>
      <c r="W968" s="10" t="str">
        <f aca="false">IF($E968="","",IF($I968&lt;&gt;"","факт","прогноз"))</f>
        <v/>
      </c>
      <c r="X968" s="1"/>
      <c r="Y968" s="1"/>
      <c r="Z968" s="1"/>
      <c r="AA968" s="1"/>
      <c r="AB968" s="1"/>
      <c r="AC968" s="1"/>
      <c r="AD968" s="1"/>
    </row>
    <row r="969" customFormat="false" ht="18" hidden="false" customHeight="true" outlineLevel="0" collapsed="false">
      <c r="A969" s="1"/>
      <c r="B969" s="35"/>
      <c r="C969" s="8"/>
      <c r="D969" s="26"/>
      <c r="E969" s="27"/>
      <c r="F969" s="36"/>
      <c r="G969" s="36"/>
      <c r="H969" s="36"/>
      <c r="I969" s="36"/>
      <c r="J969" s="37" t="str">
        <f aca="false">IF($E969="","",IFERROR(G969/F969,""))</f>
        <v/>
      </c>
      <c r="K969" s="30" t="str">
        <f aca="false">IF($E969="","",IFERROR(E969/G969,""))</f>
        <v/>
      </c>
      <c r="L969" s="30" t="str">
        <f aca="false">IF($E969="","",IFERROR(E969/F969*1000,""))</f>
        <v/>
      </c>
      <c r="M969" s="37" t="str">
        <f aca="false">IF($E969="","",IFERROR(H969/G969,""))</f>
        <v/>
      </c>
      <c r="N969" s="30" t="str">
        <f aca="false">IF($E969="","",IFERROR(E969/H969,"—"))</f>
        <v/>
      </c>
      <c r="O969" s="30" t="str">
        <f aca="false">IF($E969="","",IFERROR(INDEX('Гео-калькулятор'!$K$7:$K$13,MATCH($C969,'Гео-калькулятор'!$B$7:$B$13,0)),""))</f>
        <v/>
      </c>
      <c r="P969" s="38" t="str">
        <f aca="false">IF($E969="","",IFERROR(N969/O969,""))</f>
        <v/>
      </c>
      <c r="Q969" s="39" t="str">
        <f aca="false">IF($E969="","",IF($I969&lt;&gt;"",$I969,N($H969)*IFERROR(INDEX('Гео-калькулятор'!$E$7:$E$13,MATCH($C969,'Гео-калькулятор'!$B$7:$B$13,0)),0)))</f>
        <v/>
      </c>
      <c r="R969" s="38" t="str">
        <f aca="false">IF($E969="","",IFERROR(Q969/H969,""))</f>
        <v/>
      </c>
      <c r="S969" s="30" t="str">
        <f aca="false">IF($E969="","",IFERROR(E969/Q969,"—"))</f>
        <v/>
      </c>
      <c r="T969" s="30" t="str">
        <f aca="false">IF($E969="","",Q969*IFERROR(INDEX('Гео-калькулятор'!$D$7:$D$13,MATCH($C969,'Гео-калькулятор'!$B$7:$B$13,0)),0))</f>
        <v/>
      </c>
      <c r="U969" s="40" t="str">
        <f aca="false">IF($E969="","",T969-E969)</f>
        <v/>
      </c>
      <c r="V969" s="41" t="str">
        <f aca="false">IF($E969="","",IFERROR(U969/E969,""))</f>
        <v/>
      </c>
      <c r="W969" s="10" t="str">
        <f aca="false">IF($E969="","",IF($I969&lt;&gt;"","факт","прогноз"))</f>
        <v/>
      </c>
      <c r="X969" s="1"/>
      <c r="Y969" s="1"/>
      <c r="Z969" s="1"/>
      <c r="AA969" s="1"/>
      <c r="AB969" s="1"/>
      <c r="AC969" s="1"/>
      <c r="AD969" s="1"/>
    </row>
    <row r="970" customFormat="false" ht="18" hidden="false" customHeight="true" outlineLevel="0" collapsed="false">
      <c r="A970" s="1"/>
      <c r="B970" s="35"/>
      <c r="C970" s="8"/>
      <c r="D970" s="26"/>
      <c r="E970" s="27"/>
      <c r="F970" s="36"/>
      <c r="G970" s="36"/>
      <c r="H970" s="36"/>
      <c r="I970" s="36"/>
      <c r="J970" s="37" t="str">
        <f aca="false">IF($E970="","",IFERROR(G970/F970,""))</f>
        <v/>
      </c>
      <c r="K970" s="30" t="str">
        <f aca="false">IF($E970="","",IFERROR(E970/G970,""))</f>
        <v/>
      </c>
      <c r="L970" s="30" t="str">
        <f aca="false">IF($E970="","",IFERROR(E970/F970*1000,""))</f>
        <v/>
      </c>
      <c r="M970" s="37" t="str">
        <f aca="false">IF($E970="","",IFERROR(H970/G970,""))</f>
        <v/>
      </c>
      <c r="N970" s="30" t="str">
        <f aca="false">IF($E970="","",IFERROR(E970/H970,"—"))</f>
        <v/>
      </c>
      <c r="O970" s="30" t="str">
        <f aca="false">IF($E970="","",IFERROR(INDEX('Гео-калькулятор'!$K$7:$K$13,MATCH($C970,'Гео-калькулятор'!$B$7:$B$13,0)),""))</f>
        <v/>
      </c>
      <c r="P970" s="38" t="str">
        <f aca="false">IF($E970="","",IFERROR(N970/O970,""))</f>
        <v/>
      </c>
      <c r="Q970" s="39" t="str">
        <f aca="false">IF($E970="","",IF($I970&lt;&gt;"",$I970,N($H970)*IFERROR(INDEX('Гео-калькулятор'!$E$7:$E$13,MATCH($C970,'Гео-калькулятор'!$B$7:$B$13,0)),0)))</f>
        <v/>
      </c>
      <c r="R970" s="38" t="str">
        <f aca="false">IF($E970="","",IFERROR(Q970/H970,""))</f>
        <v/>
      </c>
      <c r="S970" s="30" t="str">
        <f aca="false">IF($E970="","",IFERROR(E970/Q970,"—"))</f>
        <v/>
      </c>
      <c r="T970" s="30" t="str">
        <f aca="false">IF($E970="","",Q970*IFERROR(INDEX('Гео-калькулятор'!$D$7:$D$13,MATCH($C970,'Гео-калькулятор'!$B$7:$B$13,0)),0))</f>
        <v/>
      </c>
      <c r="U970" s="40" t="str">
        <f aca="false">IF($E970="","",T970-E970)</f>
        <v/>
      </c>
      <c r="V970" s="41" t="str">
        <f aca="false">IF($E970="","",IFERROR(U970/E970,""))</f>
        <v/>
      </c>
      <c r="W970" s="10" t="str">
        <f aca="false">IF($E970="","",IF($I970&lt;&gt;"","факт","прогноз"))</f>
        <v/>
      </c>
      <c r="X970" s="1"/>
      <c r="Y970" s="1"/>
      <c r="Z970" s="1"/>
      <c r="AA970" s="1"/>
      <c r="AB970" s="1"/>
      <c r="AC970" s="1"/>
      <c r="AD970" s="1"/>
    </row>
    <row r="971" customFormat="false" ht="18" hidden="false" customHeight="true" outlineLevel="0" collapsed="false">
      <c r="A971" s="1"/>
      <c r="B971" s="35"/>
      <c r="C971" s="8"/>
      <c r="D971" s="26"/>
      <c r="E971" s="27"/>
      <c r="F971" s="36"/>
      <c r="G971" s="36"/>
      <c r="H971" s="36"/>
      <c r="I971" s="36"/>
      <c r="J971" s="37" t="str">
        <f aca="false">IF($E971="","",IFERROR(G971/F971,""))</f>
        <v/>
      </c>
      <c r="K971" s="30" t="str">
        <f aca="false">IF($E971="","",IFERROR(E971/G971,""))</f>
        <v/>
      </c>
      <c r="L971" s="30" t="str">
        <f aca="false">IF($E971="","",IFERROR(E971/F971*1000,""))</f>
        <v/>
      </c>
      <c r="M971" s="37" t="str">
        <f aca="false">IF($E971="","",IFERROR(H971/G971,""))</f>
        <v/>
      </c>
      <c r="N971" s="30" t="str">
        <f aca="false">IF($E971="","",IFERROR(E971/H971,"—"))</f>
        <v/>
      </c>
      <c r="O971" s="30" t="str">
        <f aca="false">IF($E971="","",IFERROR(INDEX('Гео-калькулятор'!$K$7:$K$13,MATCH($C971,'Гео-калькулятор'!$B$7:$B$13,0)),""))</f>
        <v/>
      </c>
      <c r="P971" s="38" t="str">
        <f aca="false">IF($E971="","",IFERROR(N971/O971,""))</f>
        <v/>
      </c>
      <c r="Q971" s="39" t="str">
        <f aca="false">IF($E971="","",IF($I971&lt;&gt;"",$I971,N($H971)*IFERROR(INDEX('Гео-калькулятор'!$E$7:$E$13,MATCH($C971,'Гео-калькулятор'!$B$7:$B$13,0)),0)))</f>
        <v/>
      </c>
      <c r="R971" s="38" t="str">
        <f aca="false">IF($E971="","",IFERROR(Q971/H971,""))</f>
        <v/>
      </c>
      <c r="S971" s="30" t="str">
        <f aca="false">IF($E971="","",IFERROR(E971/Q971,"—"))</f>
        <v/>
      </c>
      <c r="T971" s="30" t="str">
        <f aca="false">IF($E971="","",Q971*IFERROR(INDEX('Гео-калькулятор'!$D$7:$D$13,MATCH($C971,'Гео-калькулятор'!$B$7:$B$13,0)),0))</f>
        <v/>
      </c>
      <c r="U971" s="40" t="str">
        <f aca="false">IF($E971="","",T971-E971)</f>
        <v/>
      </c>
      <c r="V971" s="41" t="str">
        <f aca="false">IF($E971="","",IFERROR(U971/E971,""))</f>
        <v/>
      </c>
      <c r="W971" s="10" t="str">
        <f aca="false">IF($E971="","",IF($I971&lt;&gt;"","факт","прогноз"))</f>
        <v/>
      </c>
      <c r="X971" s="1"/>
      <c r="Y971" s="1"/>
      <c r="Z971" s="1"/>
      <c r="AA971" s="1"/>
      <c r="AB971" s="1"/>
      <c r="AC971" s="1"/>
      <c r="AD971" s="1"/>
    </row>
    <row r="972" customFormat="false" ht="18" hidden="false" customHeight="true" outlineLevel="0" collapsed="false">
      <c r="A972" s="1"/>
      <c r="B972" s="35"/>
      <c r="C972" s="8"/>
      <c r="D972" s="26"/>
      <c r="E972" s="27"/>
      <c r="F972" s="36"/>
      <c r="G972" s="36"/>
      <c r="H972" s="36"/>
      <c r="I972" s="36"/>
      <c r="J972" s="37" t="str">
        <f aca="false">IF($E972="","",IFERROR(G972/F972,""))</f>
        <v/>
      </c>
      <c r="K972" s="30" t="str">
        <f aca="false">IF($E972="","",IFERROR(E972/G972,""))</f>
        <v/>
      </c>
      <c r="L972" s="30" t="str">
        <f aca="false">IF($E972="","",IFERROR(E972/F972*1000,""))</f>
        <v/>
      </c>
      <c r="M972" s="37" t="str">
        <f aca="false">IF($E972="","",IFERROR(H972/G972,""))</f>
        <v/>
      </c>
      <c r="N972" s="30" t="str">
        <f aca="false">IF($E972="","",IFERROR(E972/H972,"—"))</f>
        <v/>
      </c>
      <c r="O972" s="30" t="str">
        <f aca="false">IF($E972="","",IFERROR(INDEX('Гео-калькулятор'!$K$7:$K$13,MATCH($C972,'Гео-калькулятор'!$B$7:$B$13,0)),""))</f>
        <v/>
      </c>
      <c r="P972" s="38" t="str">
        <f aca="false">IF($E972="","",IFERROR(N972/O972,""))</f>
        <v/>
      </c>
      <c r="Q972" s="39" t="str">
        <f aca="false">IF($E972="","",IF($I972&lt;&gt;"",$I972,N($H972)*IFERROR(INDEX('Гео-калькулятор'!$E$7:$E$13,MATCH($C972,'Гео-калькулятор'!$B$7:$B$13,0)),0)))</f>
        <v/>
      </c>
      <c r="R972" s="38" t="str">
        <f aca="false">IF($E972="","",IFERROR(Q972/H972,""))</f>
        <v/>
      </c>
      <c r="S972" s="30" t="str">
        <f aca="false">IF($E972="","",IFERROR(E972/Q972,"—"))</f>
        <v/>
      </c>
      <c r="T972" s="30" t="str">
        <f aca="false">IF($E972="","",Q972*IFERROR(INDEX('Гео-калькулятор'!$D$7:$D$13,MATCH($C972,'Гео-калькулятор'!$B$7:$B$13,0)),0))</f>
        <v/>
      </c>
      <c r="U972" s="40" t="str">
        <f aca="false">IF($E972="","",T972-E972)</f>
        <v/>
      </c>
      <c r="V972" s="41" t="str">
        <f aca="false">IF($E972="","",IFERROR(U972/E972,""))</f>
        <v/>
      </c>
      <c r="W972" s="10" t="str">
        <f aca="false">IF($E972="","",IF($I972&lt;&gt;"","факт","прогноз"))</f>
        <v/>
      </c>
      <c r="X972" s="1"/>
      <c r="Y972" s="1"/>
      <c r="Z972" s="1"/>
      <c r="AA972" s="1"/>
      <c r="AB972" s="1"/>
      <c r="AC972" s="1"/>
      <c r="AD972" s="1"/>
    </row>
    <row r="973" customFormat="false" ht="18" hidden="false" customHeight="true" outlineLevel="0" collapsed="false">
      <c r="A973" s="1"/>
      <c r="B973" s="35"/>
      <c r="C973" s="8"/>
      <c r="D973" s="26"/>
      <c r="E973" s="27"/>
      <c r="F973" s="36"/>
      <c r="G973" s="36"/>
      <c r="H973" s="36"/>
      <c r="I973" s="36"/>
      <c r="J973" s="37" t="str">
        <f aca="false">IF($E973="","",IFERROR(G973/F973,""))</f>
        <v/>
      </c>
      <c r="K973" s="30" t="str">
        <f aca="false">IF($E973="","",IFERROR(E973/G973,""))</f>
        <v/>
      </c>
      <c r="L973" s="30" t="str">
        <f aca="false">IF($E973="","",IFERROR(E973/F973*1000,""))</f>
        <v/>
      </c>
      <c r="M973" s="37" t="str">
        <f aca="false">IF($E973="","",IFERROR(H973/G973,""))</f>
        <v/>
      </c>
      <c r="N973" s="30" t="str">
        <f aca="false">IF($E973="","",IFERROR(E973/H973,"—"))</f>
        <v/>
      </c>
      <c r="O973" s="30" t="str">
        <f aca="false">IF($E973="","",IFERROR(INDEX('Гео-калькулятор'!$K$7:$K$13,MATCH($C973,'Гео-калькулятор'!$B$7:$B$13,0)),""))</f>
        <v/>
      </c>
      <c r="P973" s="38" t="str">
        <f aca="false">IF($E973="","",IFERROR(N973/O973,""))</f>
        <v/>
      </c>
      <c r="Q973" s="39" t="str">
        <f aca="false">IF($E973="","",IF($I973&lt;&gt;"",$I973,N($H973)*IFERROR(INDEX('Гео-калькулятор'!$E$7:$E$13,MATCH($C973,'Гео-калькулятор'!$B$7:$B$13,0)),0)))</f>
        <v/>
      </c>
      <c r="R973" s="38" t="str">
        <f aca="false">IF($E973="","",IFERROR(Q973/H973,""))</f>
        <v/>
      </c>
      <c r="S973" s="30" t="str">
        <f aca="false">IF($E973="","",IFERROR(E973/Q973,"—"))</f>
        <v/>
      </c>
      <c r="T973" s="30" t="str">
        <f aca="false">IF($E973="","",Q973*IFERROR(INDEX('Гео-калькулятор'!$D$7:$D$13,MATCH($C973,'Гео-калькулятор'!$B$7:$B$13,0)),0))</f>
        <v/>
      </c>
      <c r="U973" s="40" t="str">
        <f aca="false">IF($E973="","",T973-E973)</f>
        <v/>
      </c>
      <c r="V973" s="41" t="str">
        <f aca="false">IF($E973="","",IFERROR(U973/E973,""))</f>
        <v/>
      </c>
      <c r="W973" s="10" t="str">
        <f aca="false">IF($E973="","",IF($I973&lt;&gt;"","факт","прогноз"))</f>
        <v/>
      </c>
      <c r="X973" s="1"/>
      <c r="Y973" s="1"/>
      <c r="Z973" s="1"/>
      <c r="AA973" s="1"/>
      <c r="AB973" s="1"/>
      <c r="AC973" s="1"/>
      <c r="AD973" s="1"/>
    </row>
    <row r="974" customFormat="false" ht="18" hidden="false" customHeight="true" outlineLevel="0" collapsed="false">
      <c r="A974" s="1"/>
      <c r="B974" s="35"/>
      <c r="C974" s="8"/>
      <c r="D974" s="26"/>
      <c r="E974" s="27"/>
      <c r="F974" s="36"/>
      <c r="G974" s="36"/>
      <c r="H974" s="36"/>
      <c r="I974" s="36"/>
      <c r="J974" s="37" t="str">
        <f aca="false">IF($E974="","",IFERROR(G974/F974,""))</f>
        <v/>
      </c>
      <c r="K974" s="30" t="str">
        <f aca="false">IF($E974="","",IFERROR(E974/G974,""))</f>
        <v/>
      </c>
      <c r="L974" s="30" t="str">
        <f aca="false">IF($E974="","",IFERROR(E974/F974*1000,""))</f>
        <v/>
      </c>
      <c r="M974" s="37" t="str">
        <f aca="false">IF($E974="","",IFERROR(H974/G974,""))</f>
        <v/>
      </c>
      <c r="N974" s="30" t="str">
        <f aca="false">IF($E974="","",IFERROR(E974/H974,"—"))</f>
        <v/>
      </c>
      <c r="O974" s="30" t="str">
        <f aca="false">IF($E974="","",IFERROR(INDEX('Гео-калькулятор'!$K$7:$K$13,MATCH($C974,'Гео-калькулятор'!$B$7:$B$13,0)),""))</f>
        <v/>
      </c>
      <c r="P974" s="38" t="str">
        <f aca="false">IF($E974="","",IFERROR(N974/O974,""))</f>
        <v/>
      </c>
      <c r="Q974" s="39" t="str">
        <f aca="false">IF($E974="","",IF($I974&lt;&gt;"",$I974,N($H974)*IFERROR(INDEX('Гео-калькулятор'!$E$7:$E$13,MATCH($C974,'Гео-калькулятор'!$B$7:$B$13,0)),0)))</f>
        <v/>
      </c>
      <c r="R974" s="38" t="str">
        <f aca="false">IF($E974="","",IFERROR(Q974/H974,""))</f>
        <v/>
      </c>
      <c r="S974" s="30" t="str">
        <f aca="false">IF($E974="","",IFERROR(E974/Q974,"—"))</f>
        <v/>
      </c>
      <c r="T974" s="30" t="str">
        <f aca="false">IF($E974="","",Q974*IFERROR(INDEX('Гео-калькулятор'!$D$7:$D$13,MATCH($C974,'Гео-калькулятор'!$B$7:$B$13,0)),0))</f>
        <v/>
      </c>
      <c r="U974" s="40" t="str">
        <f aca="false">IF($E974="","",T974-E974)</f>
        <v/>
      </c>
      <c r="V974" s="41" t="str">
        <f aca="false">IF($E974="","",IFERROR(U974/E974,""))</f>
        <v/>
      </c>
      <c r="W974" s="10" t="str">
        <f aca="false">IF($E974="","",IF($I974&lt;&gt;"","факт","прогноз"))</f>
        <v/>
      </c>
      <c r="X974" s="1"/>
      <c r="Y974" s="1"/>
      <c r="Z974" s="1"/>
      <c r="AA974" s="1"/>
      <c r="AB974" s="1"/>
      <c r="AC974" s="1"/>
      <c r="AD974" s="1"/>
    </row>
    <row r="975" customFormat="false" ht="18" hidden="false" customHeight="true" outlineLevel="0" collapsed="false">
      <c r="A975" s="1"/>
      <c r="B975" s="35"/>
      <c r="C975" s="8"/>
      <c r="D975" s="26"/>
      <c r="E975" s="27"/>
      <c r="F975" s="36"/>
      <c r="G975" s="36"/>
      <c r="H975" s="36"/>
      <c r="I975" s="36"/>
      <c r="J975" s="37" t="str">
        <f aca="false">IF($E975="","",IFERROR(G975/F975,""))</f>
        <v/>
      </c>
      <c r="K975" s="30" t="str">
        <f aca="false">IF($E975="","",IFERROR(E975/G975,""))</f>
        <v/>
      </c>
      <c r="L975" s="30" t="str">
        <f aca="false">IF($E975="","",IFERROR(E975/F975*1000,""))</f>
        <v/>
      </c>
      <c r="M975" s="37" t="str">
        <f aca="false">IF($E975="","",IFERROR(H975/G975,""))</f>
        <v/>
      </c>
      <c r="N975" s="30" t="str">
        <f aca="false">IF($E975="","",IFERROR(E975/H975,"—"))</f>
        <v/>
      </c>
      <c r="O975" s="30" t="str">
        <f aca="false">IF($E975="","",IFERROR(INDEX('Гео-калькулятор'!$K$7:$K$13,MATCH($C975,'Гео-калькулятор'!$B$7:$B$13,0)),""))</f>
        <v/>
      </c>
      <c r="P975" s="38" t="str">
        <f aca="false">IF($E975="","",IFERROR(N975/O975,""))</f>
        <v/>
      </c>
      <c r="Q975" s="39" t="str">
        <f aca="false">IF($E975="","",IF($I975&lt;&gt;"",$I975,N($H975)*IFERROR(INDEX('Гео-калькулятор'!$E$7:$E$13,MATCH($C975,'Гео-калькулятор'!$B$7:$B$13,0)),0)))</f>
        <v/>
      </c>
      <c r="R975" s="38" t="str">
        <f aca="false">IF($E975="","",IFERROR(Q975/H975,""))</f>
        <v/>
      </c>
      <c r="S975" s="30" t="str">
        <f aca="false">IF($E975="","",IFERROR(E975/Q975,"—"))</f>
        <v/>
      </c>
      <c r="T975" s="30" t="str">
        <f aca="false">IF($E975="","",Q975*IFERROR(INDEX('Гео-калькулятор'!$D$7:$D$13,MATCH($C975,'Гео-калькулятор'!$B$7:$B$13,0)),0))</f>
        <v/>
      </c>
      <c r="U975" s="40" t="str">
        <f aca="false">IF($E975="","",T975-E975)</f>
        <v/>
      </c>
      <c r="V975" s="41" t="str">
        <f aca="false">IF($E975="","",IFERROR(U975/E975,""))</f>
        <v/>
      </c>
      <c r="W975" s="10" t="str">
        <f aca="false">IF($E975="","",IF($I975&lt;&gt;"","факт","прогноз"))</f>
        <v/>
      </c>
      <c r="X975" s="1"/>
      <c r="Y975" s="1"/>
      <c r="Z975" s="1"/>
      <c r="AA975" s="1"/>
      <c r="AB975" s="1"/>
      <c r="AC975" s="1"/>
      <c r="AD975" s="1"/>
    </row>
    <row r="976" customFormat="false" ht="18" hidden="false" customHeight="true" outlineLevel="0" collapsed="false">
      <c r="A976" s="1"/>
      <c r="B976" s="35"/>
      <c r="C976" s="8"/>
      <c r="D976" s="26"/>
      <c r="E976" s="27"/>
      <c r="F976" s="36"/>
      <c r="G976" s="36"/>
      <c r="H976" s="36"/>
      <c r="I976" s="36"/>
      <c r="J976" s="37" t="str">
        <f aca="false">IF($E976="","",IFERROR(G976/F976,""))</f>
        <v/>
      </c>
      <c r="K976" s="30" t="str">
        <f aca="false">IF($E976="","",IFERROR(E976/G976,""))</f>
        <v/>
      </c>
      <c r="L976" s="30" t="str">
        <f aca="false">IF($E976="","",IFERROR(E976/F976*1000,""))</f>
        <v/>
      </c>
      <c r="M976" s="37" t="str">
        <f aca="false">IF($E976="","",IFERROR(H976/G976,""))</f>
        <v/>
      </c>
      <c r="N976" s="30" t="str">
        <f aca="false">IF($E976="","",IFERROR(E976/H976,"—"))</f>
        <v/>
      </c>
      <c r="O976" s="30" t="str">
        <f aca="false">IF($E976="","",IFERROR(INDEX('Гео-калькулятор'!$K$7:$K$13,MATCH($C976,'Гео-калькулятор'!$B$7:$B$13,0)),""))</f>
        <v/>
      </c>
      <c r="P976" s="38" t="str">
        <f aca="false">IF($E976="","",IFERROR(N976/O976,""))</f>
        <v/>
      </c>
      <c r="Q976" s="39" t="str">
        <f aca="false">IF($E976="","",IF($I976&lt;&gt;"",$I976,N($H976)*IFERROR(INDEX('Гео-калькулятор'!$E$7:$E$13,MATCH($C976,'Гео-калькулятор'!$B$7:$B$13,0)),0)))</f>
        <v/>
      </c>
      <c r="R976" s="38" t="str">
        <f aca="false">IF($E976="","",IFERROR(Q976/H976,""))</f>
        <v/>
      </c>
      <c r="S976" s="30" t="str">
        <f aca="false">IF($E976="","",IFERROR(E976/Q976,"—"))</f>
        <v/>
      </c>
      <c r="T976" s="30" t="str">
        <f aca="false">IF($E976="","",Q976*IFERROR(INDEX('Гео-калькулятор'!$D$7:$D$13,MATCH($C976,'Гео-калькулятор'!$B$7:$B$13,0)),0))</f>
        <v/>
      </c>
      <c r="U976" s="40" t="str">
        <f aca="false">IF($E976="","",T976-E976)</f>
        <v/>
      </c>
      <c r="V976" s="41" t="str">
        <f aca="false">IF($E976="","",IFERROR(U976/E976,""))</f>
        <v/>
      </c>
      <c r="W976" s="10" t="str">
        <f aca="false">IF($E976="","",IF($I976&lt;&gt;"","факт","прогноз"))</f>
        <v/>
      </c>
      <c r="X976" s="1"/>
      <c r="Y976" s="1"/>
      <c r="Z976" s="1"/>
      <c r="AA976" s="1"/>
      <c r="AB976" s="1"/>
      <c r="AC976" s="1"/>
      <c r="AD976" s="1"/>
    </row>
    <row r="977" customFormat="false" ht="18" hidden="false" customHeight="true" outlineLevel="0" collapsed="false">
      <c r="A977" s="1"/>
      <c r="B977" s="35"/>
      <c r="C977" s="8"/>
      <c r="D977" s="26"/>
      <c r="E977" s="27"/>
      <c r="F977" s="36"/>
      <c r="G977" s="36"/>
      <c r="H977" s="36"/>
      <c r="I977" s="36"/>
      <c r="J977" s="37" t="str">
        <f aca="false">IF($E977="","",IFERROR(G977/F977,""))</f>
        <v/>
      </c>
      <c r="K977" s="30" t="str">
        <f aca="false">IF($E977="","",IFERROR(E977/G977,""))</f>
        <v/>
      </c>
      <c r="L977" s="30" t="str">
        <f aca="false">IF($E977="","",IFERROR(E977/F977*1000,""))</f>
        <v/>
      </c>
      <c r="M977" s="37" t="str">
        <f aca="false">IF($E977="","",IFERROR(H977/G977,""))</f>
        <v/>
      </c>
      <c r="N977" s="30" t="str">
        <f aca="false">IF($E977="","",IFERROR(E977/H977,"—"))</f>
        <v/>
      </c>
      <c r="O977" s="30" t="str">
        <f aca="false">IF($E977="","",IFERROR(INDEX('Гео-калькулятор'!$K$7:$K$13,MATCH($C977,'Гео-калькулятор'!$B$7:$B$13,0)),""))</f>
        <v/>
      </c>
      <c r="P977" s="38" t="str">
        <f aca="false">IF($E977="","",IFERROR(N977/O977,""))</f>
        <v/>
      </c>
      <c r="Q977" s="39" t="str">
        <f aca="false">IF($E977="","",IF($I977&lt;&gt;"",$I977,N($H977)*IFERROR(INDEX('Гео-калькулятор'!$E$7:$E$13,MATCH($C977,'Гео-калькулятор'!$B$7:$B$13,0)),0)))</f>
        <v/>
      </c>
      <c r="R977" s="38" t="str">
        <f aca="false">IF($E977="","",IFERROR(Q977/H977,""))</f>
        <v/>
      </c>
      <c r="S977" s="30" t="str">
        <f aca="false">IF($E977="","",IFERROR(E977/Q977,"—"))</f>
        <v/>
      </c>
      <c r="T977" s="30" t="str">
        <f aca="false">IF($E977="","",Q977*IFERROR(INDEX('Гео-калькулятор'!$D$7:$D$13,MATCH($C977,'Гео-калькулятор'!$B$7:$B$13,0)),0))</f>
        <v/>
      </c>
      <c r="U977" s="40" t="str">
        <f aca="false">IF($E977="","",T977-E977)</f>
        <v/>
      </c>
      <c r="V977" s="41" t="str">
        <f aca="false">IF($E977="","",IFERROR(U977/E977,""))</f>
        <v/>
      </c>
      <c r="W977" s="10" t="str">
        <f aca="false">IF($E977="","",IF($I977&lt;&gt;"","факт","прогноз"))</f>
        <v/>
      </c>
      <c r="X977" s="1"/>
      <c r="Y977" s="1"/>
      <c r="Z977" s="1"/>
      <c r="AA977" s="1"/>
      <c r="AB977" s="1"/>
      <c r="AC977" s="1"/>
      <c r="AD977" s="1"/>
    </row>
    <row r="978" customFormat="false" ht="18" hidden="false" customHeight="true" outlineLevel="0" collapsed="false">
      <c r="A978" s="1"/>
      <c r="B978" s="35"/>
      <c r="C978" s="8"/>
      <c r="D978" s="26"/>
      <c r="E978" s="27"/>
      <c r="F978" s="36"/>
      <c r="G978" s="36"/>
      <c r="H978" s="36"/>
      <c r="I978" s="36"/>
      <c r="J978" s="37" t="str">
        <f aca="false">IF($E978="","",IFERROR(G978/F978,""))</f>
        <v/>
      </c>
      <c r="K978" s="30" t="str">
        <f aca="false">IF($E978="","",IFERROR(E978/G978,""))</f>
        <v/>
      </c>
      <c r="L978" s="30" t="str">
        <f aca="false">IF($E978="","",IFERROR(E978/F978*1000,""))</f>
        <v/>
      </c>
      <c r="M978" s="37" t="str">
        <f aca="false">IF($E978="","",IFERROR(H978/G978,""))</f>
        <v/>
      </c>
      <c r="N978" s="30" t="str">
        <f aca="false">IF($E978="","",IFERROR(E978/H978,"—"))</f>
        <v/>
      </c>
      <c r="O978" s="30" t="str">
        <f aca="false">IF($E978="","",IFERROR(INDEX('Гео-калькулятор'!$K$7:$K$13,MATCH($C978,'Гео-калькулятор'!$B$7:$B$13,0)),""))</f>
        <v/>
      </c>
      <c r="P978" s="38" t="str">
        <f aca="false">IF($E978="","",IFERROR(N978/O978,""))</f>
        <v/>
      </c>
      <c r="Q978" s="39" t="str">
        <f aca="false">IF($E978="","",IF($I978&lt;&gt;"",$I978,N($H978)*IFERROR(INDEX('Гео-калькулятор'!$E$7:$E$13,MATCH($C978,'Гео-калькулятор'!$B$7:$B$13,0)),0)))</f>
        <v/>
      </c>
      <c r="R978" s="38" t="str">
        <f aca="false">IF($E978="","",IFERROR(Q978/H978,""))</f>
        <v/>
      </c>
      <c r="S978" s="30" t="str">
        <f aca="false">IF($E978="","",IFERROR(E978/Q978,"—"))</f>
        <v/>
      </c>
      <c r="T978" s="30" t="str">
        <f aca="false">IF($E978="","",Q978*IFERROR(INDEX('Гео-калькулятор'!$D$7:$D$13,MATCH($C978,'Гео-калькулятор'!$B$7:$B$13,0)),0))</f>
        <v/>
      </c>
      <c r="U978" s="40" t="str">
        <f aca="false">IF($E978="","",T978-E978)</f>
        <v/>
      </c>
      <c r="V978" s="41" t="str">
        <f aca="false">IF($E978="","",IFERROR(U978/E978,""))</f>
        <v/>
      </c>
      <c r="W978" s="10" t="str">
        <f aca="false">IF($E978="","",IF($I978&lt;&gt;"","факт","прогноз"))</f>
        <v/>
      </c>
      <c r="X978" s="1"/>
      <c r="Y978" s="1"/>
      <c r="Z978" s="1"/>
      <c r="AA978" s="1"/>
      <c r="AB978" s="1"/>
      <c r="AC978" s="1"/>
      <c r="AD978" s="1"/>
    </row>
    <row r="979" customFormat="false" ht="18" hidden="false" customHeight="true" outlineLevel="0" collapsed="false">
      <c r="A979" s="1"/>
      <c r="B979" s="35"/>
      <c r="C979" s="8"/>
      <c r="D979" s="26"/>
      <c r="E979" s="27"/>
      <c r="F979" s="36"/>
      <c r="G979" s="36"/>
      <c r="H979" s="36"/>
      <c r="I979" s="36"/>
      <c r="J979" s="37" t="str">
        <f aca="false">IF($E979="","",IFERROR(G979/F979,""))</f>
        <v/>
      </c>
      <c r="K979" s="30" t="str">
        <f aca="false">IF($E979="","",IFERROR(E979/G979,""))</f>
        <v/>
      </c>
      <c r="L979" s="30" t="str">
        <f aca="false">IF($E979="","",IFERROR(E979/F979*1000,""))</f>
        <v/>
      </c>
      <c r="M979" s="37" t="str">
        <f aca="false">IF($E979="","",IFERROR(H979/G979,""))</f>
        <v/>
      </c>
      <c r="N979" s="30" t="str">
        <f aca="false">IF($E979="","",IFERROR(E979/H979,"—"))</f>
        <v/>
      </c>
      <c r="O979" s="30" t="str">
        <f aca="false">IF($E979="","",IFERROR(INDEX('Гео-калькулятор'!$K$7:$K$13,MATCH($C979,'Гео-калькулятор'!$B$7:$B$13,0)),""))</f>
        <v/>
      </c>
      <c r="P979" s="38" t="str">
        <f aca="false">IF($E979="","",IFERROR(N979/O979,""))</f>
        <v/>
      </c>
      <c r="Q979" s="39" t="str">
        <f aca="false">IF($E979="","",IF($I979&lt;&gt;"",$I979,N($H979)*IFERROR(INDEX('Гео-калькулятор'!$E$7:$E$13,MATCH($C979,'Гео-калькулятор'!$B$7:$B$13,0)),0)))</f>
        <v/>
      </c>
      <c r="R979" s="38" t="str">
        <f aca="false">IF($E979="","",IFERROR(Q979/H979,""))</f>
        <v/>
      </c>
      <c r="S979" s="30" t="str">
        <f aca="false">IF($E979="","",IFERROR(E979/Q979,"—"))</f>
        <v/>
      </c>
      <c r="T979" s="30" t="str">
        <f aca="false">IF($E979="","",Q979*IFERROR(INDEX('Гео-калькулятор'!$D$7:$D$13,MATCH($C979,'Гео-калькулятор'!$B$7:$B$13,0)),0))</f>
        <v/>
      </c>
      <c r="U979" s="40" t="str">
        <f aca="false">IF($E979="","",T979-E979)</f>
        <v/>
      </c>
      <c r="V979" s="41" t="str">
        <f aca="false">IF($E979="","",IFERROR(U979/E979,""))</f>
        <v/>
      </c>
      <c r="W979" s="10" t="str">
        <f aca="false">IF($E979="","",IF($I979&lt;&gt;"","факт","прогноз"))</f>
        <v/>
      </c>
      <c r="X979" s="1"/>
      <c r="Y979" s="1"/>
      <c r="Z979" s="1"/>
      <c r="AA979" s="1"/>
      <c r="AB979" s="1"/>
      <c r="AC979" s="1"/>
      <c r="AD979" s="1"/>
    </row>
    <row r="980" customFormat="false" ht="18" hidden="false" customHeight="true" outlineLevel="0" collapsed="false">
      <c r="A980" s="1"/>
      <c r="B980" s="35"/>
      <c r="C980" s="8"/>
      <c r="D980" s="26"/>
      <c r="E980" s="27"/>
      <c r="F980" s="36"/>
      <c r="G980" s="36"/>
      <c r="H980" s="36"/>
      <c r="I980" s="36"/>
      <c r="J980" s="37" t="str">
        <f aca="false">IF($E980="","",IFERROR(G980/F980,""))</f>
        <v/>
      </c>
      <c r="K980" s="30" t="str">
        <f aca="false">IF($E980="","",IFERROR(E980/G980,""))</f>
        <v/>
      </c>
      <c r="L980" s="30" t="str">
        <f aca="false">IF($E980="","",IFERROR(E980/F980*1000,""))</f>
        <v/>
      </c>
      <c r="M980" s="37" t="str">
        <f aca="false">IF($E980="","",IFERROR(H980/G980,""))</f>
        <v/>
      </c>
      <c r="N980" s="30" t="str">
        <f aca="false">IF($E980="","",IFERROR(E980/H980,"—"))</f>
        <v/>
      </c>
      <c r="O980" s="30" t="str">
        <f aca="false">IF($E980="","",IFERROR(INDEX('Гео-калькулятор'!$K$7:$K$13,MATCH($C980,'Гео-калькулятор'!$B$7:$B$13,0)),""))</f>
        <v/>
      </c>
      <c r="P980" s="38" t="str">
        <f aca="false">IF($E980="","",IFERROR(N980/O980,""))</f>
        <v/>
      </c>
      <c r="Q980" s="39" t="str">
        <f aca="false">IF($E980="","",IF($I980&lt;&gt;"",$I980,N($H980)*IFERROR(INDEX('Гео-калькулятор'!$E$7:$E$13,MATCH($C980,'Гео-калькулятор'!$B$7:$B$13,0)),0)))</f>
        <v/>
      </c>
      <c r="R980" s="38" t="str">
        <f aca="false">IF($E980="","",IFERROR(Q980/H980,""))</f>
        <v/>
      </c>
      <c r="S980" s="30" t="str">
        <f aca="false">IF($E980="","",IFERROR(E980/Q980,"—"))</f>
        <v/>
      </c>
      <c r="T980" s="30" t="str">
        <f aca="false">IF($E980="","",Q980*IFERROR(INDEX('Гео-калькулятор'!$D$7:$D$13,MATCH($C980,'Гео-калькулятор'!$B$7:$B$13,0)),0))</f>
        <v/>
      </c>
      <c r="U980" s="40" t="str">
        <f aca="false">IF($E980="","",T980-E980)</f>
        <v/>
      </c>
      <c r="V980" s="41" t="str">
        <f aca="false">IF($E980="","",IFERROR(U980/E980,""))</f>
        <v/>
      </c>
      <c r="W980" s="10" t="str">
        <f aca="false">IF($E980="","",IF($I980&lt;&gt;"","факт","прогноз"))</f>
        <v/>
      </c>
      <c r="X980" s="1"/>
      <c r="Y980" s="1"/>
      <c r="Z980" s="1"/>
      <c r="AA980" s="1"/>
      <c r="AB980" s="1"/>
      <c r="AC980" s="1"/>
      <c r="AD980" s="1"/>
    </row>
    <row r="981" customFormat="false" ht="18" hidden="false" customHeight="true" outlineLevel="0" collapsed="false">
      <c r="A981" s="1"/>
      <c r="B981" s="35"/>
      <c r="C981" s="8"/>
      <c r="D981" s="26"/>
      <c r="E981" s="27"/>
      <c r="F981" s="36"/>
      <c r="G981" s="36"/>
      <c r="H981" s="36"/>
      <c r="I981" s="36"/>
      <c r="J981" s="37" t="str">
        <f aca="false">IF($E981="","",IFERROR(G981/F981,""))</f>
        <v/>
      </c>
      <c r="K981" s="30" t="str">
        <f aca="false">IF($E981="","",IFERROR(E981/G981,""))</f>
        <v/>
      </c>
      <c r="L981" s="30" t="str">
        <f aca="false">IF($E981="","",IFERROR(E981/F981*1000,""))</f>
        <v/>
      </c>
      <c r="M981" s="37" t="str">
        <f aca="false">IF($E981="","",IFERROR(H981/G981,""))</f>
        <v/>
      </c>
      <c r="N981" s="30" t="str">
        <f aca="false">IF($E981="","",IFERROR(E981/H981,"—"))</f>
        <v/>
      </c>
      <c r="O981" s="30" t="str">
        <f aca="false">IF($E981="","",IFERROR(INDEX('Гео-калькулятор'!$K$7:$K$13,MATCH($C981,'Гео-калькулятор'!$B$7:$B$13,0)),""))</f>
        <v/>
      </c>
      <c r="P981" s="38" t="str">
        <f aca="false">IF($E981="","",IFERROR(N981/O981,""))</f>
        <v/>
      </c>
      <c r="Q981" s="39" t="str">
        <f aca="false">IF($E981="","",IF($I981&lt;&gt;"",$I981,N($H981)*IFERROR(INDEX('Гео-калькулятор'!$E$7:$E$13,MATCH($C981,'Гео-калькулятор'!$B$7:$B$13,0)),0)))</f>
        <v/>
      </c>
      <c r="R981" s="38" t="str">
        <f aca="false">IF($E981="","",IFERROR(Q981/H981,""))</f>
        <v/>
      </c>
      <c r="S981" s="30" t="str">
        <f aca="false">IF($E981="","",IFERROR(E981/Q981,"—"))</f>
        <v/>
      </c>
      <c r="T981" s="30" t="str">
        <f aca="false">IF($E981="","",Q981*IFERROR(INDEX('Гео-калькулятор'!$D$7:$D$13,MATCH($C981,'Гео-калькулятор'!$B$7:$B$13,0)),0))</f>
        <v/>
      </c>
      <c r="U981" s="40" t="str">
        <f aca="false">IF($E981="","",T981-E981)</f>
        <v/>
      </c>
      <c r="V981" s="41" t="str">
        <f aca="false">IF($E981="","",IFERROR(U981/E981,""))</f>
        <v/>
      </c>
      <c r="W981" s="10" t="str">
        <f aca="false">IF($E981="","",IF($I981&lt;&gt;"","факт","прогноз"))</f>
        <v/>
      </c>
      <c r="X981" s="1"/>
      <c r="Y981" s="1"/>
      <c r="Z981" s="1"/>
      <c r="AA981" s="1"/>
      <c r="AB981" s="1"/>
      <c r="AC981" s="1"/>
      <c r="AD981" s="1"/>
    </row>
    <row r="982" customFormat="false" ht="18" hidden="false" customHeight="true" outlineLevel="0" collapsed="false">
      <c r="A982" s="1"/>
      <c r="B982" s="35"/>
      <c r="C982" s="8"/>
      <c r="D982" s="26"/>
      <c r="E982" s="27"/>
      <c r="F982" s="36"/>
      <c r="G982" s="36"/>
      <c r="H982" s="36"/>
      <c r="I982" s="36"/>
      <c r="J982" s="37" t="str">
        <f aca="false">IF($E982="","",IFERROR(G982/F982,""))</f>
        <v/>
      </c>
      <c r="K982" s="30" t="str">
        <f aca="false">IF($E982="","",IFERROR(E982/G982,""))</f>
        <v/>
      </c>
      <c r="L982" s="30" t="str">
        <f aca="false">IF($E982="","",IFERROR(E982/F982*1000,""))</f>
        <v/>
      </c>
      <c r="M982" s="37" t="str">
        <f aca="false">IF($E982="","",IFERROR(H982/G982,""))</f>
        <v/>
      </c>
      <c r="N982" s="30" t="str">
        <f aca="false">IF($E982="","",IFERROR(E982/H982,"—"))</f>
        <v/>
      </c>
      <c r="O982" s="30" t="str">
        <f aca="false">IF($E982="","",IFERROR(INDEX('Гео-калькулятор'!$K$7:$K$13,MATCH($C982,'Гео-калькулятор'!$B$7:$B$13,0)),""))</f>
        <v/>
      </c>
      <c r="P982" s="38" t="str">
        <f aca="false">IF($E982="","",IFERROR(N982/O982,""))</f>
        <v/>
      </c>
      <c r="Q982" s="39" t="str">
        <f aca="false">IF($E982="","",IF($I982&lt;&gt;"",$I982,N($H982)*IFERROR(INDEX('Гео-калькулятор'!$E$7:$E$13,MATCH($C982,'Гео-калькулятор'!$B$7:$B$13,0)),0)))</f>
        <v/>
      </c>
      <c r="R982" s="38" t="str">
        <f aca="false">IF($E982="","",IFERROR(Q982/H982,""))</f>
        <v/>
      </c>
      <c r="S982" s="30" t="str">
        <f aca="false">IF($E982="","",IFERROR(E982/Q982,"—"))</f>
        <v/>
      </c>
      <c r="T982" s="30" t="str">
        <f aca="false">IF($E982="","",Q982*IFERROR(INDEX('Гео-калькулятор'!$D$7:$D$13,MATCH($C982,'Гео-калькулятор'!$B$7:$B$13,0)),0))</f>
        <v/>
      </c>
      <c r="U982" s="40" t="str">
        <f aca="false">IF($E982="","",T982-E982)</f>
        <v/>
      </c>
      <c r="V982" s="41" t="str">
        <f aca="false">IF($E982="","",IFERROR(U982/E982,""))</f>
        <v/>
      </c>
      <c r="W982" s="10" t="str">
        <f aca="false">IF($E982="","",IF($I982&lt;&gt;"","факт","прогноз"))</f>
        <v/>
      </c>
      <c r="X982" s="1"/>
      <c r="Y982" s="1"/>
      <c r="Z982" s="1"/>
      <c r="AA982" s="1"/>
      <c r="AB982" s="1"/>
      <c r="AC982" s="1"/>
      <c r="AD982" s="1"/>
    </row>
    <row r="983" customFormat="false" ht="18" hidden="false" customHeight="true" outlineLevel="0" collapsed="false">
      <c r="A983" s="1"/>
      <c r="B983" s="35"/>
      <c r="C983" s="8"/>
      <c r="D983" s="26"/>
      <c r="E983" s="27"/>
      <c r="F983" s="36"/>
      <c r="G983" s="36"/>
      <c r="H983" s="36"/>
      <c r="I983" s="36"/>
      <c r="J983" s="37" t="str">
        <f aca="false">IF($E983="","",IFERROR(G983/F983,""))</f>
        <v/>
      </c>
      <c r="K983" s="30" t="str">
        <f aca="false">IF($E983="","",IFERROR(E983/G983,""))</f>
        <v/>
      </c>
      <c r="L983" s="30" t="str">
        <f aca="false">IF($E983="","",IFERROR(E983/F983*1000,""))</f>
        <v/>
      </c>
      <c r="M983" s="37" t="str">
        <f aca="false">IF($E983="","",IFERROR(H983/G983,""))</f>
        <v/>
      </c>
      <c r="N983" s="30" t="str">
        <f aca="false">IF($E983="","",IFERROR(E983/H983,"—"))</f>
        <v/>
      </c>
      <c r="O983" s="30" t="str">
        <f aca="false">IF($E983="","",IFERROR(INDEX('Гео-калькулятор'!$K$7:$K$13,MATCH($C983,'Гео-калькулятор'!$B$7:$B$13,0)),""))</f>
        <v/>
      </c>
      <c r="P983" s="38" t="str">
        <f aca="false">IF($E983="","",IFERROR(N983/O983,""))</f>
        <v/>
      </c>
      <c r="Q983" s="39" t="str">
        <f aca="false">IF($E983="","",IF($I983&lt;&gt;"",$I983,N($H983)*IFERROR(INDEX('Гео-калькулятор'!$E$7:$E$13,MATCH($C983,'Гео-калькулятор'!$B$7:$B$13,0)),0)))</f>
        <v/>
      </c>
      <c r="R983" s="38" t="str">
        <f aca="false">IF($E983="","",IFERROR(Q983/H983,""))</f>
        <v/>
      </c>
      <c r="S983" s="30" t="str">
        <f aca="false">IF($E983="","",IFERROR(E983/Q983,"—"))</f>
        <v/>
      </c>
      <c r="T983" s="30" t="str">
        <f aca="false">IF($E983="","",Q983*IFERROR(INDEX('Гео-калькулятор'!$D$7:$D$13,MATCH($C983,'Гео-калькулятор'!$B$7:$B$13,0)),0))</f>
        <v/>
      </c>
      <c r="U983" s="40" t="str">
        <f aca="false">IF($E983="","",T983-E983)</f>
        <v/>
      </c>
      <c r="V983" s="41" t="str">
        <f aca="false">IF($E983="","",IFERROR(U983/E983,""))</f>
        <v/>
      </c>
      <c r="W983" s="10" t="str">
        <f aca="false">IF($E983="","",IF($I983&lt;&gt;"","факт","прогноз"))</f>
        <v/>
      </c>
      <c r="X983" s="1"/>
      <c r="Y983" s="1"/>
      <c r="Z983" s="1"/>
      <c r="AA983" s="1"/>
      <c r="AB983" s="1"/>
      <c r="AC983" s="1"/>
      <c r="AD983" s="1"/>
    </row>
    <row r="984" customFormat="false" ht="18" hidden="false" customHeight="true" outlineLevel="0" collapsed="false">
      <c r="A984" s="1"/>
      <c r="B984" s="35"/>
      <c r="C984" s="8"/>
      <c r="D984" s="26"/>
      <c r="E984" s="27"/>
      <c r="F984" s="36"/>
      <c r="G984" s="36"/>
      <c r="H984" s="36"/>
      <c r="I984" s="36"/>
      <c r="J984" s="37" t="str">
        <f aca="false">IF($E984="","",IFERROR(G984/F984,""))</f>
        <v/>
      </c>
      <c r="K984" s="30" t="str">
        <f aca="false">IF($E984="","",IFERROR(E984/G984,""))</f>
        <v/>
      </c>
      <c r="L984" s="30" t="str">
        <f aca="false">IF($E984="","",IFERROR(E984/F984*1000,""))</f>
        <v/>
      </c>
      <c r="M984" s="37" t="str">
        <f aca="false">IF($E984="","",IFERROR(H984/G984,""))</f>
        <v/>
      </c>
      <c r="N984" s="30" t="str">
        <f aca="false">IF($E984="","",IFERROR(E984/H984,"—"))</f>
        <v/>
      </c>
      <c r="O984" s="30" t="str">
        <f aca="false">IF($E984="","",IFERROR(INDEX('Гео-калькулятор'!$K$7:$K$13,MATCH($C984,'Гео-калькулятор'!$B$7:$B$13,0)),""))</f>
        <v/>
      </c>
      <c r="P984" s="38" t="str">
        <f aca="false">IF($E984="","",IFERROR(N984/O984,""))</f>
        <v/>
      </c>
      <c r="Q984" s="39" t="str">
        <f aca="false">IF($E984="","",IF($I984&lt;&gt;"",$I984,N($H984)*IFERROR(INDEX('Гео-калькулятор'!$E$7:$E$13,MATCH($C984,'Гео-калькулятор'!$B$7:$B$13,0)),0)))</f>
        <v/>
      </c>
      <c r="R984" s="38" t="str">
        <f aca="false">IF($E984="","",IFERROR(Q984/H984,""))</f>
        <v/>
      </c>
      <c r="S984" s="30" t="str">
        <f aca="false">IF($E984="","",IFERROR(E984/Q984,"—"))</f>
        <v/>
      </c>
      <c r="T984" s="30" t="str">
        <f aca="false">IF($E984="","",Q984*IFERROR(INDEX('Гео-калькулятор'!$D$7:$D$13,MATCH($C984,'Гео-калькулятор'!$B$7:$B$13,0)),0))</f>
        <v/>
      </c>
      <c r="U984" s="40" t="str">
        <f aca="false">IF($E984="","",T984-E984)</f>
        <v/>
      </c>
      <c r="V984" s="41" t="str">
        <f aca="false">IF($E984="","",IFERROR(U984/E984,""))</f>
        <v/>
      </c>
      <c r="W984" s="10" t="str">
        <f aca="false">IF($E984="","",IF($I984&lt;&gt;"","факт","прогноз"))</f>
        <v/>
      </c>
      <c r="X984" s="1"/>
      <c r="Y984" s="1"/>
      <c r="Z984" s="1"/>
      <c r="AA984" s="1"/>
      <c r="AB984" s="1"/>
      <c r="AC984" s="1"/>
      <c r="AD984" s="1"/>
    </row>
    <row r="985" customFormat="false" ht="18" hidden="false" customHeight="true" outlineLevel="0" collapsed="false">
      <c r="A985" s="1"/>
      <c r="B985" s="35"/>
      <c r="C985" s="8"/>
      <c r="D985" s="26"/>
      <c r="E985" s="27"/>
      <c r="F985" s="36"/>
      <c r="G985" s="36"/>
      <c r="H985" s="36"/>
      <c r="I985" s="36"/>
      <c r="J985" s="37" t="str">
        <f aca="false">IF($E985="","",IFERROR(G985/F985,""))</f>
        <v/>
      </c>
      <c r="K985" s="30" t="str">
        <f aca="false">IF($E985="","",IFERROR(E985/G985,""))</f>
        <v/>
      </c>
      <c r="L985" s="30" t="str">
        <f aca="false">IF($E985="","",IFERROR(E985/F985*1000,""))</f>
        <v/>
      </c>
      <c r="M985" s="37" t="str">
        <f aca="false">IF($E985="","",IFERROR(H985/G985,""))</f>
        <v/>
      </c>
      <c r="N985" s="30" t="str">
        <f aca="false">IF($E985="","",IFERROR(E985/H985,"—"))</f>
        <v/>
      </c>
      <c r="O985" s="30" t="str">
        <f aca="false">IF($E985="","",IFERROR(INDEX('Гео-калькулятор'!$K$7:$K$13,MATCH($C985,'Гео-калькулятор'!$B$7:$B$13,0)),""))</f>
        <v/>
      </c>
      <c r="P985" s="38" t="str">
        <f aca="false">IF($E985="","",IFERROR(N985/O985,""))</f>
        <v/>
      </c>
      <c r="Q985" s="39" t="str">
        <f aca="false">IF($E985="","",IF($I985&lt;&gt;"",$I985,N($H985)*IFERROR(INDEX('Гео-калькулятор'!$E$7:$E$13,MATCH($C985,'Гео-калькулятор'!$B$7:$B$13,0)),0)))</f>
        <v/>
      </c>
      <c r="R985" s="38" t="str">
        <f aca="false">IF($E985="","",IFERROR(Q985/H985,""))</f>
        <v/>
      </c>
      <c r="S985" s="30" t="str">
        <f aca="false">IF($E985="","",IFERROR(E985/Q985,"—"))</f>
        <v/>
      </c>
      <c r="T985" s="30" t="str">
        <f aca="false">IF($E985="","",Q985*IFERROR(INDEX('Гео-калькулятор'!$D$7:$D$13,MATCH($C985,'Гео-калькулятор'!$B$7:$B$13,0)),0))</f>
        <v/>
      </c>
      <c r="U985" s="40" t="str">
        <f aca="false">IF($E985="","",T985-E985)</f>
        <v/>
      </c>
      <c r="V985" s="41" t="str">
        <f aca="false">IF($E985="","",IFERROR(U985/E985,""))</f>
        <v/>
      </c>
      <c r="W985" s="10" t="str">
        <f aca="false">IF($E985="","",IF($I985&lt;&gt;"","факт","прогноз"))</f>
        <v/>
      </c>
      <c r="X985" s="1"/>
      <c r="Y985" s="1"/>
      <c r="Z985" s="1"/>
      <c r="AA985" s="1"/>
      <c r="AB985" s="1"/>
      <c r="AC985" s="1"/>
      <c r="AD985" s="1"/>
    </row>
    <row r="986" customFormat="false" ht="18" hidden="false" customHeight="true" outlineLevel="0" collapsed="false">
      <c r="A986" s="1"/>
      <c r="B986" s="35"/>
      <c r="C986" s="8"/>
      <c r="D986" s="26"/>
      <c r="E986" s="27"/>
      <c r="F986" s="36"/>
      <c r="G986" s="36"/>
      <c r="H986" s="36"/>
      <c r="I986" s="36"/>
      <c r="J986" s="37" t="str">
        <f aca="false">IF($E986="","",IFERROR(G986/F986,""))</f>
        <v/>
      </c>
      <c r="K986" s="30" t="str">
        <f aca="false">IF($E986="","",IFERROR(E986/G986,""))</f>
        <v/>
      </c>
      <c r="L986" s="30" t="str">
        <f aca="false">IF($E986="","",IFERROR(E986/F986*1000,""))</f>
        <v/>
      </c>
      <c r="M986" s="37" t="str">
        <f aca="false">IF($E986="","",IFERROR(H986/G986,""))</f>
        <v/>
      </c>
      <c r="N986" s="30" t="str">
        <f aca="false">IF($E986="","",IFERROR(E986/H986,"—"))</f>
        <v/>
      </c>
      <c r="O986" s="30" t="str">
        <f aca="false">IF($E986="","",IFERROR(INDEX('Гео-калькулятор'!$K$7:$K$13,MATCH($C986,'Гео-калькулятор'!$B$7:$B$13,0)),""))</f>
        <v/>
      </c>
      <c r="P986" s="38" t="str">
        <f aca="false">IF($E986="","",IFERROR(N986/O986,""))</f>
        <v/>
      </c>
      <c r="Q986" s="39" t="str">
        <f aca="false">IF($E986="","",IF($I986&lt;&gt;"",$I986,N($H986)*IFERROR(INDEX('Гео-калькулятор'!$E$7:$E$13,MATCH($C986,'Гео-калькулятор'!$B$7:$B$13,0)),0)))</f>
        <v/>
      </c>
      <c r="R986" s="38" t="str">
        <f aca="false">IF($E986="","",IFERROR(Q986/H986,""))</f>
        <v/>
      </c>
      <c r="S986" s="30" t="str">
        <f aca="false">IF($E986="","",IFERROR(E986/Q986,"—"))</f>
        <v/>
      </c>
      <c r="T986" s="30" t="str">
        <f aca="false">IF($E986="","",Q986*IFERROR(INDEX('Гео-калькулятор'!$D$7:$D$13,MATCH($C986,'Гео-калькулятор'!$B$7:$B$13,0)),0))</f>
        <v/>
      </c>
      <c r="U986" s="40" t="str">
        <f aca="false">IF($E986="","",T986-E986)</f>
        <v/>
      </c>
      <c r="V986" s="41" t="str">
        <f aca="false">IF($E986="","",IFERROR(U986/E986,""))</f>
        <v/>
      </c>
      <c r="W986" s="10" t="str">
        <f aca="false">IF($E986="","",IF($I986&lt;&gt;"","факт","прогноз"))</f>
        <v/>
      </c>
      <c r="X986" s="1"/>
      <c r="Y986" s="1"/>
      <c r="Z986" s="1"/>
      <c r="AA986" s="1"/>
      <c r="AB986" s="1"/>
      <c r="AC986" s="1"/>
      <c r="AD986" s="1"/>
    </row>
    <row r="987" customFormat="false" ht="18" hidden="false" customHeight="true" outlineLevel="0" collapsed="false">
      <c r="A987" s="1"/>
      <c r="B987" s="35"/>
      <c r="C987" s="8"/>
      <c r="D987" s="26"/>
      <c r="E987" s="27"/>
      <c r="F987" s="36"/>
      <c r="G987" s="36"/>
      <c r="H987" s="36"/>
      <c r="I987" s="36"/>
      <c r="J987" s="37" t="str">
        <f aca="false">IF($E987="","",IFERROR(G987/F987,""))</f>
        <v/>
      </c>
      <c r="K987" s="30" t="str">
        <f aca="false">IF($E987="","",IFERROR(E987/G987,""))</f>
        <v/>
      </c>
      <c r="L987" s="30" t="str">
        <f aca="false">IF($E987="","",IFERROR(E987/F987*1000,""))</f>
        <v/>
      </c>
      <c r="M987" s="37" t="str">
        <f aca="false">IF($E987="","",IFERROR(H987/G987,""))</f>
        <v/>
      </c>
      <c r="N987" s="30" t="str">
        <f aca="false">IF($E987="","",IFERROR(E987/H987,"—"))</f>
        <v/>
      </c>
      <c r="O987" s="30" t="str">
        <f aca="false">IF($E987="","",IFERROR(INDEX('Гео-калькулятор'!$K$7:$K$13,MATCH($C987,'Гео-калькулятор'!$B$7:$B$13,0)),""))</f>
        <v/>
      </c>
      <c r="P987" s="38" t="str">
        <f aca="false">IF($E987="","",IFERROR(N987/O987,""))</f>
        <v/>
      </c>
      <c r="Q987" s="39" t="str">
        <f aca="false">IF($E987="","",IF($I987&lt;&gt;"",$I987,N($H987)*IFERROR(INDEX('Гео-калькулятор'!$E$7:$E$13,MATCH($C987,'Гео-калькулятор'!$B$7:$B$13,0)),0)))</f>
        <v/>
      </c>
      <c r="R987" s="38" t="str">
        <f aca="false">IF($E987="","",IFERROR(Q987/H987,""))</f>
        <v/>
      </c>
      <c r="S987" s="30" t="str">
        <f aca="false">IF($E987="","",IFERROR(E987/Q987,"—"))</f>
        <v/>
      </c>
      <c r="T987" s="30" t="str">
        <f aca="false">IF($E987="","",Q987*IFERROR(INDEX('Гео-калькулятор'!$D$7:$D$13,MATCH($C987,'Гео-калькулятор'!$B$7:$B$13,0)),0))</f>
        <v/>
      </c>
      <c r="U987" s="40" t="str">
        <f aca="false">IF($E987="","",T987-E987)</f>
        <v/>
      </c>
      <c r="V987" s="41" t="str">
        <f aca="false">IF($E987="","",IFERROR(U987/E987,""))</f>
        <v/>
      </c>
      <c r="W987" s="10" t="str">
        <f aca="false">IF($E987="","",IF($I987&lt;&gt;"","факт","прогноз"))</f>
        <v/>
      </c>
      <c r="X987" s="1"/>
      <c r="Y987" s="1"/>
      <c r="Z987" s="1"/>
      <c r="AA987" s="1"/>
      <c r="AB987" s="1"/>
      <c r="AC987" s="1"/>
      <c r="AD987" s="1"/>
    </row>
    <row r="988" customFormat="false" ht="18" hidden="false" customHeight="true" outlineLevel="0" collapsed="false">
      <c r="A988" s="1"/>
      <c r="B988" s="35"/>
      <c r="C988" s="8"/>
      <c r="D988" s="26"/>
      <c r="E988" s="27"/>
      <c r="F988" s="36"/>
      <c r="G988" s="36"/>
      <c r="H988" s="36"/>
      <c r="I988" s="36"/>
      <c r="J988" s="37" t="str">
        <f aca="false">IF($E988="","",IFERROR(G988/F988,""))</f>
        <v/>
      </c>
      <c r="K988" s="30" t="str">
        <f aca="false">IF($E988="","",IFERROR(E988/G988,""))</f>
        <v/>
      </c>
      <c r="L988" s="30" t="str">
        <f aca="false">IF($E988="","",IFERROR(E988/F988*1000,""))</f>
        <v/>
      </c>
      <c r="M988" s="37" t="str">
        <f aca="false">IF($E988="","",IFERROR(H988/G988,""))</f>
        <v/>
      </c>
      <c r="N988" s="30" t="str">
        <f aca="false">IF($E988="","",IFERROR(E988/H988,"—"))</f>
        <v/>
      </c>
      <c r="O988" s="30" t="str">
        <f aca="false">IF($E988="","",IFERROR(INDEX('Гео-калькулятор'!$K$7:$K$13,MATCH($C988,'Гео-калькулятор'!$B$7:$B$13,0)),""))</f>
        <v/>
      </c>
      <c r="P988" s="38" t="str">
        <f aca="false">IF($E988="","",IFERROR(N988/O988,""))</f>
        <v/>
      </c>
      <c r="Q988" s="39" t="str">
        <f aca="false">IF($E988="","",IF($I988&lt;&gt;"",$I988,N($H988)*IFERROR(INDEX('Гео-калькулятор'!$E$7:$E$13,MATCH($C988,'Гео-калькулятор'!$B$7:$B$13,0)),0)))</f>
        <v/>
      </c>
      <c r="R988" s="38" t="str">
        <f aca="false">IF($E988="","",IFERROR(Q988/H988,""))</f>
        <v/>
      </c>
      <c r="S988" s="30" t="str">
        <f aca="false">IF($E988="","",IFERROR(E988/Q988,"—"))</f>
        <v/>
      </c>
      <c r="T988" s="30" t="str">
        <f aca="false">IF($E988="","",Q988*IFERROR(INDEX('Гео-калькулятор'!$D$7:$D$13,MATCH($C988,'Гео-калькулятор'!$B$7:$B$13,0)),0))</f>
        <v/>
      </c>
      <c r="U988" s="40" t="str">
        <f aca="false">IF($E988="","",T988-E988)</f>
        <v/>
      </c>
      <c r="V988" s="41" t="str">
        <f aca="false">IF($E988="","",IFERROR(U988/E988,""))</f>
        <v/>
      </c>
      <c r="W988" s="10" t="str">
        <f aca="false">IF($E988="","",IF($I988&lt;&gt;"","факт","прогноз"))</f>
        <v/>
      </c>
      <c r="X988" s="1"/>
      <c r="Y988" s="1"/>
      <c r="Z988" s="1"/>
      <c r="AA988" s="1"/>
      <c r="AB988" s="1"/>
      <c r="AC988" s="1"/>
      <c r="AD988" s="1"/>
    </row>
    <row r="989" customFormat="false" ht="18" hidden="false" customHeight="true" outlineLevel="0" collapsed="false">
      <c r="A989" s="1"/>
      <c r="B989" s="35"/>
      <c r="C989" s="8"/>
      <c r="D989" s="26"/>
      <c r="E989" s="27"/>
      <c r="F989" s="36"/>
      <c r="G989" s="36"/>
      <c r="H989" s="36"/>
      <c r="I989" s="36"/>
      <c r="J989" s="37" t="str">
        <f aca="false">IF($E989="","",IFERROR(G989/F989,""))</f>
        <v/>
      </c>
      <c r="K989" s="30" t="str">
        <f aca="false">IF($E989="","",IFERROR(E989/G989,""))</f>
        <v/>
      </c>
      <c r="L989" s="30" t="str">
        <f aca="false">IF($E989="","",IFERROR(E989/F989*1000,""))</f>
        <v/>
      </c>
      <c r="M989" s="37" t="str">
        <f aca="false">IF($E989="","",IFERROR(H989/G989,""))</f>
        <v/>
      </c>
      <c r="N989" s="30" t="str">
        <f aca="false">IF($E989="","",IFERROR(E989/H989,"—"))</f>
        <v/>
      </c>
      <c r="O989" s="30" t="str">
        <f aca="false">IF($E989="","",IFERROR(INDEX('Гео-калькулятор'!$K$7:$K$13,MATCH($C989,'Гео-калькулятор'!$B$7:$B$13,0)),""))</f>
        <v/>
      </c>
      <c r="P989" s="38" t="str">
        <f aca="false">IF($E989="","",IFERROR(N989/O989,""))</f>
        <v/>
      </c>
      <c r="Q989" s="39" t="str">
        <f aca="false">IF($E989="","",IF($I989&lt;&gt;"",$I989,N($H989)*IFERROR(INDEX('Гео-калькулятор'!$E$7:$E$13,MATCH($C989,'Гео-калькулятор'!$B$7:$B$13,0)),0)))</f>
        <v/>
      </c>
      <c r="R989" s="38" t="str">
        <f aca="false">IF($E989="","",IFERROR(Q989/H989,""))</f>
        <v/>
      </c>
      <c r="S989" s="30" t="str">
        <f aca="false">IF($E989="","",IFERROR(E989/Q989,"—"))</f>
        <v/>
      </c>
      <c r="T989" s="30" t="str">
        <f aca="false">IF($E989="","",Q989*IFERROR(INDEX('Гео-калькулятор'!$D$7:$D$13,MATCH($C989,'Гео-калькулятор'!$B$7:$B$13,0)),0))</f>
        <v/>
      </c>
      <c r="U989" s="40" t="str">
        <f aca="false">IF($E989="","",T989-E989)</f>
        <v/>
      </c>
      <c r="V989" s="41" t="str">
        <f aca="false">IF($E989="","",IFERROR(U989/E989,""))</f>
        <v/>
      </c>
      <c r="W989" s="10" t="str">
        <f aca="false">IF($E989="","",IF($I989&lt;&gt;"","факт","прогноз"))</f>
        <v/>
      </c>
      <c r="X989" s="1"/>
      <c r="Y989" s="1"/>
      <c r="Z989" s="1"/>
      <c r="AA989" s="1"/>
      <c r="AB989" s="1"/>
      <c r="AC989" s="1"/>
      <c r="AD989" s="1"/>
    </row>
    <row r="990" customFormat="false" ht="18" hidden="false" customHeight="true" outlineLevel="0" collapsed="false">
      <c r="A990" s="1"/>
      <c r="B990" s="35"/>
      <c r="C990" s="8"/>
      <c r="D990" s="26"/>
      <c r="E990" s="27"/>
      <c r="F990" s="36"/>
      <c r="G990" s="36"/>
      <c r="H990" s="36"/>
      <c r="I990" s="36"/>
      <c r="J990" s="37" t="str">
        <f aca="false">IF($E990="","",IFERROR(G990/F990,""))</f>
        <v/>
      </c>
      <c r="K990" s="30" t="str">
        <f aca="false">IF($E990="","",IFERROR(E990/G990,""))</f>
        <v/>
      </c>
      <c r="L990" s="30" t="str">
        <f aca="false">IF($E990="","",IFERROR(E990/F990*1000,""))</f>
        <v/>
      </c>
      <c r="M990" s="37" t="str">
        <f aca="false">IF($E990="","",IFERROR(H990/G990,""))</f>
        <v/>
      </c>
      <c r="N990" s="30" t="str">
        <f aca="false">IF($E990="","",IFERROR(E990/H990,"—"))</f>
        <v/>
      </c>
      <c r="O990" s="30" t="str">
        <f aca="false">IF($E990="","",IFERROR(INDEX('Гео-калькулятор'!$K$7:$K$13,MATCH($C990,'Гео-калькулятор'!$B$7:$B$13,0)),""))</f>
        <v/>
      </c>
      <c r="P990" s="38" t="str">
        <f aca="false">IF($E990="","",IFERROR(N990/O990,""))</f>
        <v/>
      </c>
      <c r="Q990" s="39" t="str">
        <f aca="false">IF($E990="","",IF($I990&lt;&gt;"",$I990,N($H990)*IFERROR(INDEX('Гео-калькулятор'!$E$7:$E$13,MATCH($C990,'Гео-калькулятор'!$B$7:$B$13,0)),0)))</f>
        <v/>
      </c>
      <c r="R990" s="38" t="str">
        <f aca="false">IF($E990="","",IFERROR(Q990/H990,""))</f>
        <v/>
      </c>
      <c r="S990" s="30" t="str">
        <f aca="false">IF($E990="","",IFERROR(E990/Q990,"—"))</f>
        <v/>
      </c>
      <c r="T990" s="30" t="str">
        <f aca="false">IF($E990="","",Q990*IFERROR(INDEX('Гео-калькулятор'!$D$7:$D$13,MATCH($C990,'Гео-калькулятор'!$B$7:$B$13,0)),0))</f>
        <v/>
      </c>
      <c r="U990" s="40" t="str">
        <f aca="false">IF($E990="","",T990-E990)</f>
        <v/>
      </c>
      <c r="V990" s="41" t="str">
        <f aca="false">IF($E990="","",IFERROR(U990/E990,""))</f>
        <v/>
      </c>
      <c r="W990" s="10" t="str">
        <f aca="false">IF($E990="","",IF($I990&lt;&gt;"","факт","прогноз"))</f>
        <v/>
      </c>
      <c r="X990" s="1"/>
      <c r="Y990" s="1"/>
      <c r="Z990" s="1"/>
      <c r="AA990" s="1"/>
      <c r="AB990" s="1"/>
      <c r="AC990" s="1"/>
      <c r="AD990" s="1"/>
    </row>
    <row r="991" customFormat="false" ht="18" hidden="false" customHeight="true" outlineLevel="0" collapsed="false">
      <c r="A991" s="1"/>
      <c r="B991" s="35"/>
      <c r="C991" s="8"/>
      <c r="D991" s="26"/>
      <c r="E991" s="27"/>
      <c r="F991" s="36"/>
      <c r="G991" s="36"/>
      <c r="H991" s="36"/>
      <c r="I991" s="36"/>
      <c r="J991" s="37" t="str">
        <f aca="false">IF($E991="","",IFERROR(G991/F991,""))</f>
        <v/>
      </c>
      <c r="K991" s="30" t="str">
        <f aca="false">IF($E991="","",IFERROR(E991/G991,""))</f>
        <v/>
      </c>
      <c r="L991" s="30" t="str">
        <f aca="false">IF($E991="","",IFERROR(E991/F991*1000,""))</f>
        <v/>
      </c>
      <c r="M991" s="37" t="str">
        <f aca="false">IF($E991="","",IFERROR(H991/G991,""))</f>
        <v/>
      </c>
      <c r="N991" s="30" t="str">
        <f aca="false">IF($E991="","",IFERROR(E991/H991,"—"))</f>
        <v/>
      </c>
      <c r="O991" s="30" t="str">
        <f aca="false">IF($E991="","",IFERROR(INDEX('Гео-калькулятор'!$K$7:$K$13,MATCH($C991,'Гео-калькулятор'!$B$7:$B$13,0)),""))</f>
        <v/>
      </c>
      <c r="P991" s="38" t="str">
        <f aca="false">IF($E991="","",IFERROR(N991/O991,""))</f>
        <v/>
      </c>
      <c r="Q991" s="39" t="str">
        <f aca="false">IF($E991="","",IF($I991&lt;&gt;"",$I991,N($H991)*IFERROR(INDEX('Гео-калькулятор'!$E$7:$E$13,MATCH($C991,'Гео-калькулятор'!$B$7:$B$13,0)),0)))</f>
        <v/>
      </c>
      <c r="R991" s="38" t="str">
        <f aca="false">IF($E991="","",IFERROR(Q991/H991,""))</f>
        <v/>
      </c>
      <c r="S991" s="30" t="str">
        <f aca="false">IF($E991="","",IFERROR(E991/Q991,"—"))</f>
        <v/>
      </c>
      <c r="T991" s="30" t="str">
        <f aca="false">IF($E991="","",Q991*IFERROR(INDEX('Гео-калькулятор'!$D$7:$D$13,MATCH($C991,'Гео-калькулятор'!$B$7:$B$13,0)),0))</f>
        <v/>
      </c>
      <c r="U991" s="40" t="str">
        <f aca="false">IF($E991="","",T991-E991)</f>
        <v/>
      </c>
      <c r="V991" s="41" t="str">
        <f aca="false">IF($E991="","",IFERROR(U991/E991,""))</f>
        <v/>
      </c>
      <c r="W991" s="10" t="str">
        <f aca="false">IF($E991="","",IF($I991&lt;&gt;"","факт","прогноз"))</f>
        <v/>
      </c>
      <c r="X991" s="1"/>
      <c r="Y991" s="1"/>
      <c r="Z991" s="1"/>
      <c r="AA991" s="1"/>
      <c r="AB991" s="1"/>
      <c r="AC991" s="1"/>
      <c r="AD991" s="1"/>
    </row>
    <row r="992" customFormat="false" ht="18" hidden="false" customHeight="true" outlineLevel="0" collapsed="false">
      <c r="A992" s="1"/>
      <c r="B992" s="35"/>
      <c r="C992" s="8"/>
      <c r="D992" s="26"/>
      <c r="E992" s="27"/>
      <c r="F992" s="36"/>
      <c r="G992" s="36"/>
      <c r="H992" s="36"/>
      <c r="I992" s="36"/>
      <c r="J992" s="37" t="str">
        <f aca="false">IF($E992="","",IFERROR(G992/F992,""))</f>
        <v/>
      </c>
      <c r="K992" s="30" t="str">
        <f aca="false">IF($E992="","",IFERROR(E992/G992,""))</f>
        <v/>
      </c>
      <c r="L992" s="30" t="str">
        <f aca="false">IF($E992="","",IFERROR(E992/F992*1000,""))</f>
        <v/>
      </c>
      <c r="M992" s="37" t="str">
        <f aca="false">IF($E992="","",IFERROR(H992/G992,""))</f>
        <v/>
      </c>
      <c r="N992" s="30" t="str">
        <f aca="false">IF($E992="","",IFERROR(E992/H992,"—"))</f>
        <v/>
      </c>
      <c r="O992" s="30" t="str">
        <f aca="false">IF($E992="","",IFERROR(INDEX('Гео-калькулятор'!$K$7:$K$13,MATCH($C992,'Гео-калькулятор'!$B$7:$B$13,0)),""))</f>
        <v/>
      </c>
      <c r="P992" s="38" t="str">
        <f aca="false">IF($E992="","",IFERROR(N992/O992,""))</f>
        <v/>
      </c>
      <c r="Q992" s="39" t="str">
        <f aca="false">IF($E992="","",IF($I992&lt;&gt;"",$I992,N($H992)*IFERROR(INDEX('Гео-калькулятор'!$E$7:$E$13,MATCH($C992,'Гео-калькулятор'!$B$7:$B$13,0)),0)))</f>
        <v/>
      </c>
      <c r="R992" s="38" t="str">
        <f aca="false">IF($E992="","",IFERROR(Q992/H992,""))</f>
        <v/>
      </c>
      <c r="S992" s="30" t="str">
        <f aca="false">IF($E992="","",IFERROR(E992/Q992,"—"))</f>
        <v/>
      </c>
      <c r="T992" s="30" t="str">
        <f aca="false">IF($E992="","",Q992*IFERROR(INDEX('Гео-калькулятор'!$D$7:$D$13,MATCH($C992,'Гео-калькулятор'!$B$7:$B$13,0)),0))</f>
        <v/>
      </c>
      <c r="U992" s="40" t="str">
        <f aca="false">IF($E992="","",T992-E992)</f>
        <v/>
      </c>
      <c r="V992" s="41" t="str">
        <f aca="false">IF($E992="","",IFERROR(U992/E992,""))</f>
        <v/>
      </c>
      <c r="W992" s="10" t="str">
        <f aca="false">IF($E992="","",IF($I992&lt;&gt;"","факт","прогноз"))</f>
        <v/>
      </c>
      <c r="X992" s="1"/>
      <c r="Y992" s="1"/>
      <c r="Z992" s="1"/>
      <c r="AA992" s="1"/>
      <c r="AB992" s="1"/>
      <c r="AC992" s="1"/>
      <c r="AD992" s="1"/>
    </row>
    <row r="993" customFormat="false" ht="18" hidden="false" customHeight="true" outlineLevel="0" collapsed="false">
      <c r="A993" s="1"/>
      <c r="B993" s="35"/>
      <c r="C993" s="8"/>
      <c r="D993" s="26"/>
      <c r="E993" s="27"/>
      <c r="F993" s="36"/>
      <c r="G993" s="36"/>
      <c r="H993" s="36"/>
      <c r="I993" s="36"/>
      <c r="J993" s="37" t="str">
        <f aca="false">IF($E993="","",IFERROR(G993/F993,""))</f>
        <v/>
      </c>
      <c r="K993" s="30" t="str">
        <f aca="false">IF($E993="","",IFERROR(E993/G993,""))</f>
        <v/>
      </c>
      <c r="L993" s="30" t="str">
        <f aca="false">IF($E993="","",IFERROR(E993/F993*1000,""))</f>
        <v/>
      </c>
      <c r="M993" s="37" t="str">
        <f aca="false">IF($E993="","",IFERROR(H993/G993,""))</f>
        <v/>
      </c>
      <c r="N993" s="30" t="str">
        <f aca="false">IF($E993="","",IFERROR(E993/H993,"—"))</f>
        <v/>
      </c>
      <c r="O993" s="30" t="str">
        <f aca="false">IF($E993="","",IFERROR(INDEX('Гео-калькулятор'!$K$7:$K$13,MATCH($C993,'Гео-калькулятор'!$B$7:$B$13,0)),""))</f>
        <v/>
      </c>
      <c r="P993" s="38" t="str">
        <f aca="false">IF($E993="","",IFERROR(N993/O993,""))</f>
        <v/>
      </c>
      <c r="Q993" s="39" t="str">
        <f aca="false">IF($E993="","",IF($I993&lt;&gt;"",$I993,N($H993)*IFERROR(INDEX('Гео-калькулятор'!$E$7:$E$13,MATCH($C993,'Гео-калькулятор'!$B$7:$B$13,0)),0)))</f>
        <v/>
      </c>
      <c r="R993" s="38" t="str">
        <f aca="false">IF($E993="","",IFERROR(Q993/H993,""))</f>
        <v/>
      </c>
      <c r="S993" s="30" t="str">
        <f aca="false">IF($E993="","",IFERROR(E993/Q993,"—"))</f>
        <v/>
      </c>
      <c r="T993" s="30" t="str">
        <f aca="false">IF($E993="","",Q993*IFERROR(INDEX('Гео-калькулятор'!$D$7:$D$13,MATCH($C993,'Гео-калькулятор'!$B$7:$B$13,0)),0))</f>
        <v/>
      </c>
      <c r="U993" s="40" t="str">
        <f aca="false">IF($E993="","",T993-E993)</f>
        <v/>
      </c>
      <c r="V993" s="41" t="str">
        <f aca="false">IF($E993="","",IFERROR(U993/E993,""))</f>
        <v/>
      </c>
      <c r="W993" s="10" t="str">
        <f aca="false">IF($E993="","",IF($I993&lt;&gt;"","факт","прогноз"))</f>
        <v/>
      </c>
      <c r="X993" s="1"/>
      <c r="Y993" s="1"/>
      <c r="Z993" s="1"/>
      <c r="AA993" s="1"/>
      <c r="AB993" s="1"/>
      <c r="AC993" s="1"/>
      <c r="AD993" s="1"/>
    </row>
    <row r="994" customFormat="false" ht="18" hidden="false" customHeight="true" outlineLevel="0" collapsed="false">
      <c r="A994" s="1"/>
      <c r="B994" s="35"/>
      <c r="C994" s="8"/>
      <c r="D994" s="26"/>
      <c r="E994" s="27"/>
      <c r="F994" s="36"/>
      <c r="G994" s="36"/>
      <c r="H994" s="36"/>
      <c r="I994" s="36"/>
      <c r="J994" s="37" t="str">
        <f aca="false">IF($E994="","",IFERROR(G994/F994,""))</f>
        <v/>
      </c>
      <c r="K994" s="30" t="str">
        <f aca="false">IF($E994="","",IFERROR(E994/G994,""))</f>
        <v/>
      </c>
      <c r="L994" s="30" t="str">
        <f aca="false">IF($E994="","",IFERROR(E994/F994*1000,""))</f>
        <v/>
      </c>
      <c r="M994" s="37" t="str">
        <f aca="false">IF($E994="","",IFERROR(H994/G994,""))</f>
        <v/>
      </c>
      <c r="N994" s="30" t="str">
        <f aca="false">IF($E994="","",IFERROR(E994/H994,"—"))</f>
        <v/>
      </c>
      <c r="O994" s="30" t="str">
        <f aca="false">IF($E994="","",IFERROR(INDEX('Гео-калькулятор'!$K$7:$K$13,MATCH($C994,'Гео-калькулятор'!$B$7:$B$13,0)),""))</f>
        <v/>
      </c>
      <c r="P994" s="38" t="str">
        <f aca="false">IF($E994="","",IFERROR(N994/O994,""))</f>
        <v/>
      </c>
      <c r="Q994" s="39" t="str">
        <f aca="false">IF($E994="","",IF($I994&lt;&gt;"",$I994,N($H994)*IFERROR(INDEX('Гео-калькулятор'!$E$7:$E$13,MATCH($C994,'Гео-калькулятор'!$B$7:$B$13,0)),0)))</f>
        <v/>
      </c>
      <c r="R994" s="38" t="str">
        <f aca="false">IF($E994="","",IFERROR(Q994/H994,""))</f>
        <v/>
      </c>
      <c r="S994" s="30" t="str">
        <f aca="false">IF($E994="","",IFERROR(E994/Q994,"—"))</f>
        <v/>
      </c>
      <c r="T994" s="30" t="str">
        <f aca="false">IF($E994="","",Q994*IFERROR(INDEX('Гео-калькулятор'!$D$7:$D$13,MATCH($C994,'Гео-калькулятор'!$B$7:$B$13,0)),0))</f>
        <v/>
      </c>
      <c r="U994" s="40" t="str">
        <f aca="false">IF($E994="","",T994-E994)</f>
        <v/>
      </c>
      <c r="V994" s="41" t="str">
        <f aca="false">IF($E994="","",IFERROR(U994/E994,""))</f>
        <v/>
      </c>
      <c r="W994" s="10" t="str">
        <f aca="false">IF($E994="","",IF($I994&lt;&gt;"","факт","прогноз"))</f>
        <v/>
      </c>
      <c r="X994" s="1"/>
      <c r="Y994" s="1"/>
      <c r="Z994" s="1"/>
      <c r="AA994" s="1"/>
      <c r="AB994" s="1"/>
      <c r="AC994" s="1"/>
      <c r="AD994" s="1"/>
    </row>
    <row r="995" customFormat="false" ht="18" hidden="false" customHeight="true" outlineLevel="0" collapsed="false">
      <c r="A995" s="1"/>
      <c r="B995" s="35"/>
      <c r="C995" s="8"/>
      <c r="D995" s="26"/>
      <c r="E995" s="27"/>
      <c r="F995" s="36"/>
      <c r="G995" s="36"/>
      <c r="H995" s="36"/>
      <c r="I995" s="36"/>
      <c r="J995" s="37" t="str">
        <f aca="false">IF($E995="","",IFERROR(G995/F995,""))</f>
        <v/>
      </c>
      <c r="K995" s="30" t="str">
        <f aca="false">IF($E995="","",IFERROR(E995/G995,""))</f>
        <v/>
      </c>
      <c r="L995" s="30" t="str">
        <f aca="false">IF($E995="","",IFERROR(E995/F995*1000,""))</f>
        <v/>
      </c>
      <c r="M995" s="37" t="str">
        <f aca="false">IF($E995="","",IFERROR(H995/G995,""))</f>
        <v/>
      </c>
      <c r="N995" s="30" t="str">
        <f aca="false">IF($E995="","",IFERROR(E995/H995,"—"))</f>
        <v/>
      </c>
      <c r="O995" s="30" t="str">
        <f aca="false">IF($E995="","",IFERROR(INDEX('Гео-калькулятор'!$K$7:$K$13,MATCH($C995,'Гео-калькулятор'!$B$7:$B$13,0)),""))</f>
        <v/>
      </c>
      <c r="P995" s="38" t="str">
        <f aca="false">IF($E995="","",IFERROR(N995/O995,""))</f>
        <v/>
      </c>
      <c r="Q995" s="39" t="str">
        <f aca="false">IF($E995="","",IF($I995&lt;&gt;"",$I995,N($H995)*IFERROR(INDEX('Гео-калькулятор'!$E$7:$E$13,MATCH($C995,'Гео-калькулятор'!$B$7:$B$13,0)),0)))</f>
        <v/>
      </c>
      <c r="R995" s="38" t="str">
        <f aca="false">IF($E995="","",IFERROR(Q995/H995,""))</f>
        <v/>
      </c>
      <c r="S995" s="30" t="str">
        <f aca="false">IF($E995="","",IFERROR(E995/Q995,"—"))</f>
        <v/>
      </c>
      <c r="T995" s="30" t="str">
        <f aca="false">IF($E995="","",Q995*IFERROR(INDEX('Гео-калькулятор'!$D$7:$D$13,MATCH($C995,'Гео-калькулятор'!$B$7:$B$13,0)),0))</f>
        <v/>
      </c>
      <c r="U995" s="40" t="str">
        <f aca="false">IF($E995="","",T995-E995)</f>
        <v/>
      </c>
      <c r="V995" s="41" t="str">
        <f aca="false">IF($E995="","",IFERROR(U995/E995,""))</f>
        <v/>
      </c>
      <c r="W995" s="10" t="str">
        <f aca="false">IF($E995="","",IF($I995&lt;&gt;"","факт","прогноз"))</f>
        <v/>
      </c>
      <c r="X995" s="1"/>
      <c r="Y995" s="1"/>
      <c r="Z995" s="1"/>
      <c r="AA995" s="1"/>
      <c r="AB995" s="1"/>
      <c r="AC995" s="1"/>
      <c r="AD995" s="1"/>
    </row>
    <row r="996" customFormat="false" ht="18" hidden="false" customHeight="true" outlineLevel="0" collapsed="false">
      <c r="A996" s="1"/>
      <c r="B996" s="35"/>
      <c r="C996" s="8"/>
      <c r="D996" s="26"/>
      <c r="E996" s="27"/>
      <c r="F996" s="36"/>
      <c r="G996" s="36"/>
      <c r="H996" s="36"/>
      <c r="I996" s="36"/>
      <c r="J996" s="37" t="str">
        <f aca="false">IF($E996="","",IFERROR(G996/F996,""))</f>
        <v/>
      </c>
      <c r="K996" s="30" t="str">
        <f aca="false">IF($E996="","",IFERROR(E996/G996,""))</f>
        <v/>
      </c>
      <c r="L996" s="30" t="str">
        <f aca="false">IF($E996="","",IFERROR(E996/F996*1000,""))</f>
        <v/>
      </c>
      <c r="M996" s="37" t="str">
        <f aca="false">IF($E996="","",IFERROR(H996/G996,""))</f>
        <v/>
      </c>
      <c r="N996" s="30" t="str">
        <f aca="false">IF($E996="","",IFERROR(E996/H996,"—"))</f>
        <v/>
      </c>
      <c r="O996" s="30" t="str">
        <f aca="false">IF($E996="","",IFERROR(INDEX('Гео-калькулятор'!$K$7:$K$13,MATCH($C996,'Гео-калькулятор'!$B$7:$B$13,0)),""))</f>
        <v/>
      </c>
      <c r="P996" s="38" t="str">
        <f aca="false">IF($E996="","",IFERROR(N996/O996,""))</f>
        <v/>
      </c>
      <c r="Q996" s="39" t="str">
        <f aca="false">IF($E996="","",IF($I996&lt;&gt;"",$I996,N($H996)*IFERROR(INDEX('Гео-калькулятор'!$E$7:$E$13,MATCH($C996,'Гео-калькулятор'!$B$7:$B$13,0)),0)))</f>
        <v/>
      </c>
      <c r="R996" s="38" t="str">
        <f aca="false">IF($E996="","",IFERROR(Q996/H996,""))</f>
        <v/>
      </c>
      <c r="S996" s="30" t="str">
        <f aca="false">IF($E996="","",IFERROR(E996/Q996,"—"))</f>
        <v/>
      </c>
      <c r="T996" s="30" t="str">
        <f aca="false">IF($E996="","",Q996*IFERROR(INDEX('Гео-калькулятор'!$D$7:$D$13,MATCH($C996,'Гео-калькулятор'!$B$7:$B$13,0)),0))</f>
        <v/>
      </c>
      <c r="U996" s="40" t="str">
        <f aca="false">IF($E996="","",T996-E996)</f>
        <v/>
      </c>
      <c r="V996" s="41" t="str">
        <f aca="false">IF($E996="","",IFERROR(U996/E996,""))</f>
        <v/>
      </c>
      <c r="W996" s="10" t="str">
        <f aca="false">IF($E996="","",IF($I996&lt;&gt;"","факт","прогноз"))</f>
        <v/>
      </c>
      <c r="X996" s="1"/>
      <c r="Y996" s="1"/>
      <c r="Z996" s="1"/>
      <c r="AA996" s="1"/>
      <c r="AB996" s="1"/>
      <c r="AC996" s="1"/>
      <c r="AD996" s="1"/>
    </row>
    <row r="997" customFormat="false" ht="18" hidden="false" customHeight="true" outlineLevel="0" collapsed="false">
      <c r="A997" s="1"/>
      <c r="B997" s="35"/>
      <c r="C997" s="8"/>
      <c r="D997" s="26"/>
      <c r="E997" s="27"/>
      <c r="F997" s="36"/>
      <c r="G997" s="36"/>
      <c r="H997" s="36"/>
      <c r="I997" s="36"/>
      <c r="J997" s="37" t="str">
        <f aca="false">IF($E997="","",IFERROR(G997/F997,""))</f>
        <v/>
      </c>
      <c r="K997" s="30" t="str">
        <f aca="false">IF($E997="","",IFERROR(E997/G997,""))</f>
        <v/>
      </c>
      <c r="L997" s="30" t="str">
        <f aca="false">IF($E997="","",IFERROR(E997/F997*1000,""))</f>
        <v/>
      </c>
      <c r="M997" s="37" t="str">
        <f aca="false">IF($E997="","",IFERROR(H997/G997,""))</f>
        <v/>
      </c>
      <c r="N997" s="30" t="str">
        <f aca="false">IF($E997="","",IFERROR(E997/H997,"—"))</f>
        <v/>
      </c>
      <c r="O997" s="30" t="str">
        <f aca="false">IF($E997="","",IFERROR(INDEX('Гео-калькулятор'!$K$7:$K$13,MATCH($C997,'Гео-калькулятор'!$B$7:$B$13,0)),""))</f>
        <v/>
      </c>
      <c r="P997" s="38" t="str">
        <f aca="false">IF($E997="","",IFERROR(N997/O997,""))</f>
        <v/>
      </c>
      <c r="Q997" s="39" t="str">
        <f aca="false">IF($E997="","",IF($I997&lt;&gt;"",$I997,N($H997)*IFERROR(INDEX('Гео-калькулятор'!$E$7:$E$13,MATCH($C997,'Гео-калькулятор'!$B$7:$B$13,0)),0)))</f>
        <v/>
      </c>
      <c r="R997" s="38" t="str">
        <f aca="false">IF($E997="","",IFERROR(Q997/H997,""))</f>
        <v/>
      </c>
      <c r="S997" s="30" t="str">
        <f aca="false">IF($E997="","",IFERROR(E997/Q997,"—"))</f>
        <v/>
      </c>
      <c r="T997" s="30" t="str">
        <f aca="false">IF($E997="","",Q997*IFERROR(INDEX('Гео-калькулятор'!$D$7:$D$13,MATCH($C997,'Гео-калькулятор'!$B$7:$B$13,0)),0))</f>
        <v/>
      </c>
      <c r="U997" s="40" t="str">
        <f aca="false">IF($E997="","",T997-E997)</f>
        <v/>
      </c>
      <c r="V997" s="41" t="str">
        <f aca="false">IF($E997="","",IFERROR(U997/E997,""))</f>
        <v/>
      </c>
      <c r="W997" s="10" t="str">
        <f aca="false">IF($E997="","",IF($I997&lt;&gt;"","факт","прогноз"))</f>
        <v/>
      </c>
      <c r="X997" s="1"/>
      <c r="Y997" s="1"/>
      <c r="Z997" s="1"/>
      <c r="AA997" s="1"/>
      <c r="AB997" s="1"/>
      <c r="AC997" s="1"/>
      <c r="AD997" s="1"/>
    </row>
    <row r="998" customFormat="false" ht="18" hidden="false" customHeight="true" outlineLevel="0" collapsed="false">
      <c r="A998" s="1"/>
      <c r="B998" s="35"/>
      <c r="C998" s="8"/>
      <c r="D998" s="26"/>
      <c r="E998" s="27"/>
      <c r="F998" s="36"/>
      <c r="G998" s="36"/>
      <c r="H998" s="36"/>
      <c r="I998" s="36"/>
      <c r="J998" s="37" t="str">
        <f aca="false">IF($E998="","",IFERROR(G998/F998,""))</f>
        <v/>
      </c>
      <c r="K998" s="30" t="str">
        <f aca="false">IF($E998="","",IFERROR(E998/G998,""))</f>
        <v/>
      </c>
      <c r="L998" s="30" t="str">
        <f aca="false">IF($E998="","",IFERROR(E998/F998*1000,""))</f>
        <v/>
      </c>
      <c r="M998" s="37" t="str">
        <f aca="false">IF($E998="","",IFERROR(H998/G998,""))</f>
        <v/>
      </c>
      <c r="N998" s="30" t="str">
        <f aca="false">IF($E998="","",IFERROR(E998/H998,"—"))</f>
        <v/>
      </c>
      <c r="O998" s="30" t="str">
        <f aca="false">IF($E998="","",IFERROR(INDEX('Гео-калькулятор'!$K$7:$K$13,MATCH($C998,'Гео-калькулятор'!$B$7:$B$13,0)),""))</f>
        <v/>
      </c>
      <c r="P998" s="38" t="str">
        <f aca="false">IF($E998="","",IFERROR(N998/O998,""))</f>
        <v/>
      </c>
      <c r="Q998" s="39" t="str">
        <f aca="false">IF($E998="","",IF($I998&lt;&gt;"",$I998,N($H998)*IFERROR(INDEX('Гео-калькулятор'!$E$7:$E$13,MATCH($C998,'Гео-калькулятор'!$B$7:$B$13,0)),0)))</f>
        <v/>
      </c>
      <c r="R998" s="38" t="str">
        <f aca="false">IF($E998="","",IFERROR(Q998/H998,""))</f>
        <v/>
      </c>
      <c r="S998" s="30" t="str">
        <f aca="false">IF($E998="","",IFERROR(E998/Q998,"—"))</f>
        <v/>
      </c>
      <c r="T998" s="30" t="str">
        <f aca="false">IF($E998="","",Q998*IFERROR(INDEX('Гео-калькулятор'!$D$7:$D$13,MATCH($C998,'Гео-калькулятор'!$B$7:$B$13,0)),0))</f>
        <v/>
      </c>
      <c r="U998" s="40" t="str">
        <f aca="false">IF($E998="","",T998-E998)</f>
        <v/>
      </c>
      <c r="V998" s="41" t="str">
        <f aca="false">IF($E998="","",IFERROR(U998/E998,""))</f>
        <v/>
      </c>
      <c r="W998" s="10" t="str">
        <f aca="false">IF($E998="","",IF($I998&lt;&gt;"","факт","прогноз"))</f>
        <v/>
      </c>
      <c r="X998" s="1"/>
      <c r="Y998" s="1"/>
      <c r="Z998" s="1"/>
      <c r="AA998" s="1"/>
      <c r="AB998" s="1"/>
      <c r="AC998" s="1"/>
      <c r="AD998" s="1"/>
    </row>
    <row r="999" customFormat="false" ht="18" hidden="false" customHeight="true" outlineLevel="0" collapsed="false">
      <c r="A999" s="1"/>
      <c r="B999" s="35"/>
      <c r="C999" s="8"/>
      <c r="D999" s="26"/>
      <c r="E999" s="27"/>
      <c r="F999" s="36"/>
      <c r="G999" s="36"/>
      <c r="H999" s="36"/>
      <c r="I999" s="36"/>
      <c r="J999" s="37" t="str">
        <f aca="false">IF($E999="","",IFERROR(G999/F999,""))</f>
        <v/>
      </c>
      <c r="K999" s="30" t="str">
        <f aca="false">IF($E999="","",IFERROR(E999/G999,""))</f>
        <v/>
      </c>
      <c r="L999" s="30" t="str">
        <f aca="false">IF($E999="","",IFERROR(E999/F999*1000,""))</f>
        <v/>
      </c>
      <c r="M999" s="37" t="str">
        <f aca="false">IF($E999="","",IFERROR(H999/G999,""))</f>
        <v/>
      </c>
      <c r="N999" s="30" t="str">
        <f aca="false">IF($E999="","",IFERROR(E999/H999,"—"))</f>
        <v/>
      </c>
      <c r="O999" s="30" t="str">
        <f aca="false">IF($E999="","",IFERROR(INDEX('Гео-калькулятор'!$K$7:$K$13,MATCH($C999,'Гео-калькулятор'!$B$7:$B$13,0)),""))</f>
        <v/>
      </c>
      <c r="P999" s="38" t="str">
        <f aca="false">IF($E999="","",IFERROR(N999/O999,""))</f>
        <v/>
      </c>
      <c r="Q999" s="39" t="str">
        <f aca="false">IF($E999="","",IF($I999&lt;&gt;"",$I999,N($H999)*IFERROR(INDEX('Гео-калькулятор'!$E$7:$E$13,MATCH($C999,'Гео-калькулятор'!$B$7:$B$13,0)),0)))</f>
        <v/>
      </c>
      <c r="R999" s="38" t="str">
        <f aca="false">IF($E999="","",IFERROR(Q999/H999,""))</f>
        <v/>
      </c>
      <c r="S999" s="30" t="str">
        <f aca="false">IF($E999="","",IFERROR(E999/Q999,"—"))</f>
        <v/>
      </c>
      <c r="T999" s="30" t="str">
        <f aca="false">IF($E999="","",Q999*IFERROR(INDEX('Гео-калькулятор'!$D$7:$D$13,MATCH($C999,'Гео-калькулятор'!$B$7:$B$13,0)),0))</f>
        <v/>
      </c>
      <c r="U999" s="40" t="str">
        <f aca="false">IF($E999="","",T999-E999)</f>
        <v/>
      </c>
      <c r="V999" s="41" t="str">
        <f aca="false">IF($E999="","",IFERROR(U999/E999,""))</f>
        <v/>
      </c>
      <c r="W999" s="10" t="str">
        <f aca="false">IF($E999="","",IF($I999&lt;&gt;"","факт","прогноз"))</f>
        <v/>
      </c>
      <c r="X999" s="1"/>
      <c r="Y999" s="1"/>
      <c r="Z999" s="1"/>
      <c r="AA999" s="1"/>
      <c r="AB999" s="1"/>
      <c r="AC999" s="1"/>
      <c r="AD999" s="1"/>
    </row>
    <row r="1000" customFormat="false" ht="18" hidden="false" customHeight="true" outlineLevel="0" collapsed="false">
      <c r="A1000" s="1"/>
      <c r="B1000" s="35"/>
      <c r="C1000" s="8"/>
      <c r="D1000" s="26"/>
      <c r="E1000" s="27"/>
      <c r="F1000" s="36"/>
      <c r="G1000" s="36"/>
      <c r="H1000" s="36"/>
      <c r="I1000" s="36"/>
      <c r="J1000" s="37" t="str">
        <f aca="false">IF($E1000="","",IFERROR(G1000/F1000,""))</f>
        <v/>
      </c>
      <c r="K1000" s="30" t="str">
        <f aca="false">IF($E1000="","",IFERROR(E1000/G1000,""))</f>
        <v/>
      </c>
      <c r="L1000" s="30" t="str">
        <f aca="false">IF($E1000="","",IFERROR(E1000/F1000*1000,""))</f>
        <v/>
      </c>
      <c r="M1000" s="37" t="str">
        <f aca="false">IF($E1000="","",IFERROR(H1000/G1000,""))</f>
        <v/>
      </c>
      <c r="N1000" s="30" t="str">
        <f aca="false">IF($E1000="","",IFERROR(E1000/H1000,"—"))</f>
        <v/>
      </c>
      <c r="O1000" s="30" t="str">
        <f aca="false">IF($E1000="","",IFERROR(INDEX('Гео-калькулятор'!$K$7:$K$13,MATCH($C1000,'Гео-калькулятор'!$B$7:$B$13,0)),""))</f>
        <v/>
      </c>
      <c r="P1000" s="38" t="str">
        <f aca="false">IF($E1000="","",IFERROR(N1000/O1000,""))</f>
        <v/>
      </c>
      <c r="Q1000" s="39" t="str">
        <f aca="false">IF($E1000="","",IF($I1000&lt;&gt;"",$I1000,N($H1000)*IFERROR(INDEX('Гео-калькулятор'!$E$7:$E$13,MATCH($C1000,'Гео-калькулятор'!$B$7:$B$13,0)),0)))</f>
        <v/>
      </c>
      <c r="R1000" s="38" t="str">
        <f aca="false">IF($E1000="","",IFERROR(Q1000/H1000,""))</f>
        <v/>
      </c>
      <c r="S1000" s="30" t="str">
        <f aca="false">IF($E1000="","",IFERROR(E1000/Q1000,"—"))</f>
        <v/>
      </c>
      <c r="T1000" s="30" t="str">
        <f aca="false">IF($E1000="","",Q1000*IFERROR(INDEX('Гео-калькулятор'!$D$7:$D$13,MATCH($C1000,'Гео-калькулятор'!$B$7:$B$13,0)),0))</f>
        <v/>
      </c>
      <c r="U1000" s="40" t="str">
        <f aca="false">IF($E1000="","",T1000-E1000)</f>
        <v/>
      </c>
      <c r="V1000" s="41" t="str">
        <f aca="false">IF($E1000="","",IFERROR(U1000/E1000,""))</f>
        <v/>
      </c>
      <c r="W1000" s="10" t="str">
        <f aca="false">IF($E1000="","",IF($I1000&lt;&gt;"","факт","прогноз"))</f>
        <v/>
      </c>
      <c r="X1000" s="1"/>
      <c r="Y1000" s="1"/>
      <c r="Z1000" s="1"/>
      <c r="AA1000" s="1"/>
      <c r="AB1000" s="1"/>
      <c r="AC1000" s="1"/>
      <c r="AD1000" s="1"/>
    </row>
    <row r="1001" customFormat="false" ht="18" hidden="false" customHeight="true" outlineLevel="0" collapsed="false">
      <c r="A1001" s="1"/>
      <c r="B1001" s="35"/>
      <c r="C1001" s="8"/>
      <c r="D1001" s="26"/>
      <c r="E1001" s="27"/>
      <c r="F1001" s="36"/>
      <c r="G1001" s="36"/>
      <c r="H1001" s="36"/>
      <c r="I1001" s="36"/>
      <c r="J1001" s="37" t="str">
        <f aca="false">IF($E1001="","",IFERROR(G1001/F1001,""))</f>
        <v/>
      </c>
      <c r="K1001" s="30" t="str">
        <f aca="false">IF($E1001="","",IFERROR(E1001/G1001,""))</f>
        <v/>
      </c>
      <c r="L1001" s="30" t="str">
        <f aca="false">IF($E1001="","",IFERROR(E1001/F1001*1000,""))</f>
        <v/>
      </c>
      <c r="M1001" s="37" t="str">
        <f aca="false">IF($E1001="","",IFERROR(H1001/G1001,""))</f>
        <v/>
      </c>
      <c r="N1001" s="30" t="str">
        <f aca="false">IF($E1001="","",IFERROR(E1001/H1001,"—"))</f>
        <v/>
      </c>
      <c r="O1001" s="30" t="str">
        <f aca="false">IF($E1001="","",IFERROR(INDEX('Гео-калькулятор'!$K$7:$K$13,MATCH($C1001,'Гео-калькулятор'!$B$7:$B$13,0)),""))</f>
        <v/>
      </c>
      <c r="P1001" s="38" t="str">
        <f aca="false">IF($E1001="","",IFERROR(N1001/O1001,""))</f>
        <v/>
      </c>
      <c r="Q1001" s="39" t="str">
        <f aca="false">IF($E1001="","",IF($I1001&lt;&gt;"",$I1001,N($H1001)*IFERROR(INDEX('Гео-калькулятор'!$E$7:$E$13,MATCH($C1001,'Гео-калькулятор'!$B$7:$B$13,0)),0)))</f>
        <v/>
      </c>
      <c r="R1001" s="38" t="str">
        <f aca="false">IF($E1001="","",IFERROR(Q1001/H1001,""))</f>
        <v/>
      </c>
      <c r="S1001" s="30" t="str">
        <f aca="false">IF($E1001="","",IFERROR(E1001/Q1001,"—"))</f>
        <v/>
      </c>
      <c r="T1001" s="30" t="str">
        <f aca="false">IF($E1001="","",Q1001*IFERROR(INDEX('Гео-калькулятор'!$D$7:$D$13,MATCH($C1001,'Гео-калькулятор'!$B$7:$B$13,0)),0))</f>
        <v/>
      </c>
      <c r="U1001" s="40" t="str">
        <f aca="false">IF($E1001="","",T1001-E1001)</f>
        <v/>
      </c>
      <c r="V1001" s="41" t="str">
        <f aca="false">IF($E1001="","",IFERROR(U1001/E1001,""))</f>
        <v/>
      </c>
      <c r="W1001" s="10" t="str">
        <f aca="false">IF($E1001="","",IF($I1001&lt;&gt;"","факт","прогноз"))</f>
        <v/>
      </c>
      <c r="X1001" s="1"/>
      <c r="Y1001" s="1"/>
      <c r="Z1001" s="1"/>
      <c r="AA1001" s="1"/>
      <c r="AB1001" s="1"/>
      <c r="AC1001" s="1"/>
      <c r="AD1001" s="1"/>
    </row>
    <row r="1002" customFormat="false" ht="18" hidden="false" customHeight="true" outlineLevel="0" collapsed="false">
      <c r="A1002" s="1"/>
      <c r="B1002" s="35"/>
      <c r="C1002" s="8"/>
      <c r="D1002" s="26"/>
      <c r="E1002" s="27"/>
      <c r="F1002" s="36"/>
      <c r="G1002" s="36"/>
      <c r="H1002" s="36"/>
      <c r="I1002" s="36"/>
      <c r="J1002" s="37" t="str">
        <f aca="false">IF($E1002="","",IFERROR(G1002/F1002,""))</f>
        <v/>
      </c>
      <c r="K1002" s="30" t="str">
        <f aca="false">IF($E1002="","",IFERROR(E1002/G1002,""))</f>
        <v/>
      </c>
      <c r="L1002" s="30" t="str">
        <f aca="false">IF($E1002="","",IFERROR(E1002/F1002*1000,""))</f>
        <v/>
      </c>
      <c r="M1002" s="37" t="str">
        <f aca="false">IF($E1002="","",IFERROR(H1002/G1002,""))</f>
        <v/>
      </c>
      <c r="N1002" s="30" t="str">
        <f aca="false">IF($E1002="","",IFERROR(E1002/H1002,"—"))</f>
        <v/>
      </c>
      <c r="O1002" s="30" t="str">
        <f aca="false">IF($E1002="","",IFERROR(INDEX('Гео-калькулятор'!$K$7:$K$13,MATCH($C1002,'Гео-калькулятор'!$B$7:$B$13,0)),""))</f>
        <v/>
      </c>
      <c r="P1002" s="38" t="str">
        <f aca="false">IF($E1002="","",IFERROR(N1002/O1002,""))</f>
        <v/>
      </c>
      <c r="Q1002" s="39" t="str">
        <f aca="false">IF($E1002="","",IF($I1002&lt;&gt;"",$I1002,N($H1002)*IFERROR(INDEX('Гео-калькулятор'!$E$7:$E$13,MATCH($C1002,'Гео-калькулятор'!$B$7:$B$13,0)),0)))</f>
        <v/>
      </c>
      <c r="R1002" s="38" t="str">
        <f aca="false">IF($E1002="","",IFERROR(Q1002/H1002,""))</f>
        <v/>
      </c>
      <c r="S1002" s="30" t="str">
        <f aca="false">IF($E1002="","",IFERROR(E1002/Q1002,"—"))</f>
        <v/>
      </c>
      <c r="T1002" s="30" t="str">
        <f aca="false">IF($E1002="","",Q1002*IFERROR(INDEX('Гео-калькулятор'!$D$7:$D$13,MATCH($C1002,'Гео-калькулятор'!$B$7:$B$13,0)),0))</f>
        <v/>
      </c>
      <c r="U1002" s="40" t="str">
        <f aca="false">IF($E1002="","",T1002-E1002)</f>
        <v/>
      </c>
      <c r="V1002" s="41" t="str">
        <f aca="false">IF($E1002="","",IFERROR(U1002/E1002,""))</f>
        <v/>
      </c>
      <c r="W1002" s="10" t="str">
        <f aca="false">IF($E1002="","",IF($I1002&lt;&gt;"","факт","прогноз"))</f>
        <v/>
      </c>
      <c r="X1002" s="1"/>
      <c r="Y1002" s="1"/>
      <c r="Z1002" s="1"/>
      <c r="AA1002" s="1"/>
      <c r="AB1002" s="1"/>
      <c r="AC1002" s="1"/>
      <c r="AD1002" s="1"/>
    </row>
    <row r="1003" customFormat="false" ht="18" hidden="false" customHeight="true" outlineLevel="0" collapsed="false">
      <c r="A1003" s="1"/>
      <c r="B1003" s="35"/>
      <c r="C1003" s="8"/>
      <c r="D1003" s="26"/>
      <c r="E1003" s="27"/>
      <c r="F1003" s="36"/>
      <c r="G1003" s="36"/>
      <c r="H1003" s="36"/>
      <c r="I1003" s="36"/>
      <c r="J1003" s="37" t="str">
        <f aca="false">IF($E1003="","",IFERROR(G1003/F1003,""))</f>
        <v/>
      </c>
      <c r="K1003" s="30" t="str">
        <f aca="false">IF($E1003="","",IFERROR(E1003/G1003,""))</f>
        <v/>
      </c>
      <c r="L1003" s="30" t="str">
        <f aca="false">IF($E1003="","",IFERROR(E1003/F1003*1000,""))</f>
        <v/>
      </c>
      <c r="M1003" s="37" t="str">
        <f aca="false">IF($E1003="","",IFERROR(H1003/G1003,""))</f>
        <v/>
      </c>
      <c r="N1003" s="30" t="str">
        <f aca="false">IF($E1003="","",IFERROR(E1003/H1003,"—"))</f>
        <v/>
      </c>
      <c r="O1003" s="30" t="str">
        <f aca="false">IF($E1003="","",IFERROR(INDEX('Гео-калькулятор'!$K$7:$K$13,MATCH($C1003,'Гео-калькулятор'!$B$7:$B$13,0)),""))</f>
        <v/>
      </c>
      <c r="P1003" s="38" t="str">
        <f aca="false">IF($E1003="","",IFERROR(N1003/O1003,""))</f>
        <v/>
      </c>
      <c r="Q1003" s="39" t="str">
        <f aca="false">IF($E1003="","",IF($I1003&lt;&gt;"",$I1003,N($H1003)*IFERROR(INDEX('Гео-калькулятор'!$E$7:$E$13,MATCH($C1003,'Гео-калькулятор'!$B$7:$B$13,0)),0)))</f>
        <v/>
      </c>
      <c r="R1003" s="38" t="str">
        <f aca="false">IF($E1003="","",IFERROR(Q1003/H1003,""))</f>
        <v/>
      </c>
      <c r="S1003" s="30" t="str">
        <f aca="false">IF($E1003="","",IFERROR(E1003/Q1003,"—"))</f>
        <v/>
      </c>
      <c r="T1003" s="30" t="str">
        <f aca="false">IF($E1003="","",Q1003*IFERROR(INDEX('Гео-калькулятор'!$D$7:$D$13,MATCH($C1003,'Гео-калькулятор'!$B$7:$B$13,0)),0))</f>
        <v/>
      </c>
      <c r="U1003" s="40" t="str">
        <f aca="false">IF($E1003="","",T1003-E1003)</f>
        <v/>
      </c>
      <c r="V1003" s="41" t="str">
        <f aca="false">IF($E1003="","",IFERROR(U1003/E1003,""))</f>
        <v/>
      </c>
      <c r="W1003" s="10" t="str">
        <f aca="false">IF($E1003="","",IF($I1003&lt;&gt;"","факт","прогноз"))</f>
        <v/>
      </c>
      <c r="X1003" s="1"/>
      <c r="Y1003" s="1"/>
      <c r="Z1003" s="1"/>
      <c r="AA1003" s="1"/>
      <c r="AB1003" s="1"/>
      <c r="AC1003" s="1"/>
      <c r="AD1003" s="1"/>
    </row>
    <row r="1004" customFormat="false" ht="18" hidden="false" customHeight="true" outlineLevel="0" collapsed="false">
      <c r="A1004" s="1"/>
      <c r="B1004" s="35"/>
      <c r="C1004" s="8"/>
      <c r="D1004" s="26"/>
      <c r="E1004" s="27"/>
      <c r="F1004" s="36"/>
      <c r="G1004" s="36"/>
      <c r="H1004" s="36"/>
      <c r="I1004" s="36"/>
      <c r="J1004" s="37" t="str">
        <f aca="false">IF($E1004="","",IFERROR(G1004/F1004,""))</f>
        <v/>
      </c>
      <c r="K1004" s="30" t="str">
        <f aca="false">IF($E1004="","",IFERROR(E1004/G1004,""))</f>
        <v/>
      </c>
      <c r="L1004" s="30" t="str">
        <f aca="false">IF($E1004="","",IFERROR(E1004/F1004*1000,""))</f>
        <v/>
      </c>
      <c r="M1004" s="37" t="str">
        <f aca="false">IF($E1004="","",IFERROR(H1004/G1004,""))</f>
        <v/>
      </c>
      <c r="N1004" s="30" t="str">
        <f aca="false">IF($E1004="","",IFERROR(E1004/H1004,"—"))</f>
        <v/>
      </c>
      <c r="O1004" s="30" t="str">
        <f aca="false">IF($E1004="","",IFERROR(INDEX('Гео-калькулятор'!$K$7:$K$13,MATCH($C1004,'Гео-калькулятор'!$B$7:$B$13,0)),""))</f>
        <v/>
      </c>
      <c r="P1004" s="38" t="str">
        <f aca="false">IF($E1004="","",IFERROR(N1004/O1004,""))</f>
        <v/>
      </c>
      <c r="Q1004" s="39" t="str">
        <f aca="false">IF($E1004="","",IF($I1004&lt;&gt;"",$I1004,N($H1004)*IFERROR(INDEX('Гео-калькулятор'!$E$7:$E$13,MATCH($C1004,'Гео-калькулятор'!$B$7:$B$13,0)),0)))</f>
        <v/>
      </c>
      <c r="R1004" s="38" t="str">
        <f aca="false">IF($E1004="","",IFERROR(Q1004/H1004,""))</f>
        <v/>
      </c>
      <c r="S1004" s="30" t="str">
        <f aca="false">IF($E1004="","",IFERROR(E1004/Q1004,"—"))</f>
        <v/>
      </c>
      <c r="T1004" s="30" t="str">
        <f aca="false">IF($E1004="","",Q1004*IFERROR(INDEX('Гео-калькулятор'!$D$7:$D$13,MATCH($C1004,'Гео-калькулятор'!$B$7:$B$13,0)),0))</f>
        <v/>
      </c>
      <c r="U1004" s="40" t="str">
        <f aca="false">IF($E1004="","",T1004-E1004)</f>
        <v/>
      </c>
      <c r="V1004" s="41" t="str">
        <f aca="false">IF($E1004="","",IFERROR(U1004/E1004,""))</f>
        <v/>
      </c>
      <c r="W1004" s="10" t="str">
        <f aca="false">IF($E1004="","",IF($I1004&lt;&gt;"","факт","прогноз"))</f>
        <v/>
      </c>
      <c r="X1004" s="1"/>
      <c r="Y1004" s="1"/>
      <c r="Z1004" s="1"/>
      <c r="AA1004" s="1"/>
      <c r="AB1004" s="1"/>
      <c r="AC1004" s="1"/>
      <c r="AD1004" s="1"/>
    </row>
    <row r="1005" customFormat="false" ht="18" hidden="false" customHeight="true" outlineLevel="0" collapsed="false">
      <c r="A1005" s="1"/>
      <c r="B1005" s="35"/>
      <c r="C1005" s="8"/>
      <c r="D1005" s="26"/>
      <c r="E1005" s="27"/>
      <c r="F1005" s="36"/>
      <c r="G1005" s="36"/>
      <c r="H1005" s="36"/>
      <c r="I1005" s="36"/>
      <c r="J1005" s="37" t="str">
        <f aca="false">IF($E1005="","",IFERROR(G1005/F1005,""))</f>
        <v/>
      </c>
      <c r="K1005" s="30" t="str">
        <f aca="false">IF($E1005="","",IFERROR(E1005/G1005,""))</f>
        <v/>
      </c>
      <c r="L1005" s="30" t="str">
        <f aca="false">IF($E1005="","",IFERROR(E1005/F1005*1000,""))</f>
        <v/>
      </c>
      <c r="M1005" s="37" t="str">
        <f aca="false">IF($E1005="","",IFERROR(H1005/G1005,""))</f>
        <v/>
      </c>
      <c r="N1005" s="30" t="str">
        <f aca="false">IF($E1005="","",IFERROR(E1005/H1005,"—"))</f>
        <v/>
      </c>
      <c r="O1005" s="30" t="str">
        <f aca="false">IF($E1005="","",IFERROR(INDEX('Гео-калькулятор'!$K$7:$K$13,MATCH($C1005,'Гео-калькулятор'!$B$7:$B$13,0)),""))</f>
        <v/>
      </c>
      <c r="P1005" s="38" t="str">
        <f aca="false">IF($E1005="","",IFERROR(N1005/O1005,""))</f>
        <v/>
      </c>
      <c r="Q1005" s="39" t="str">
        <f aca="false">IF($E1005="","",IF($I1005&lt;&gt;"",$I1005,N($H1005)*IFERROR(INDEX('Гео-калькулятор'!$E$7:$E$13,MATCH($C1005,'Гео-калькулятор'!$B$7:$B$13,0)),0)))</f>
        <v/>
      </c>
      <c r="R1005" s="38" t="str">
        <f aca="false">IF($E1005="","",IFERROR(Q1005/H1005,""))</f>
        <v/>
      </c>
      <c r="S1005" s="30" t="str">
        <f aca="false">IF($E1005="","",IFERROR(E1005/Q1005,"—"))</f>
        <v/>
      </c>
      <c r="T1005" s="30" t="str">
        <f aca="false">IF($E1005="","",Q1005*IFERROR(INDEX('Гео-калькулятор'!$D$7:$D$13,MATCH($C1005,'Гео-калькулятор'!$B$7:$B$13,0)),0))</f>
        <v/>
      </c>
      <c r="U1005" s="40" t="str">
        <f aca="false">IF($E1005="","",T1005-E1005)</f>
        <v/>
      </c>
      <c r="V1005" s="41" t="str">
        <f aca="false">IF($E1005="","",IFERROR(U1005/E1005,""))</f>
        <v/>
      </c>
      <c r="W1005" s="10" t="str">
        <f aca="false">IF($E1005="","",IF($I1005&lt;&gt;"","факт","прогноз"))</f>
        <v/>
      </c>
      <c r="X1005" s="1"/>
      <c r="Y1005" s="1"/>
      <c r="Z1005" s="1"/>
      <c r="AA1005" s="1"/>
      <c r="AB1005" s="1"/>
      <c r="AC1005" s="1"/>
      <c r="AD1005" s="1"/>
    </row>
    <row r="1006" customFormat="false" ht="18" hidden="false" customHeight="true" outlineLevel="0" collapsed="false">
      <c r="A1006" s="1"/>
      <c r="B1006" s="35"/>
      <c r="C1006" s="8"/>
      <c r="D1006" s="26"/>
      <c r="E1006" s="27"/>
      <c r="F1006" s="36"/>
      <c r="G1006" s="36"/>
      <c r="H1006" s="36"/>
      <c r="I1006" s="36"/>
      <c r="J1006" s="37" t="str">
        <f aca="false">IF($E1006="","",IFERROR(G1006/F1006,""))</f>
        <v/>
      </c>
      <c r="K1006" s="30" t="str">
        <f aca="false">IF($E1006="","",IFERROR(E1006/G1006,""))</f>
        <v/>
      </c>
      <c r="L1006" s="30" t="str">
        <f aca="false">IF($E1006="","",IFERROR(E1006/F1006*1000,""))</f>
        <v/>
      </c>
      <c r="M1006" s="37" t="str">
        <f aca="false">IF($E1006="","",IFERROR(H1006/G1006,""))</f>
        <v/>
      </c>
      <c r="N1006" s="30" t="str">
        <f aca="false">IF($E1006="","",IFERROR(E1006/H1006,"—"))</f>
        <v/>
      </c>
      <c r="O1006" s="30" t="str">
        <f aca="false">IF($E1006="","",IFERROR(INDEX('Гео-калькулятор'!$K$7:$K$13,MATCH($C1006,'Гео-калькулятор'!$B$7:$B$13,0)),""))</f>
        <v/>
      </c>
      <c r="P1006" s="38" t="str">
        <f aca="false">IF($E1006="","",IFERROR(N1006/O1006,""))</f>
        <v/>
      </c>
      <c r="Q1006" s="39" t="str">
        <f aca="false">IF($E1006="","",IF($I1006&lt;&gt;"",$I1006,N($H1006)*IFERROR(INDEX('Гео-калькулятор'!$E$7:$E$13,MATCH($C1006,'Гео-калькулятор'!$B$7:$B$13,0)),0)))</f>
        <v/>
      </c>
      <c r="R1006" s="38" t="str">
        <f aca="false">IF($E1006="","",IFERROR(Q1006/H1006,""))</f>
        <v/>
      </c>
      <c r="S1006" s="30" t="str">
        <f aca="false">IF($E1006="","",IFERROR(E1006/Q1006,"—"))</f>
        <v/>
      </c>
      <c r="T1006" s="30" t="str">
        <f aca="false">IF($E1006="","",Q1006*IFERROR(INDEX('Гео-калькулятор'!$D$7:$D$13,MATCH($C1006,'Гео-калькулятор'!$B$7:$B$13,0)),0))</f>
        <v/>
      </c>
      <c r="U1006" s="40" t="str">
        <f aca="false">IF($E1006="","",T1006-E1006)</f>
        <v/>
      </c>
      <c r="V1006" s="41" t="str">
        <f aca="false">IF($E1006="","",IFERROR(U1006/E1006,""))</f>
        <v/>
      </c>
      <c r="W1006" s="10" t="str">
        <f aca="false">IF($E1006="","",IF($I1006&lt;&gt;"","факт","прогноз"))</f>
        <v/>
      </c>
      <c r="X1006" s="1"/>
      <c r="Y1006" s="1"/>
      <c r="Z1006" s="1"/>
      <c r="AA1006" s="1"/>
      <c r="AB1006" s="1"/>
      <c r="AC1006" s="1"/>
      <c r="AD1006" s="1"/>
    </row>
    <row r="1007" customFormat="false" ht="15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customFormat="false" ht="15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customFormat="false" ht="15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customFormat="false" ht="15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</sheetData>
  <mergeCells count="3">
    <mergeCell ref="B5:I5"/>
    <mergeCell ref="J5:P5"/>
    <mergeCell ref="Q5:W5"/>
  </mergeCells>
  <conditionalFormatting sqref="P7:P1006">
    <cfRule type="expression" priority="2" aboveAverage="0" equalAverage="0" bottom="0" percent="0" rank="0" text="" dxfId="0">
      <formula>AND(ISNUMBER($P7),$P7&lt;=1)</formula>
    </cfRule>
    <cfRule type="expression" priority="3" aboveAverage="0" equalAverage="0" bottom="0" percent="0" rank="0" text="" dxfId="1">
      <formula>AND(ISNUMBER($P7),$P7&lt;=1.3)</formula>
    </cfRule>
    <cfRule type="expression" priority="4" aboveAverage="0" equalAverage="0" bottom="0" percent="0" rank="0" text="" dxfId="2">
      <formula>ISNUMBER($P7)</formula>
    </cfRule>
  </conditionalFormatting>
  <conditionalFormatting sqref="U7:V1006">
    <cfRule type="expression" priority="5" aboveAverage="0" equalAverage="0" bottom="0" percent="0" rank="0" text="" dxfId="3">
      <formula>AND(ISNUMBER(U7),U7&lt;0)</formula>
    </cfRule>
    <cfRule type="expression" priority="6" aboveAverage="0" equalAverage="0" bottom="0" percent="0" rank="0" text="" dxfId="4">
      <formula>AND(ISNUMBER(U7),U7&gt;0)</formula>
    </cfRule>
  </conditionalFormatting>
  <conditionalFormatting sqref="W7:W1006">
    <cfRule type="expression" priority="7" aboveAverage="0" equalAverage="0" bottom="0" percent="0" rank="0" text="" dxfId="4">
      <formula>$W7="факт"</formula>
    </cfRule>
    <cfRule type="expression" priority="8" aboveAverage="0" equalAverage="0" bottom="0" percent="0" rank="0" text="" dxfId="5">
      <formula>$W7="прогноз"</formula>
    </cfRule>
  </conditionalFormatting>
  <dataValidations count="1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C7:C1006" type="list">
      <formula1>'Гео-калькулятор'!$B$7:$B$13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AD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6" min="5" style="0" width="2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15" min="9" style="0" width="9"/>
    <col collapsed="false" customWidth="true" hidden="false" outlineLevel="0" max="16" min="16" style="0" width="17"/>
    <col collapsed="false" customWidth="true" hidden="false" outlineLevel="0" max="17" min="17" style="0" width="36"/>
    <col collapsed="false" customWidth="true" hidden="true" outlineLevel="1" max="24" min="19" style="0" width="1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25.5" hidden="false" customHeight="true" outlineLevel="0" collapsed="false">
      <c r="A5" s="1"/>
      <c r="B5" s="42" t="s">
        <v>141</v>
      </c>
      <c r="C5" s="42"/>
      <c r="D5" s="43" t="n">
        <v>3</v>
      </c>
      <c r="E5" s="44" t="s">
        <v>142</v>
      </c>
      <c r="F5" s="45" t="n">
        <v>0.1</v>
      </c>
      <c r="G5" s="46" t="s">
        <v>143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8" hidden="false" customHeight="true" outlineLevel="0" collapsed="false">
      <c r="A7" s="1"/>
      <c r="B7" s="23" t="s">
        <v>144</v>
      </c>
      <c r="C7" s="23"/>
      <c r="D7" s="23"/>
      <c r="E7" s="23"/>
      <c r="F7" s="23"/>
      <c r="G7" s="23"/>
      <c r="H7" s="23"/>
      <c r="I7" s="24" t="s">
        <v>145</v>
      </c>
      <c r="J7" s="24"/>
      <c r="K7" s="24"/>
      <c r="L7" s="24"/>
      <c r="M7" s="24"/>
      <c r="N7" s="24"/>
      <c r="O7" s="24"/>
      <c r="P7" s="24"/>
      <c r="Q7" s="47" t="s">
        <v>146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36" hidden="false" customHeight="true" outlineLevel="0" collapsed="false">
      <c r="A8" s="1"/>
      <c r="B8" s="25" t="s">
        <v>147</v>
      </c>
      <c r="C8" s="25" t="s">
        <v>121</v>
      </c>
      <c r="D8" s="25" t="s">
        <v>72</v>
      </c>
      <c r="E8" s="25" t="s">
        <v>122</v>
      </c>
      <c r="F8" s="25" t="s">
        <v>148</v>
      </c>
      <c r="G8" s="25" t="s">
        <v>149</v>
      </c>
      <c r="H8" s="25" t="s">
        <v>150</v>
      </c>
      <c r="I8" s="25" t="s">
        <v>151</v>
      </c>
      <c r="J8" s="25" t="s">
        <v>152</v>
      </c>
      <c r="K8" s="25" t="s">
        <v>153</v>
      </c>
      <c r="L8" s="25" t="s">
        <v>154</v>
      </c>
      <c r="M8" s="25" t="s">
        <v>155</v>
      </c>
      <c r="N8" s="25" t="s">
        <v>156</v>
      </c>
      <c r="O8" s="25" t="s">
        <v>157</v>
      </c>
      <c r="P8" s="25" t="s">
        <v>158</v>
      </c>
      <c r="Q8" s="25" t="s">
        <v>159</v>
      </c>
      <c r="R8" s="1"/>
      <c r="S8" s="48" t="s">
        <v>160</v>
      </c>
      <c r="T8" s="48" t="s">
        <v>161</v>
      </c>
      <c r="U8" s="48" t="s">
        <v>162</v>
      </c>
      <c r="V8" s="48" t="s">
        <v>163</v>
      </c>
      <c r="W8" s="48" t="s">
        <v>164</v>
      </c>
      <c r="X8" s="48" t="s">
        <v>165</v>
      </c>
      <c r="Y8" s="1"/>
      <c r="Z8" s="1"/>
      <c r="AA8" s="1"/>
      <c r="AB8" s="1"/>
      <c r="AC8" s="1"/>
      <c r="AD8" s="1"/>
    </row>
    <row r="9" customFormat="false" ht="30" hidden="false" customHeight="true" outlineLevel="0" collapsed="false">
      <c r="A9" s="1"/>
      <c r="B9" s="49" t="n">
        <f aca="false">IF($C9="","",ROW()-8)</f>
        <v>1</v>
      </c>
      <c r="C9" s="35" t="n">
        <v>46299</v>
      </c>
      <c r="D9" s="8" t="s">
        <v>94</v>
      </c>
      <c r="E9" s="26"/>
      <c r="F9" s="26" t="s">
        <v>166</v>
      </c>
      <c r="G9" s="50" t="s">
        <v>167</v>
      </c>
      <c r="H9" s="50" t="s">
        <v>168</v>
      </c>
      <c r="I9" s="30" t="str">
        <f aca="false">IF($C9="","",IFERROR(S9/T9,"—"))</f>
        <v>—</v>
      </c>
      <c r="J9" s="30" t="str">
        <f aca="false">IF($C9="","",IFERROR(V9/W9,"—"))</f>
        <v>—</v>
      </c>
      <c r="K9" s="41" t="str">
        <f aca="false">IF($C9="","",IFERROR(J9/I9-1,""))</f>
        <v/>
      </c>
      <c r="L9" s="41" t="str">
        <f aca="false">IF($C9="","",IFERROR((U9-S9)/S9,"—"))</f>
        <v>—</v>
      </c>
      <c r="M9" s="41" t="str">
        <f aca="false">IF($C9="","",IFERROR((X9-V9)/V9,"—"))</f>
        <v>—</v>
      </c>
      <c r="N9" s="39" t="n">
        <f aca="false">IF($C9="","",T9/$D$5)</f>
        <v>0</v>
      </c>
      <c r="O9" s="39" t="n">
        <f aca="false">IF($C9="","",W9/$D$5)</f>
        <v>0</v>
      </c>
      <c r="P9" s="51" t="str">
        <f aca="false">IF($C9="","",IF(MAX(Статистика!$B$7:$B$1006)&lt;$C9+$D$5,"Чекаємо даних",IF(S9=0,"Новий (без бази)",IF(OR(T9=0,W9=0),"Мало даних",IF(K9&lt;=-$F$5,"Покращило",IF(K9&gt;=$F$5,"Погіршило","Без змін"))))))</f>
        <v>Чекаємо даних</v>
      </c>
      <c r="Q9" s="50" t="s">
        <v>169</v>
      </c>
      <c r="R9" s="1"/>
      <c r="S9" s="52" t="n">
        <f aca="false">IF($C9="","",SUMIFS(Статистика!$E$7:$E$1006,Статистика!$B$7:$B$1006,"&gt;="&amp;($C9-$D$5),Статистика!$B$7:$B$1006,"&lt;="&amp;($C9-1),Статистика!$C$7:$C$1006,IF($D9="","&lt;&gt;§",$D9),Статистика!$D$7:$D$1006,IF($E9="","&lt;&gt;§",$E9)))</f>
        <v>0</v>
      </c>
      <c r="T9" s="52" t="n">
        <f aca="false">IF($C9="","",SUMIFS(Статистика!$H$7:$H$1006,Статистика!$B$7:$B$1006,"&gt;="&amp;($C9-$D$5),Статистика!$B$7:$B$1006,"&lt;="&amp;($C9-1),Статистика!$C$7:$C$1006,IF($D9="","&lt;&gt;§",$D9),Статистика!$D$7:$D$1006,IF($E9="","&lt;&gt;§",$E9)))</f>
        <v>0</v>
      </c>
      <c r="U9" s="52" t="n">
        <f aca="false">IF($C9="","",SUMIFS(Статистика!$T$7:$T$1006,Статистика!$B$7:$B$1006,"&gt;="&amp;($C9-$D$5),Статистика!$B$7:$B$1006,"&lt;="&amp;($C9-1),Статистика!$C$7:$C$1006,IF($D9="","&lt;&gt;§",$D9),Статистика!$D$7:$D$1006,IF($E9="","&lt;&gt;§",$E9)))</f>
        <v>0</v>
      </c>
      <c r="V9" s="52" t="n">
        <f aca="false">IF($C9="","",SUMIFS(Статистика!$E$7:$E$1006,Статистика!$B$7:$B$1006,"&gt;="&amp;($C9+1),Статистика!$B$7:$B$1006,"&lt;="&amp;($C9+$D$5),Статистика!$C$7:$C$1006,IF($D9="","&lt;&gt;§",$D9),Статистика!$D$7:$D$1006,IF($E9="","&lt;&gt;§",$E9)))</f>
        <v>0</v>
      </c>
      <c r="W9" s="52" t="n">
        <f aca="false">IF($C9="","",SUMIFS(Статистика!$H$7:$H$1006,Статистика!$B$7:$B$1006,"&gt;="&amp;($C9+1),Статистика!$B$7:$B$1006,"&lt;="&amp;($C9+$D$5),Статистика!$C$7:$C$1006,IF($D9="","&lt;&gt;§",$D9),Статистика!$D$7:$D$1006,IF($E9="","&lt;&gt;§",$E9)))</f>
        <v>0</v>
      </c>
      <c r="X9" s="52" t="n">
        <f aca="false">IF($C9="","",SUMIFS(Статистика!$T$7:$T$1006,Статистика!$B$7:$B$1006,"&gt;="&amp;($C9+1),Статистика!$B$7:$B$1006,"&lt;="&amp;($C9+$D$5),Статистика!$C$7:$C$1006,IF($D9="","&lt;&gt;§",$D9),Статистика!$D$7:$D$1006,IF($E9="","&lt;&gt;§",$E9)))</f>
        <v>0</v>
      </c>
      <c r="Y9" s="1"/>
      <c r="Z9" s="1"/>
      <c r="AA9" s="1"/>
      <c r="AB9" s="1"/>
      <c r="AC9" s="1"/>
      <c r="AD9" s="1"/>
    </row>
    <row r="10" customFormat="false" ht="30" hidden="false" customHeight="true" outlineLevel="0" collapsed="false">
      <c r="A10" s="1"/>
      <c r="B10" s="49" t="str">
        <f aca="false">IF($C10="","",ROW()-8)</f>
        <v/>
      </c>
      <c r="C10" s="35"/>
      <c r="D10" s="8"/>
      <c r="E10" s="26"/>
      <c r="F10" s="26"/>
      <c r="G10" s="50"/>
      <c r="H10" s="50"/>
      <c r="I10" s="30" t="str">
        <f aca="false">IF($C10="","",IFERROR(S10/T10,"—"))</f>
        <v/>
      </c>
      <c r="J10" s="30" t="str">
        <f aca="false">IF($C10="","",IFERROR(V10/W10,"—"))</f>
        <v/>
      </c>
      <c r="K10" s="41" t="str">
        <f aca="false">IF($C10="","",IFERROR(J10/I10-1,""))</f>
        <v/>
      </c>
      <c r="L10" s="41" t="str">
        <f aca="false">IF($C10="","",IFERROR((U10-S10)/S10,"—"))</f>
        <v/>
      </c>
      <c r="M10" s="41" t="str">
        <f aca="false">IF($C10="","",IFERROR((X10-V10)/V10,"—"))</f>
        <v/>
      </c>
      <c r="N10" s="39" t="str">
        <f aca="false">IF($C10="","",T10/$D$5)</f>
        <v/>
      </c>
      <c r="O10" s="39" t="str">
        <f aca="false">IF($C10="","",W10/$D$5)</f>
        <v/>
      </c>
      <c r="P10" s="51" t="str">
        <f aca="false">IF($C10="","",IF(MAX(Статистика!$B$7:$B$1006)&lt;$C10+$D$5,"Чекаємо даних",IF(S10=0,"Новий (без бази)",IF(OR(T10=0,W10=0),"Мало даних",IF(K10&lt;=-$F$5,"Покращило",IF(K10&gt;=$F$5,"Погіршило","Без змін"))))))</f>
        <v/>
      </c>
      <c r="Q10" s="50"/>
      <c r="R10" s="1"/>
      <c r="S10" s="52" t="str">
        <f aca="false">IF($C10="","",SUMIFS(Статистика!$E$7:$E$1006,Статистика!$B$7:$B$1006,"&gt;="&amp;($C10-$D$5),Статистика!$B$7:$B$1006,"&lt;="&amp;($C10-1),Статистика!$C$7:$C$1006,IF($D10="","&lt;&gt;§",$D10),Статистика!$D$7:$D$1006,IF($E10="","&lt;&gt;§",$E10)))</f>
        <v/>
      </c>
      <c r="T10" s="52" t="str">
        <f aca="false">IF($C10="","",SUMIFS(Статистика!$H$7:$H$1006,Статистика!$B$7:$B$1006,"&gt;="&amp;($C10-$D$5),Статистика!$B$7:$B$1006,"&lt;="&amp;($C10-1),Статистика!$C$7:$C$1006,IF($D10="","&lt;&gt;§",$D10),Статистика!$D$7:$D$1006,IF($E10="","&lt;&gt;§",$E10)))</f>
        <v/>
      </c>
      <c r="U10" s="52" t="str">
        <f aca="false">IF($C10="","",SUMIFS(Статистика!$T$7:$T$1006,Статистика!$B$7:$B$1006,"&gt;="&amp;($C10-$D$5),Статистика!$B$7:$B$1006,"&lt;="&amp;($C10-1),Статистика!$C$7:$C$1006,IF($D10="","&lt;&gt;§",$D10),Статистика!$D$7:$D$1006,IF($E10="","&lt;&gt;§",$E10)))</f>
        <v/>
      </c>
      <c r="V10" s="52" t="str">
        <f aca="false">IF($C10="","",SUMIFS(Статистика!$E$7:$E$1006,Статистика!$B$7:$B$1006,"&gt;="&amp;($C10+1),Статистика!$B$7:$B$1006,"&lt;="&amp;($C10+$D$5),Статистика!$C$7:$C$1006,IF($D10="","&lt;&gt;§",$D10),Статистика!$D$7:$D$1006,IF($E10="","&lt;&gt;§",$E10)))</f>
        <v/>
      </c>
      <c r="W10" s="52" t="str">
        <f aca="false">IF($C10="","",SUMIFS(Статистика!$H$7:$H$1006,Статистика!$B$7:$B$1006,"&gt;="&amp;($C10+1),Статистика!$B$7:$B$1006,"&lt;="&amp;($C10+$D$5),Статистика!$C$7:$C$1006,IF($D10="","&lt;&gt;§",$D10),Статистика!$D$7:$D$1006,IF($E10="","&lt;&gt;§",$E10)))</f>
        <v/>
      </c>
      <c r="X10" s="52" t="str">
        <f aca="false">IF($C10="","",SUMIFS(Статистика!$T$7:$T$1006,Статистика!$B$7:$B$1006,"&gt;="&amp;($C10+1),Статистика!$B$7:$B$1006,"&lt;="&amp;($C10+$D$5),Статистика!$C$7:$C$1006,IF($D10="","&lt;&gt;§",$D10),Статистика!$D$7:$D$1006,IF($E10="","&lt;&gt;§",$E10)))</f>
        <v/>
      </c>
      <c r="Y10" s="1"/>
      <c r="Z10" s="1"/>
      <c r="AA10" s="1"/>
      <c r="AB10" s="1"/>
      <c r="AC10" s="1"/>
      <c r="AD10" s="1"/>
    </row>
    <row r="11" customFormat="false" ht="30" hidden="false" customHeight="true" outlineLevel="0" collapsed="false">
      <c r="A11" s="1"/>
      <c r="B11" s="49" t="str">
        <f aca="false">IF($C11="","",ROW()-8)</f>
        <v/>
      </c>
      <c r="C11" s="35"/>
      <c r="D11" s="8"/>
      <c r="E11" s="26"/>
      <c r="F11" s="26"/>
      <c r="G11" s="50"/>
      <c r="H11" s="50"/>
      <c r="I11" s="30" t="str">
        <f aca="false">IF($C11="","",IFERROR(S11/T11,"—"))</f>
        <v/>
      </c>
      <c r="J11" s="30" t="str">
        <f aca="false">IF($C11="","",IFERROR(V11/W11,"—"))</f>
        <v/>
      </c>
      <c r="K11" s="41" t="str">
        <f aca="false">IF($C11="","",IFERROR(J11/I11-1,""))</f>
        <v/>
      </c>
      <c r="L11" s="41" t="str">
        <f aca="false">IF($C11="","",IFERROR((U11-S11)/S11,"—"))</f>
        <v/>
      </c>
      <c r="M11" s="41" t="str">
        <f aca="false">IF($C11="","",IFERROR((X11-V11)/V11,"—"))</f>
        <v/>
      </c>
      <c r="N11" s="39" t="str">
        <f aca="false">IF($C11="","",T11/$D$5)</f>
        <v/>
      </c>
      <c r="O11" s="39" t="str">
        <f aca="false">IF($C11="","",W11/$D$5)</f>
        <v/>
      </c>
      <c r="P11" s="51" t="str">
        <f aca="false">IF($C11="","",IF(MAX(Статистика!$B$7:$B$1006)&lt;$C11+$D$5,"Чекаємо даних",IF(S11=0,"Новий (без бази)",IF(OR(T11=0,W11=0),"Мало даних",IF(K11&lt;=-$F$5,"Покращило",IF(K11&gt;=$F$5,"Погіршило","Без змін"))))))</f>
        <v/>
      </c>
      <c r="Q11" s="50"/>
      <c r="R11" s="1"/>
      <c r="S11" s="52" t="str">
        <f aca="false">IF($C11="","",SUMIFS(Статистика!$E$7:$E$1006,Статистика!$B$7:$B$1006,"&gt;="&amp;($C11-$D$5),Статистика!$B$7:$B$1006,"&lt;="&amp;($C11-1),Статистика!$C$7:$C$1006,IF($D11="","&lt;&gt;§",$D11),Статистика!$D$7:$D$1006,IF($E11="","&lt;&gt;§",$E11)))</f>
        <v/>
      </c>
      <c r="T11" s="52" t="str">
        <f aca="false">IF($C11="","",SUMIFS(Статистика!$H$7:$H$1006,Статистика!$B$7:$B$1006,"&gt;="&amp;($C11-$D$5),Статистика!$B$7:$B$1006,"&lt;="&amp;($C11-1),Статистика!$C$7:$C$1006,IF($D11="","&lt;&gt;§",$D11),Статистика!$D$7:$D$1006,IF($E11="","&lt;&gt;§",$E11)))</f>
        <v/>
      </c>
      <c r="U11" s="52" t="str">
        <f aca="false">IF($C11="","",SUMIFS(Статистика!$T$7:$T$1006,Статистика!$B$7:$B$1006,"&gt;="&amp;($C11-$D$5),Статистика!$B$7:$B$1006,"&lt;="&amp;($C11-1),Статистика!$C$7:$C$1006,IF($D11="","&lt;&gt;§",$D11),Статистика!$D$7:$D$1006,IF($E11="","&lt;&gt;§",$E11)))</f>
        <v/>
      </c>
      <c r="V11" s="52" t="str">
        <f aca="false">IF($C11="","",SUMIFS(Статистика!$E$7:$E$1006,Статистика!$B$7:$B$1006,"&gt;="&amp;($C11+1),Статистика!$B$7:$B$1006,"&lt;="&amp;($C11+$D$5),Статистика!$C$7:$C$1006,IF($D11="","&lt;&gt;§",$D11),Статистика!$D$7:$D$1006,IF($E11="","&lt;&gt;§",$E11)))</f>
        <v/>
      </c>
      <c r="W11" s="52" t="str">
        <f aca="false">IF($C11="","",SUMIFS(Статистика!$H$7:$H$1006,Статистика!$B$7:$B$1006,"&gt;="&amp;($C11+1),Статистика!$B$7:$B$1006,"&lt;="&amp;($C11+$D$5),Статистика!$C$7:$C$1006,IF($D11="","&lt;&gt;§",$D11),Статистика!$D$7:$D$1006,IF($E11="","&lt;&gt;§",$E11)))</f>
        <v/>
      </c>
      <c r="X11" s="52" t="str">
        <f aca="false">IF($C11="","",SUMIFS(Статистика!$T$7:$T$1006,Статистика!$B$7:$B$1006,"&gt;="&amp;($C11+1),Статистика!$B$7:$B$1006,"&lt;="&amp;($C11+$D$5),Статистика!$C$7:$C$1006,IF($D11="","&lt;&gt;§",$D11),Статистика!$D$7:$D$1006,IF($E11="","&lt;&gt;§",$E11)))</f>
        <v/>
      </c>
      <c r="Y11" s="1"/>
      <c r="Z11" s="1"/>
      <c r="AA11" s="1"/>
      <c r="AB11" s="1"/>
      <c r="AC11" s="1"/>
      <c r="AD11" s="1"/>
    </row>
    <row r="12" customFormat="false" ht="30" hidden="false" customHeight="true" outlineLevel="0" collapsed="false">
      <c r="A12" s="1"/>
      <c r="B12" s="49" t="str">
        <f aca="false">IF($C12="","",ROW()-8)</f>
        <v/>
      </c>
      <c r="C12" s="35"/>
      <c r="D12" s="8"/>
      <c r="E12" s="26"/>
      <c r="F12" s="26"/>
      <c r="G12" s="50"/>
      <c r="H12" s="50"/>
      <c r="I12" s="30" t="str">
        <f aca="false">IF($C12="","",IFERROR(S12/T12,"—"))</f>
        <v/>
      </c>
      <c r="J12" s="30" t="str">
        <f aca="false">IF($C12="","",IFERROR(V12/W12,"—"))</f>
        <v/>
      </c>
      <c r="K12" s="41" t="str">
        <f aca="false">IF($C12="","",IFERROR(J12/I12-1,""))</f>
        <v/>
      </c>
      <c r="L12" s="41" t="str">
        <f aca="false">IF($C12="","",IFERROR((U12-S12)/S12,"—"))</f>
        <v/>
      </c>
      <c r="M12" s="41" t="str">
        <f aca="false">IF($C12="","",IFERROR((X12-V12)/V12,"—"))</f>
        <v/>
      </c>
      <c r="N12" s="39" t="str">
        <f aca="false">IF($C12="","",T12/$D$5)</f>
        <v/>
      </c>
      <c r="O12" s="39" t="str">
        <f aca="false">IF($C12="","",W12/$D$5)</f>
        <v/>
      </c>
      <c r="P12" s="51" t="str">
        <f aca="false">IF($C12="","",IF(MAX(Статистика!$B$7:$B$1006)&lt;$C12+$D$5,"Чекаємо даних",IF(S12=0,"Новий (без бази)",IF(OR(T12=0,W12=0),"Мало даних",IF(K12&lt;=-$F$5,"Покращило",IF(K12&gt;=$F$5,"Погіршило","Без змін"))))))</f>
        <v/>
      </c>
      <c r="Q12" s="50"/>
      <c r="R12" s="1"/>
      <c r="S12" s="52" t="str">
        <f aca="false">IF($C12="","",SUMIFS(Статистика!$E$7:$E$1006,Статистика!$B$7:$B$1006,"&gt;="&amp;($C12-$D$5),Статистика!$B$7:$B$1006,"&lt;="&amp;($C12-1),Статистика!$C$7:$C$1006,IF($D12="","&lt;&gt;§",$D12),Статистика!$D$7:$D$1006,IF($E12="","&lt;&gt;§",$E12)))</f>
        <v/>
      </c>
      <c r="T12" s="52" t="str">
        <f aca="false">IF($C12="","",SUMIFS(Статистика!$H$7:$H$1006,Статистика!$B$7:$B$1006,"&gt;="&amp;($C12-$D$5),Статистика!$B$7:$B$1006,"&lt;="&amp;($C12-1),Статистика!$C$7:$C$1006,IF($D12="","&lt;&gt;§",$D12),Статистика!$D$7:$D$1006,IF($E12="","&lt;&gt;§",$E12)))</f>
        <v/>
      </c>
      <c r="U12" s="52" t="str">
        <f aca="false">IF($C12="","",SUMIFS(Статистика!$T$7:$T$1006,Статистика!$B$7:$B$1006,"&gt;="&amp;($C12-$D$5),Статистика!$B$7:$B$1006,"&lt;="&amp;($C12-1),Статистика!$C$7:$C$1006,IF($D12="","&lt;&gt;§",$D12),Статистика!$D$7:$D$1006,IF($E12="","&lt;&gt;§",$E12)))</f>
        <v/>
      </c>
      <c r="V12" s="52" t="str">
        <f aca="false">IF($C12="","",SUMIFS(Статистика!$E$7:$E$1006,Статистика!$B$7:$B$1006,"&gt;="&amp;($C12+1),Статистика!$B$7:$B$1006,"&lt;="&amp;($C12+$D$5),Статистика!$C$7:$C$1006,IF($D12="","&lt;&gt;§",$D12),Статистика!$D$7:$D$1006,IF($E12="","&lt;&gt;§",$E12)))</f>
        <v/>
      </c>
      <c r="W12" s="52" t="str">
        <f aca="false">IF($C12="","",SUMIFS(Статистика!$H$7:$H$1006,Статистика!$B$7:$B$1006,"&gt;="&amp;($C12+1),Статистика!$B$7:$B$1006,"&lt;="&amp;($C12+$D$5),Статистика!$C$7:$C$1006,IF($D12="","&lt;&gt;§",$D12),Статистика!$D$7:$D$1006,IF($E12="","&lt;&gt;§",$E12)))</f>
        <v/>
      </c>
      <c r="X12" s="52" t="str">
        <f aca="false">IF($C12="","",SUMIFS(Статистика!$T$7:$T$1006,Статистика!$B$7:$B$1006,"&gt;="&amp;($C12+1),Статистика!$B$7:$B$1006,"&lt;="&amp;($C12+$D$5),Статистика!$C$7:$C$1006,IF($D12="","&lt;&gt;§",$D12),Статистика!$D$7:$D$1006,IF($E12="","&lt;&gt;§",$E12)))</f>
        <v/>
      </c>
      <c r="Y12" s="1"/>
      <c r="Z12" s="1"/>
      <c r="AA12" s="1"/>
      <c r="AB12" s="1"/>
      <c r="AC12" s="1"/>
      <c r="AD12" s="1"/>
    </row>
    <row r="13" customFormat="false" ht="30" hidden="false" customHeight="true" outlineLevel="0" collapsed="false">
      <c r="A13" s="1"/>
      <c r="B13" s="49" t="str">
        <f aca="false">IF($C13="","",ROW()-8)</f>
        <v/>
      </c>
      <c r="C13" s="35"/>
      <c r="D13" s="8"/>
      <c r="E13" s="26"/>
      <c r="F13" s="26"/>
      <c r="G13" s="50"/>
      <c r="H13" s="50"/>
      <c r="I13" s="30" t="str">
        <f aca="false">IF($C13="","",IFERROR(S13/T13,"—"))</f>
        <v/>
      </c>
      <c r="J13" s="30" t="str">
        <f aca="false">IF($C13="","",IFERROR(V13/W13,"—"))</f>
        <v/>
      </c>
      <c r="K13" s="41" t="str">
        <f aca="false">IF($C13="","",IFERROR(J13/I13-1,""))</f>
        <v/>
      </c>
      <c r="L13" s="41" t="str">
        <f aca="false">IF($C13="","",IFERROR((U13-S13)/S13,"—"))</f>
        <v/>
      </c>
      <c r="M13" s="41" t="str">
        <f aca="false">IF($C13="","",IFERROR((X13-V13)/V13,"—"))</f>
        <v/>
      </c>
      <c r="N13" s="39" t="str">
        <f aca="false">IF($C13="","",T13/$D$5)</f>
        <v/>
      </c>
      <c r="O13" s="39" t="str">
        <f aca="false">IF($C13="","",W13/$D$5)</f>
        <v/>
      </c>
      <c r="P13" s="51" t="str">
        <f aca="false">IF($C13="","",IF(MAX(Статистика!$B$7:$B$1006)&lt;$C13+$D$5,"Чекаємо даних",IF(S13=0,"Новий (без бази)",IF(OR(T13=0,W13=0),"Мало даних",IF(K13&lt;=-$F$5,"Покращило",IF(K13&gt;=$F$5,"Погіршило","Без змін"))))))</f>
        <v/>
      </c>
      <c r="Q13" s="50"/>
      <c r="R13" s="1"/>
      <c r="S13" s="52" t="str">
        <f aca="false">IF($C13="","",SUMIFS(Статистика!$E$7:$E$1006,Статистика!$B$7:$B$1006,"&gt;="&amp;($C13-$D$5),Статистика!$B$7:$B$1006,"&lt;="&amp;($C13-1),Статистика!$C$7:$C$1006,IF($D13="","&lt;&gt;§",$D13),Статистика!$D$7:$D$1006,IF($E13="","&lt;&gt;§",$E13)))</f>
        <v/>
      </c>
      <c r="T13" s="52" t="str">
        <f aca="false">IF($C13="","",SUMIFS(Статистика!$H$7:$H$1006,Статистика!$B$7:$B$1006,"&gt;="&amp;($C13-$D$5),Статистика!$B$7:$B$1006,"&lt;="&amp;($C13-1),Статистика!$C$7:$C$1006,IF($D13="","&lt;&gt;§",$D13),Статистика!$D$7:$D$1006,IF($E13="","&lt;&gt;§",$E13)))</f>
        <v/>
      </c>
      <c r="U13" s="52" t="str">
        <f aca="false">IF($C13="","",SUMIFS(Статистика!$T$7:$T$1006,Статистика!$B$7:$B$1006,"&gt;="&amp;($C13-$D$5),Статистика!$B$7:$B$1006,"&lt;="&amp;($C13-1),Статистика!$C$7:$C$1006,IF($D13="","&lt;&gt;§",$D13),Статистика!$D$7:$D$1006,IF($E13="","&lt;&gt;§",$E13)))</f>
        <v/>
      </c>
      <c r="V13" s="52" t="str">
        <f aca="false">IF($C13="","",SUMIFS(Статистика!$E$7:$E$1006,Статистика!$B$7:$B$1006,"&gt;="&amp;($C13+1),Статистика!$B$7:$B$1006,"&lt;="&amp;($C13+$D$5),Статистика!$C$7:$C$1006,IF($D13="","&lt;&gt;§",$D13),Статистика!$D$7:$D$1006,IF($E13="","&lt;&gt;§",$E13)))</f>
        <v/>
      </c>
      <c r="W13" s="52" t="str">
        <f aca="false">IF($C13="","",SUMIFS(Статистика!$H$7:$H$1006,Статистика!$B$7:$B$1006,"&gt;="&amp;($C13+1),Статистика!$B$7:$B$1006,"&lt;="&amp;($C13+$D$5),Статистика!$C$7:$C$1006,IF($D13="","&lt;&gt;§",$D13),Статистика!$D$7:$D$1006,IF($E13="","&lt;&gt;§",$E13)))</f>
        <v/>
      </c>
      <c r="X13" s="52" t="str">
        <f aca="false">IF($C13="","",SUMIFS(Статистика!$T$7:$T$1006,Статистика!$B$7:$B$1006,"&gt;="&amp;($C13+1),Статистика!$B$7:$B$1006,"&lt;="&amp;($C13+$D$5),Статистика!$C$7:$C$1006,IF($D13="","&lt;&gt;§",$D13),Статистика!$D$7:$D$1006,IF($E13="","&lt;&gt;§",$E13)))</f>
        <v/>
      </c>
      <c r="Y13" s="1"/>
      <c r="Z13" s="1"/>
      <c r="AA13" s="1"/>
      <c r="AB13" s="1"/>
      <c r="AC13" s="1"/>
      <c r="AD13" s="1"/>
    </row>
    <row r="14" customFormat="false" ht="30" hidden="false" customHeight="true" outlineLevel="0" collapsed="false">
      <c r="A14" s="1"/>
      <c r="B14" s="49" t="str">
        <f aca="false">IF($C14="","",ROW()-8)</f>
        <v/>
      </c>
      <c r="C14" s="35"/>
      <c r="D14" s="8"/>
      <c r="E14" s="26"/>
      <c r="F14" s="26"/>
      <c r="G14" s="50"/>
      <c r="H14" s="50"/>
      <c r="I14" s="30" t="str">
        <f aca="false">IF($C14="","",IFERROR(S14/T14,"—"))</f>
        <v/>
      </c>
      <c r="J14" s="30" t="str">
        <f aca="false">IF($C14="","",IFERROR(V14/W14,"—"))</f>
        <v/>
      </c>
      <c r="K14" s="41" t="str">
        <f aca="false">IF($C14="","",IFERROR(J14/I14-1,""))</f>
        <v/>
      </c>
      <c r="L14" s="41" t="str">
        <f aca="false">IF($C14="","",IFERROR((U14-S14)/S14,"—"))</f>
        <v/>
      </c>
      <c r="M14" s="41" t="str">
        <f aca="false">IF($C14="","",IFERROR((X14-V14)/V14,"—"))</f>
        <v/>
      </c>
      <c r="N14" s="39" t="str">
        <f aca="false">IF($C14="","",T14/$D$5)</f>
        <v/>
      </c>
      <c r="O14" s="39" t="str">
        <f aca="false">IF($C14="","",W14/$D$5)</f>
        <v/>
      </c>
      <c r="P14" s="51" t="str">
        <f aca="false">IF($C14="","",IF(MAX(Статистика!$B$7:$B$1006)&lt;$C14+$D$5,"Чекаємо даних",IF(S14=0,"Новий (без бази)",IF(OR(T14=0,W14=0),"Мало даних",IF(K14&lt;=-$F$5,"Покращило",IF(K14&gt;=$F$5,"Погіршило","Без змін"))))))</f>
        <v/>
      </c>
      <c r="Q14" s="50"/>
      <c r="R14" s="1"/>
      <c r="S14" s="52" t="str">
        <f aca="false">IF($C14="","",SUMIFS(Статистика!$E$7:$E$1006,Статистика!$B$7:$B$1006,"&gt;="&amp;($C14-$D$5),Статистика!$B$7:$B$1006,"&lt;="&amp;($C14-1),Статистика!$C$7:$C$1006,IF($D14="","&lt;&gt;§",$D14),Статистика!$D$7:$D$1006,IF($E14="","&lt;&gt;§",$E14)))</f>
        <v/>
      </c>
      <c r="T14" s="52" t="str">
        <f aca="false">IF($C14="","",SUMIFS(Статистика!$H$7:$H$1006,Статистика!$B$7:$B$1006,"&gt;="&amp;($C14-$D$5),Статистика!$B$7:$B$1006,"&lt;="&amp;($C14-1),Статистика!$C$7:$C$1006,IF($D14="","&lt;&gt;§",$D14),Статистика!$D$7:$D$1006,IF($E14="","&lt;&gt;§",$E14)))</f>
        <v/>
      </c>
      <c r="U14" s="52" t="str">
        <f aca="false">IF($C14="","",SUMIFS(Статистика!$T$7:$T$1006,Статистика!$B$7:$B$1006,"&gt;="&amp;($C14-$D$5),Статистика!$B$7:$B$1006,"&lt;="&amp;($C14-1),Статистика!$C$7:$C$1006,IF($D14="","&lt;&gt;§",$D14),Статистика!$D$7:$D$1006,IF($E14="","&lt;&gt;§",$E14)))</f>
        <v/>
      </c>
      <c r="V14" s="52" t="str">
        <f aca="false">IF($C14="","",SUMIFS(Статистика!$E$7:$E$1006,Статистика!$B$7:$B$1006,"&gt;="&amp;($C14+1),Статистика!$B$7:$B$1006,"&lt;="&amp;($C14+$D$5),Статистика!$C$7:$C$1006,IF($D14="","&lt;&gt;§",$D14),Статистика!$D$7:$D$1006,IF($E14="","&lt;&gt;§",$E14)))</f>
        <v/>
      </c>
      <c r="W14" s="52" t="str">
        <f aca="false">IF($C14="","",SUMIFS(Статистика!$H$7:$H$1006,Статистика!$B$7:$B$1006,"&gt;="&amp;($C14+1),Статистика!$B$7:$B$1006,"&lt;="&amp;($C14+$D$5),Статистика!$C$7:$C$1006,IF($D14="","&lt;&gt;§",$D14),Статистика!$D$7:$D$1006,IF($E14="","&lt;&gt;§",$E14)))</f>
        <v/>
      </c>
      <c r="X14" s="52" t="str">
        <f aca="false">IF($C14="","",SUMIFS(Статистика!$T$7:$T$1006,Статистика!$B$7:$B$1006,"&gt;="&amp;($C14+1),Статистика!$B$7:$B$1006,"&lt;="&amp;($C14+$D$5),Статистика!$C$7:$C$1006,IF($D14="","&lt;&gt;§",$D14),Статистика!$D$7:$D$1006,IF($E14="","&lt;&gt;§",$E14)))</f>
        <v/>
      </c>
      <c r="Y14" s="1"/>
      <c r="Z14" s="1"/>
      <c r="AA14" s="1"/>
      <c r="AB14" s="1"/>
      <c r="AC14" s="1"/>
      <c r="AD14" s="1"/>
    </row>
    <row r="15" customFormat="false" ht="30" hidden="false" customHeight="true" outlineLevel="0" collapsed="false">
      <c r="A15" s="1"/>
      <c r="B15" s="49" t="str">
        <f aca="false">IF($C15="","",ROW()-8)</f>
        <v/>
      </c>
      <c r="C15" s="35"/>
      <c r="D15" s="8"/>
      <c r="E15" s="26"/>
      <c r="F15" s="26"/>
      <c r="G15" s="50"/>
      <c r="H15" s="50"/>
      <c r="I15" s="30" t="str">
        <f aca="false">IF($C15="","",IFERROR(S15/T15,"—"))</f>
        <v/>
      </c>
      <c r="J15" s="30" t="str">
        <f aca="false">IF($C15="","",IFERROR(V15/W15,"—"))</f>
        <v/>
      </c>
      <c r="K15" s="41" t="str">
        <f aca="false">IF($C15="","",IFERROR(J15/I15-1,""))</f>
        <v/>
      </c>
      <c r="L15" s="41" t="str">
        <f aca="false">IF($C15="","",IFERROR((U15-S15)/S15,"—"))</f>
        <v/>
      </c>
      <c r="M15" s="41" t="str">
        <f aca="false">IF($C15="","",IFERROR((X15-V15)/V15,"—"))</f>
        <v/>
      </c>
      <c r="N15" s="39" t="str">
        <f aca="false">IF($C15="","",T15/$D$5)</f>
        <v/>
      </c>
      <c r="O15" s="39" t="str">
        <f aca="false">IF($C15="","",W15/$D$5)</f>
        <v/>
      </c>
      <c r="P15" s="51" t="str">
        <f aca="false">IF($C15="","",IF(MAX(Статистика!$B$7:$B$1006)&lt;$C15+$D$5,"Чекаємо даних",IF(S15=0,"Новий (без бази)",IF(OR(T15=0,W15=0),"Мало даних",IF(K15&lt;=-$F$5,"Покращило",IF(K15&gt;=$F$5,"Погіршило","Без змін"))))))</f>
        <v/>
      </c>
      <c r="Q15" s="50"/>
      <c r="R15" s="1"/>
      <c r="S15" s="52" t="str">
        <f aca="false">IF($C15="","",SUMIFS(Статистика!$E$7:$E$1006,Статистика!$B$7:$B$1006,"&gt;="&amp;($C15-$D$5),Статистика!$B$7:$B$1006,"&lt;="&amp;($C15-1),Статистика!$C$7:$C$1006,IF($D15="","&lt;&gt;§",$D15),Статистика!$D$7:$D$1006,IF($E15="","&lt;&gt;§",$E15)))</f>
        <v/>
      </c>
      <c r="T15" s="52" t="str">
        <f aca="false">IF($C15="","",SUMIFS(Статистика!$H$7:$H$1006,Статистика!$B$7:$B$1006,"&gt;="&amp;($C15-$D$5),Статистика!$B$7:$B$1006,"&lt;="&amp;($C15-1),Статистика!$C$7:$C$1006,IF($D15="","&lt;&gt;§",$D15),Статистика!$D$7:$D$1006,IF($E15="","&lt;&gt;§",$E15)))</f>
        <v/>
      </c>
      <c r="U15" s="52" t="str">
        <f aca="false">IF($C15="","",SUMIFS(Статистика!$T$7:$T$1006,Статистика!$B$7:$B$1006,"&gt;="&amp;($C15-$D$5),Статистика!$B$7:$B$1006,"&lt;="&amp;($C15-1),Статистика!$C$7:$C$1006,IF($D15="","&lt;&gt;§",$D15),Статистика!$D$7:$D$1006,IF($E15="","&lt;&gt;§",$E15)))</f>
        <v/>
      </c>
      <c r="V15" s="52" t="str">
        <f aca="false">IF($C15="","",SUMIFS(Статистика!$E$7:$E$1006,Статистика!$B$7:$B$1006,"&gt;="&amp;($C15+1),Статистика!$B$7:$B$1006,"&lt;="&amp;($C15+$D$5),Статистика!$C$7:$C$1006,IF($D15="","&lt;&gt;§",$D15),Статистика!$D$7:$D$1006,IF($E15="","&lt;&gt;§",$E15)))</f>
        <v/>
      </c>
      <c r="W15" s="52" t="str">
        <f aca="false">IF($C15="","",SUMIFS(Статистика!$H$7:$H$1006,Статистика!$B$7:$B$1006,"&gt;="&amp;($C15+1),Статистика!$B$7:$B$1006,"&lt;="&amp;($C15+$D$5),Статистика!$C$7:$C$1006,IF($D15="","&lt;&gt;§",$D15),Статистика!$D$7:$D$1006,IF($E15="","&lt;&gt;§",$E15)))</f>
        <v/>
      </c>
      <c r="X15" s="52" t="str">
        <f aca="false">IF($C15="","",SUMIFS(Статистика!$T$7:$T$1006,Статистика!$B$7:$B$1006,"&gt;="&amp;($C15+1),Статистика!$B$7:$B$1006,"&lt;="&amp;($C15+$D$5),Статистика!$C$7:$C$1006,IF($D15="","&lt;&gt;§",$D15),Статистика!$D$7:$D$1006,IF($E15="","&lt;&gt;§",$E15)))</f>
        <v/>
      </c>
      <c r="Y15" s="1"/>
      <c r="Z15" s="1"/>
      <c r="AA15" s="1"/>
      <c r="AB15" s="1"/>
      <c r="AC15" s="1"/>
      <c r="AD15" s="1"/>
    </row>
    <row r="16" customFormat="false" ht="30" hidden="false" customHeight="true" outlineLevel="0" collapsed="false">
      <c r="A16" s="1"/>
      <c r="B16" s="49" t="str">
        <f aca="false">IF($C16="","",ROW()-8)</f>
        <v/>
      </c>
      <c r="C16" s="35"/>
      <c r="D16" s="8"/>
      <c r="E16" s="26"/>
      <c r="F16" s="26"/>
      <c r="G16" s="50"/>
      <c r="H16" s="50"/>
      <c r="I16" s="30" t="str">
        <f aca="false">IF($C16="","",IFERROR(S16/T16,"—"))</f>
        <v/>
      </c>
      <c r="J16" s="30" t="str">
        <f aca="false">IF($C16="","",IFERROR(V16/W16,"—"))</f>
        <v/>
      </c>
      <c r="K16" s="41" t="str">
        <f aca="false">IF($C16="","",IFERROR(J16/I16-1,""))</f>
        <v/>
      </c>
      <c r="L16" s="41" t="str">
        <f aca="false">IF($C16="","",IFERROR((U16-S16)/S16,"—"))</f>
        <v/>
      </c>
      <c r="M16" s="41" t="str">
        <f aca="false">IF($C16="","",IFERROR((X16-V16)/V16,"—"))</f>
        <v/>
      </c>
      <c r="N16" s="39" t="str">
        <f aca="false">IF($C16="","",T16/$D$5)</f>
        <v/>
      </c>
      <c r="O16" s="39" t="str">
        <f aca="false">IF($C16="","",W16/$D$5)</f>
        <v/>
      </c>
      <c r="P16" s="51" t="str">
        <f aca="false">IF($C16="","",IF(MAX(Статистика!$B$7:$B$1006)&lt;$C16+$D$5,"Чекаємо даних",IF(S16=0,"Новий (без бази)",IF(OR(T16=0,W16=0),"Мало даних",IF(K16&lt;=-$F$5,"Покращило",IF(K16&gt;=$F$5,"Погіршило","Без змін"))))))</f>
        <v/>
      </c>
      <c r="Q16" s="50"/>
      <c r="R16" s="1"/>
      <c r="S16" s="52" t="str">
        <f aca="false">IF($C16="","",SUMIFS(Статистика!$E$7:$E$1006,Статистика!$B$7:$B$1006,"&gt;="&amp;($C16-$D$5),Статистика!$B$7:$B$1006,"&lt;="&amp;($C16-1),Статистика!$C$7:$C$1006,IF($D16="","&lt;&gt;§",$D16),Статистика!$D$7:$D$1006,IF($E16="","&lt;&gt;§",$E16)))</f>
        <v/>
      </c>
      <c r="T16" s="52" t="str">
        <f aca="false">IF($C16="","",SUMIFS(Статистика!$H$7:$H$1006,Статистика!$B$7:$B$1006,"&gt;="&amp;($C16-$D$5),Статистика!$B$7:$B$1006,"&lt;="&amp;($C16-1),Статистика!$C$7:$C$1006,IF($D16="","&lt;&gt;§",$D16),Статистика!$D$7:$D$1006,IF($E16="","&lt;&gt;§",$E16)))</f>
        <v/>
      </c>
      <c r="U16" s="52" t="str">
        <f aca="false">IF($C16="","",SUMIFS(Статистика!$T$7:$T$1006,Статистика!$B$7:$B$1006,"&gt;="&amp;($C16-$D$5),Статистика!$B$7:$B$1006,"&lt;="&amp;($C16-1),Статистика!$C$7:$C$1006,IF($D16="","&lt;&gt;§",$D16),Статистика!$D$7:$D$1006,IF($E16="","&lt;&gt;§",$E16)))</f>
        <v/>
      </c>
      <c r="V16" s="52" t="str">
        <f aca="false">IF($C16="","",SUMIFS(Статистика!$E$7:$E$1006,Статистика!$B$7:$B$1006,"&gt;="&amp;($C16+1),Статистика!$B$7:$B$1006,"&lt;="&amp;($C16+$D$5),Статистика!$C$7:$C$1006,IF($D16="","&lt;&gt;§",$D16),Статистика!$D$7:$D$1006,IF($E16="","&lt;&gt;§",$E16)))</f>
        <v/>
      </c>
      <c r="W16" s="52" t="str">
        <f aca="false">IF($C16="","",SUMIFS(Статистика!$H$7:$H$1006,Статистика!$B$7:$B$1006,"&gt;="&amp;($C16+1),Статистика!$B$7:$B$1006,"&lt;="&amp;($C16+$D$5),Статистика!$C$7:$C$1006,IF($D16="","&lt;&gt;§",$D16),Статистика!$D$7:$D$1006,IF($E16="","&lt;&gt;§",$E16)))</f>
        <v/>
      </c>
      <c r="X16" s="52" t="str">
        <f aca="false">IF($C16="","",SUMIFS(Статистика!$T$7:$T$1006,Статистика!$B$7:$B$1006,"&gt;="&amp;($C16+1),Статистика!$B$7:$B$1006,"&lt;="&amp;($C16+$D$5),Статистика!$C$7:$C$1006,IF($D16="","&lt;&gt;§",$D16),Статистика!$D$7:$D$1006,IF($E16="","&lt;&gt;§",$E16)))</f>
        <v/>
      </c>
      <c r="Y16" s="1"/>
      <c r="Z16" s="1"/>
      <c r="AA16" s="1"/>
      <c r="AB16" s="1"/>
      <c r="AC16" s="1"/>
      <c r="AD16" s="1"/>
    </row>
    <row r="17" customFormat="false" ht="30" hidden="false" customHeight="true" outlineLevel="0" collapsed="false">
      <c r="A17" s="1"/>
      <c r="B17" s="49" t="str">
        <f aca="false">IF($C17="","",ROW()-8)</f>
        <v/>
      </c>
      <c r="C17" s="35"/>
      <c r="D17" s="8"/>
      <c r="E17" s="26"/>
      <c r="F17" s="26"/>
      <c r="G17" s="50"/>
      <c r="H17" s="50"/>
      <c r="I17" s="30" t="str">
        <f aca="false">IF($C17="","",IFERROR(S17/T17,"—"))</f>
        <v/>
      </c>
      <c r="J17" s="30" t="str">
        <f aca="false">IF($C17="","",IFERROR(V17/W17,"—"))</f>
        <v/>
      </c>
      <c r="K17" s="41" t="str">
        <f aca="false">IF($C17="","",IFERROR(J17/I17-1,""))</f>
        <v/>
      </c>
      <c r="L17" s="41" t="str">
        <f aca="false">IF($C17="","",IFERROR((U17-S17)/S17,"—"))</f>
        <v/>
      </c>
      <c r="M17" s="41" t="str">
        <f aca="false">IF($C17="","",IFERROR((X17-V17)/V17,"—"))</f>
        <v/>
      </c>
      <c r="N17" s="39" t="str">
        <f aca="false">IF($C17="","",T17/$D$5)</f>
        <v/>
      </c>
      <c r="O17" s="39" t="str">
        <f aca="false">IF($C17="","",W17/$D$5)</f>
        <v/>
      </c>
      <c r="P17" s="51" t="str">
        <f aca="false">IF($C17="","",IF(MAX(Статистика!$B$7:$B$1006)&lt;$C17+$D$5,"Чекаємо даних",IF(S17=0,"Новий (без бази)",IF(OR(T17=0,W17=0),"Мало даних",IF(K17&lt;=-$F$5,"Покращило",IF(K17&gt;=$F$5,"Погіршило","Без змін"))))))</f>
        <v/>
      </c>
      <c r="Q17" s="50"/>
      <c r="R17" s="1"/>
      <c r="S17" s="52" t="str">
        <f aca="false">IF($C17="","",SUMIFS(Статистика!$E$7:$E$1006,Статистика!$B$7:$B$1006,"&gt;="&amp;($C17-$D$5),Статистика!$B$7:$B$1006,"&lt;="&amp;($C17-1),Статистика!$C$7:$C$1006,IF($D17="","&lt;&gt;§",$D17),Статистика!$D$7:$D$1006,IF($E17="","&lt;&gt;§",$E17)))</f>
        <v/>
      </c>
      <c r="T17" s="52" t="str">
        <f aca="false">IF($C17="","",SUMIFS(Статистика!$H$7:$H$1006,Статистика!$B$7:$B$1006,"&gt;="&amp;($C17-$D$5),Статистика!$B$7:$B$1006,"&lt;="&amp;($C17-1),Статистика!$C$7:$C$1006,IF($D17="","&lt;&gt;§",$D17),Статистика!$D$7:$D$1006,IF($E17="","&lt;&gt;§",$E17)))</f>
        <v/>
      </c>
      <c r="U17" s="52" t="str">
        <f aca="false">IF($C17="","",SUMIFS(Статистика!$T$7:$T$1006,Статистика!$B$7:$B$1006,"&gt;="&amp;($C17-$D$5),Статистика!$B$7:$B$1006,"&lt;="&amp;($C17-1),Статистика!$C$7:$C$1006,IF($D17="","&lt;&gt;§",$D17),Статистика!$D$7:$D$1006,IF($E17="","&lt;&gt;§",$E17)))</f>
        <v/>
      </c>
      <c r="V17" s="52" t="str">
        <f aca="false">IF($C17="","",SUMIFS(Статистика!$E$7:$E$1006,Статистика!$B$7:$B$1006,"&gt;="&amp;($C17+1),Статистика!$B$7:$B$1006,"&lt;="&amp;($C17+$D$5),Статистика!$C$7:$C$1006,IF($D17="","&lt;&gt;§",$D17),Статистика!$D$7:$D$1006,IF($E17="","&lt;&gt;§",$E17)))</f>
        <v/>
      </c>
      <c r="W17" s="52" t="str">
        <f aca="false">IF($C17="","",SUMIFS(Статистика!$H$7:$H$1006,Статистика!$B$7:$B$1006,"&gt;="&amp;($C17+1),Статистика!$B$7:$B$1006,"&lt;="&amp;($C17+$D$5),Статистика!$C$7:$C$1006,IF($D17="","&lt;&gt;§",$D17),Статистика!$D$7:$D$1006,IF($E17="","&lt;&gt;§",$E17)))</f>
        <v/>
      </c>
      <c r="X17" s="52" t="str">
        <f aca="false">IF($C17="","",SUMIFS(Статистика!$T$7:$T$1006,Статистика!$B$7:$B$1006,"&gt;="&amp;($C17+1),Статистика!$B$7:$B$1006,"&lt;="&amp;($C17+$D$5),Статистика!$C$7:$C$1006,IF($D17="","&lt;&gt;§",$D17),Статистика!$D$7:$D$1006,IF($E17="","&lt;&gt;§",$E17)))</f>
        <v/>
      </c>
      <c r="Y17" s="1"/>
      <c r="Z17" s="1"/>
      <c r="AA17" s="1"/>
      <c r="AB17" s="1"/>
      <c r="AC17" s="1"/>
      <c r="AD17" s="1"/>
    </row>
    <row r="18" customFormat="false" ht="30" hidden="false" customHeight="true" outlineLevel="0" collapsed="false">
      <c r="A18" s="1"/>
      <c r="B18" s="49" t="str">
        <f aca="false">IF($C18="","",ROW()-8)</f>
        <v/>
      </c>
      <c r="C18" s="35"/>
      <c r="D18" s="8"/>
      <c r="E18" s="26"/>
      <c r="F18" s="26"/>
      <c r="G18" s="50"/>
      <c r="H18" s="50"/>
      <c r="I18" s="30" t="str">
        <f aca="false">IF($C18="","",IFERROR(S18/T18,"—"))</f>
        <v/>
      </c>
      <c r="J18" s="30" t="str">
        <f aca="false">IF($C18="","",IFERROR(V18/W18,"—"))</f>
        <v/>
      </c>
      <c r="K18" s="41" t="str">
        <f aca="false">IF($C18="","",IFERROR(J18/I18-1,""))</f>
        <v/>
      </c>
      <c r="L18" s="41" t="str">
        <f aca="false">IF($C18="","",IFERROR((U18-S18)/S18,"—"))</f>
        <v/>
      </c>
      <c r="M18" s="41" t="str">
        <f aca="false">IF($C18="","",IFERROR((X18-V18)/V18,"—"))</f>
        <v/>
      </c>
      <c r="N18" s="39" t="str">
        <f aca="false">IF($C18="","",T18/$D$5)</f>
        <v/>
      </c>
      <c r="O18" s="39" t="str">
        <f aca="false">IF($C18="","",W18/$D$5)</f>
        <v/>
      </c>
      <c r="P18" s="51" t="str">
        <f aca="false">IF($C18="","",IF(MAX(Статистика!$B$7:$B$1006)&lt;$C18+$D$5,"Чекаємо даних",IF(S18=0,"Новий (без бази)",IF(OR(T18=0,W18=0),"Мало даних",IF(K18&lt;=-$F$5,"Покращило",IF(K18&gt;=$F$5,"Погіршило","Без змін"))))))</f>
        <v/>
      </c>
      <c r="Q18" s="50"/>
      <c r="R18" s="1"/>
      <c r="S18" s="52" t="str">
        <f aca="false">IF($C18="","",SUMIFS(Статистика!$E$7:$E$1006,Статистика!$B$7:$B$1006,"&gt;="&amp;($C18-$D$5),Статистика!$B$7:$B$1006,"&lt;="&amp;($C18-1),Статистика!$C$7:$C$1006,IF($D18="","&lt;&gt;§",$D18),Статистика!$D$7:$D$1006,IF($E18="","&lt;&gt;§",$E18)))</f>
        <v/>
      </c>
      <c r="T18" s="52" t="str">
        <f aca="false">IF($C18="","",SUMIFS(Статистика!$H$7:$H$1006,Статистика!$B$7:$B$1006,"&gt;="&amp;($C18-$D$5),Статистика!$B$7:$B$1006,"&lt;="&amp;($C18-1),Статистика!$C$7:$C$1006,IF($D18="","&lt;&gt;§",$D18),Статистика!$D$7:$D$1006,IF($E18="","&lt;&gt;§",$E18)))</f>
        <v/>
      </c>
      <c r="U18" s="52" t="str">
        <f aca="false">IF($C18="","",SUMIFS(Статистика!$T$7:$T$1006,Статистика!$B$7:$B$1006,"&gt;="&amp;($C18-$D$5),Статистика!$B$7:$B$1006,"&lt;="&amp;($C18-1),Статистика!$C$7:$C$1006,IF($D18="","&lt;&gt;§",$D18),Статистика!$D$7:$D$1006,IF($E18="","&lt;&gt;§",$E18)))</f>
        <v/>
      </c>
      <c r="V18" s="52" t="str">
        <f aca="false">IF($C18="","",SUMIFS(Статистика!$E$7:$E$1006,Статистика!$B$7:$B$1006,"&gt;="&amp;($C18+1),Статистика!$B$7:$B$1006,"&lt;="&amp;($C18+$D$5),Статистика!$C$7:$C$1006,IF($D18="","&lt;&gt;§",$D18),Статистика!$D$7:$D$1006,IF($E18="","&lt;&gt;§",$E18)))</f>
        <v/>
      </c>
      <c r="W18" s="52" t="str">
        <f aca="false">IF($C18="","",SUMIFS(Статистика!$H$7:$H$1006,Статистика!$B$7:$B$1006,"&gt;="&amp;($C18+1),Статистика!$B$7:$B$1006,"&lt;="&amp;($C18+$D$5),Статистика!$C$7:$C$1006,IF($D18="","&lt;&gt;§",$D18),Статистика!$D$7:$D$1006,IF($E18="","&lt;&gt;§",$E18)))</f>
        <v/>
      </c>
      <c r="X18" s="52" t="str">
        <f aca="false">IF($C18="","",SUMIFS(Статистика!$T$7:$T$1006,Статистика!$B$7:$B$1006,"&gt;="&amp;($C18+1),Статистика!$B$7:$B$1006,"&lt;="&amp;($C18+$D$5),Статистика!$C$7:$C$1006,IF($D18="","&lt;&gt;§",$D18),Статистика!$D$7:$D$1006,IF($E18="","&lt;&gt;§",$E18)))</f>
        <v/>
      </c>
      <c r="Y18" s="1"/>
      <c r="Z18" s="1"/>
      <c r="AA18" s="1"/>
      <c r="AB18" s="1"/>
      <c r="AC18" s="1"/>
      <c r="AD18" s="1"/>
    </row>
    <row r="19" customFormat="false" ht="30" hidden="false" customHeight="true" outlineLevel="0" collapsed="false">
      <c r="A19" s="1"/>
      <c r="B19" s="49" t="str">
        <f aca="false">IF($C19="","",ROW()-8)</f>
        <v/>
      </c>
      <c r="C19" s="35"/>
      <c r="D19" s="8"/>
      <c r="E19" s="26"/>
      <c r="F19" s="26"/>
      <c r="G19" s="50"/>
      <c r="H19" s="50"/>
      <c r="I19" s="30" t="str">
        <f aca="false">IF($C19="","",IFERROR(S19/T19,"—"))</f>
        <v/>
      </c>
      <c r="J19" s="30" t="str">
        <f aca="false">IF($C19="","",IFERROR(V19/W19,"—"))</f>
        <v/>
      </c>
      <c r="K19" s="41" t="str">
        <f aca="false">IF($C19="","",IFERROR(J19/I19-1,""))</f>
        <v/>
      </c>
      <c r="L19" s="41" t="str">
        <f aca="false">IF($C19="","",IFERROR((U19-S19)/S19,"—"))</f>
        <v/>
      </c>
      <c r="M19" s="41" t="str">
        <f aca="false">IF($C19="","",IFERROR((X19-V19)/V19,"—"))</f>
        <v/>
      </c>
      <c r="N19" s="39" t="str">
        <f aca="false">IF($C19="","",T19/$D$5)</f>
        <v/>
      </c>
      <c r="O19" s="39" t="str">
        <f aca="false">IF($C19="","",W19/$D$5)</f>
        <v/>
      </c>
      <c r="P19" s="51" t="str">
        <f aca="false">IF($C19="","",IF(MAX(Статистика!$B$7:$B$1006)&lt;$C19+$D$5,"Чекаємо даних",IF(S19=0,"Новий (без бази)",IF(OR(T19=0,W19=0),"Мало даних",IF(K19&lt;=-$F$5,"Покращило",IF(K19&gt;=$F$5,"Погіршило","Без змін"))))))</f>
        <v/>
      </c>
      <c r="Q19" s="50"/>
      <c r="R19" s="1"/>
      <c r="S19" s="52" t="str">
        <f aca="false">IF($C19="","",SUMIFS(Статистика!$E$7:$E$1006,Статистика!$B$7:$B$1006,"&gt;="&amp;($C19-$D$5),Статистика!$B$7:$B$1006,"&lt;="&amp;($C19-1),Статистика!$C$7:$C$1006,IF($D19="","&lt;&gt;§",$D19),Статистика!$D$7:$D$1006,IF($E19="","&lt;&gt;§",$E19)))</f>
        <v/>
      </c>
      <c r="T19" s="52" t="str">
        <f aca="false">IF($C19="","",SUMIFS(Статистика!$H$7:$H$1006,Статистика!$B$7:$B$1006,"&gt;="&amp;($C19-$D$5),Статистика!$B$7:$B$1006,"&lt;="&amp;($C19-1),Статистика!$C$7:$C$1006,IF($D19="","&lt;&gt;§",$D19),Статистика!$D$7:$D$1006,IF($E19="","&lt;&gt;§",$E19)))</f>
        <v/>
      </c>
      <c r="U19" s="52" t="str">
        <f aca="false">IF($C19="","",SUMIFS(Статистика!$T$7:$T$1006,Статистика!$B$7:$B$1006,"&gt;="&amp;($C19-$D$5),Статистика!$B$7:$B$1006,"&lt;="&amp;($C19-1),Статистика!$C$7:$C$1006,IF($D19="","&lt;&gt;§",$D19),Статистика!$D$7:$D$1006,IF($E19="","&lt;&gt;§",$E19)))</f>
        <v/>
      </c>
      <c r="V19" s="52" t="str">
        <f aca="false">IF($C19="","",SUMIFS(Статистика!$E$7:$E$1006,Статистика!$B$7:$B$1006,"&gt;="&amp;($C19+1),Статистика!$B$7:$B$1006,"&lt;="&amp;($C19+$D$5),Статистика!$C$7:$C$1006,IF($D19="","&lt;&gt;§",$D19),Статистика!$D$7:$D$1006,IF($E19="","&lt;&gt;§",$E19)))</f>
        <v/>
      </c>
      <c r="W19" s="52" t="str">
        <f aca="false">IF($C19="","",SUMIFS(Статистика!$H$7:$H$1006,Статистика!$B$7:$B$1006,"&gt;="&amp;($C19+1),Статистика!$B$7:$B$1006,"&lt;="&amp;($C19+$D$5),Статистика!$C$7:$C$1006,IF($D19="","&lt;&gt;§",$D19),Статистика!$D$7:$D$1006,IF($E19="","&lt;&gt;§",$E19)))</f>
        <v/>
      </c>
      <c r="X19" s="52" t="str">
        <f aca="false">IF($C19="","",SUMIFS(Статистика!$T$7:$T$1006,Статистика!$B$7:$B$1006,"&gt;="&amp;($C19+1),Статистика!$B$7:$B$1006,"&lt;="&amp;($C19+$D$5),Статистика!$C$7:$C$1006,IF($D19="","&lt;&gt;§",$D19),Статистика!$D$7:$D$1006,IF($E19="","&lt;&gt;§",$E19)))</f>
        <v/>
      </c>
      <c r="Y19" s="1"/>
      <c r="Z19" s="1"/>
      <c r="AA19" s="1"/>
      <c r="AB19" s="1"/>
      <c r="AC19" s="1"/>
      <c r="AD19" s="1"/>
    </row>
    <row r="20" customFormat="false" ht="30" hidden="false" customHeight="true" outlineLevel="0" collapsed="false">
      <c r="A20" s="1"/>
      <c r="B20" s="49" t="str">
        <f aca="false">IF($C20="","",ROW()-8)</f>
        <v/>
      </c>
      <c r="C20" s="35"/>
      <c r="D20" s="8"/>
      <c r="E20" s="26"/>
      <c r="F20" s="26"/>
      <c r="G20" s="50"/>
      <c r="H20" s="50"/>
      <c r="I20" s="30" t="str">
        <f aca="false">IF($C20="","",IFERROR(S20/T20,"—"))</f>
        <v/>
      </c>
      <c r="J20" s="30" t="str">
        <f aca="false">IF($C20="","",IFERROR(V20/W20,"—"))</f>
        <v/>
      </c>
      <c r="K20" s="41" t="str">
        <f aca="false">IF($C20="","",IFERROR(J20/I20-1,""))</f>
        <v/>
      </c>
      <c r="L20" s="41" t="str">
        <f aca="false">IF($C20="","",IFERROR((U20-S20)/S20,"—"))</f>
        <v/>
      </c>
      <c r="M20" s="41" t="str">
        <f aca="false">IF($C20="","",IFERROR((X20-V20)/V20,"—"))</f>
        <v/>
      </c>
      <c r="N20" s="39" t="str">
        <f aca="false">IF($C20="","",T20/$D$5)</f>
        <v/>
      </c>
      <c r="O20" s="39" t="str">
        <f aca="false">IF($C20="","",W20/$D$5)</f>
        <v/>
      </c>
      <c r="P20" s="51" t="str">
        <f aca="false">IF($C20="","",IF(MAX(Статистика!$B$7:$B$1006)&lt;$C20+$D$5,"Чекаємо даних",IF(S20=0,"Новий (без бази)",IF(OR(T20=0,W20=0),"Мало даних",IF(K20&lt;=-$F$5,"Покращило",IF(K20&gt;=$F$5,"Погіршило","Без змін"))))))</f>
        <v/>
      </c>
      <c r="Q20" s="50"/>
      <c r="R20" s="1"/>
      <c r="S20" s="52" t="str">
        <f aca="false">IF($C20="","",SUMIFS(Статистика!$E$7:$E$1006,Статистика!$B$7:$B$1006,"&gt;="&amp;($C20-$D$5),Статистика!$B$7:$B$1006,"&lt;="&amp;($C20-1),Статистика!$C$7:$C$1006,IF($D20="","&lt;&gt;§",$D20),Статистика!$D$7:$D$1006,IF($E20="","&lt;&gt;§",$E20)))</f>
        <v/>
      </c>
      <c r="T20" s="52" t="str">
        <f aca="false">IF($C20="","",SUMIFS(Статистика!$H$7:$H$1006,Статистика!$B$7:$B$1006,"&gt;="&amp;($C20-$D$5),Статистика!$B$7:$B$1006,"&lt;="&amp;($C20-1),Статистика!$C$7:$C$1006,IF($D20="","&lt;&gt;§",$D20),Статистика!$D$7:$D$1006,IF($E20="","&lt;&gt;§",$E20)))</f>
        <v/>
      </c>
      <c r="U20" s="52" t="str">
        <f aca="false">IF($C20="","",SUMIFS(Статистика!$T$7:$T$1006,Статистика!$B$7:$B$1006,"&gt;="&amp;($C20-$D$5),Статистика!$B$7:$B$1006,"&lt;="&amp;($C20-1),Статистика!$C$7:$C$1006,IF($D20="","&lt;&gt;§",$D20),Статистика!$D$7:$D$1006,IF($E20="","&lt;&gt;§",$E20)))</f>
        <v/>
      </c>
      <c r="V20" s="52" t="str">
        <f aca="false">IF($C20="","",SUMIFS(Статистика!$E$7:$E$1006,Статистика!$B$7:$B$1006,"&gt;="&amp;($C20+1),Статистика!$B$7:$B$1006,"&lt;="&amp;($C20+$D$5),Статистика!$C$7:$C$1006,IF($D20="","&lt;&gt;§",$D20),Статистика!$D$7:$D$1006,IF($E20="","&lt;&gt;§",$E20)))</f>
        <v/>
      </c>
      <c r="W20" s="52" t="str">
        <f aca="false">IF($C20="","",SUMIFS(Статистика!$H$7:$H$1006,Статистика!$B$7:$B$1006,"&gt;="&amp;($C20+1),Статистика!$B$7:$B$1006,"&lt;="&amp;($C20+$D$5),Статистика!$C$7:$C$1006,IF($D20="","&lt;&gt;§",$D20),Статистика!$D$7:$D$1006,IF($E20="","&lt;&gt;§",$E20)))</f>
        <v/>
      </c>
      <c r="X20" s="52" t="str">
        <f aca="false">IF($C20="","",SUMIFS(Статистика!$T$7:$T$1006,Статистика!$B$7:$B$1006,"&gt;="&amp;($C20+1),Статистика!$B$7:$B$1006,"&lt;="&amp;($C20+$D$5),Статистика!$C$7:$C$1006,IF($D20="","&lt;&gt;§",$D20),Статистика!$D$7:$D$1006,IF($E20="","&lt;&gt;§",$E20)))</f>
        <v/>
      </c>
      <c r="Y20" s="1"/>
      <c r="Z20" s="1"/>
      <c r="AA20" s="1"/>
      <c r="AB20" s="1"/>
      <c r="AC20" s="1"/>
      <c r="AD20" s="1"/>
    </row>
    <row r="21" customFormat="false" ht="30" hidden="false" customHeight="true" outlineLevel="0" collapsed="false">
      <c r="A21" s="1"/>
      <c r="B21" s="49" t="str">
        <f aca="false">IF($C21="","",ROW()-8)</f>
        <v/>
      </c>
      <c r="C21" s="35"/>
      <c r="D21" s="8"/>
      <c r="E21" s="26"/>
      <c r="F21" s="26"/>
      <c r="G21" s="50"/>
      <c r="H21" s="50"/>
      <c r="I21" s="30" t="str">
        <f aca="false">IF($C21="","",IFERROR(S21/T21,"—"))</f>
        <v/>
      </c>
      <c r="J21" s="30" t="str">
        <f aca="false">IF($C21="","",IFERROR(V21/W21,"—"))</f>
        <v/>
      </c>
      <c r="K21" s="41" t="str">
        <f aca="false">IF($C21="","",IFERROR(J21/I21-1,""))</f>
        <v/>
      </c>
      <c r="L21" s="41" t="str">
        <f aca="false">IF($C21="","",IFERROR((U21-S21)/S21,"—"))</f>
        <v/>
      </c>
      <c r="M21" s="41" t="str">
        <f aca="false">IF($C21="","",IFERROR((X21-V21)/V21,"—"))</f>
        <v/>
      </c>
      <c r="N21" s="39" t="str">
        <f aca="false">IF($C21="","",T21/$D$5)</f>
        <v/>
      </c>
      <c r="O21" s="39" t="str">
        <f aca="false">IF($C21="","",W21/$D$5)</f>
        <v/>
      </c>
      <c r="P21" s="51" t="str">
        <f aca="false">IF($C21="","",IF(MAX(Статистика!$B$7:$B$1006)&lt;$C21+$D$5,"Чекаємо даних",IF(S21=0,"Новий (без бази)",IF(OR(T21=0,W21=0),"Мало даних",IF(K21&lt;=-$F$5,"Покращило",IF(K21&gt;=$F$5,"Погіршило","Без змін"))))))</f>
        <v/>
      </c>
      <c r="Q21" s="50"/>
      <c r="R21" s="1"/>
      <c r="S21" s="52" t="str">
        <f aca="false">IF($C21="","",SUMIFS(Статистика!$E$7:$E$1006,Статистика!$B$7:$B$1006,"&gt;="&amp;($C21-$D$5),Статистика!$B$7:$B$1006,"&lt;="&amp;($C21-1),Статистика!$C$7:$C$1006,IF($D21="","&lt;&gt;§",$D21),Статистика!$D$7:$D$1006,IF($E21="","&lt;&gt;§",$E21)))</f>
        <v/>
      </c>
      <c r="T21" s="52" t="str">
        <f aca="false">IF($C21="","",SUMIFS(Статистика!$H$7:$H$1006,Статистика!$B$7:$B$1006,"&gt;="&amp;($C21-$D$5),Статистика!$B$7:$B$1006,"&lt;="&amp;($C21-1),Статистика!$C$7:$C$1006,IF($D21="","&lt;&gt;§",$D21),Статистика!$D$7:$D$1006,IF($E21="","&lt;&gt;§",$E21)))</f>
        <v/>
      </c>
      <c r="U21" s="52" t="str">
        <f aca="false">IF($C21="","",SUMIFS(Статистика!$T$7:$T$1006,Статистика!$B$7:$B$1006,"&gt;="&amp;($C21-$D$5),Статистика!$B$7:$B$1006,"&lt;="&amp;($C21-1),Статистика!$C$7:$C$1006,IF($D21="","&lt;&gt;§",$D21),Статистика!$D$7:$D$1006,IF($E21="","&lt;&gt;§",$E21)))</f>
        <v/>
      </c>
      <c r="V21" s="52" t="str">
        <f aca="false">IF($C21="","",SUMIFS(Статистика!$E$7:$E$1006,Статистика!$B$7:$B$1006,"&gt;="&amp;($C21+1),Статистика!$B$7:$B$1006,"&lt;="&amp;($C21+$D$5),Статистика!$C$7:$C$1006,IF($D21="","&lt;&gt;§",$D21),Статистика!$D$7:$D$1006,IF($E21="","&lt;&gt;§",$E21)))</f>
        <v/>
      </c>
      <c r="W21" s="52" t="str">
        <f aca="false">IF($C21="","",SUMIFS(Статистика!$H$7:$H$1006,Статистика!$B$7:$B$1006,"&gt;="&amp;($C21+1),Статистика!$B$7:$B$1006,"&lt;="&amp;($C21+$D$5),Статистика!$C$7:$C$1006,IF($D21="","&lt;&gt;§",$D21),Статистика!$D$7:$D$1006,IF($E21="","&lt;&gt;§",$E21)))</f>
        <v/>
      </c>
      <c r="X21" s="52" t="str">
        <f aca="false">IF($C21="","",SUMIFS(Статистика!$T$7:$T$1006,Статистика!$B$7:$B$1006,"&gt;="&amp;($C21+1),Статистика!$B$7:$B$1006,"&lt;="&amp;($C21+$D$5),Статистика!$C$7:$C$1006,IF($D21="","&lt;&gt;§",$D21),Статистика!$D$7:$D$1006,IF($E21="","&lt;&gt;§",$E21)))</f>
        <v/>
      </c>
      <c r="Y21" s="1"/>
      <c r="Z21" s="1"/>
      <c r="AA21" s="1"/>
      <c r="AB21" s="1"/>
      <c r="AC21" s="1"/>
      <c r="AD21" s="1"/>
    </row>
    <row r="22" customFormat="false" ht="30" hidden="false" customHeight="true" outlineLevel="0" collapsed="false">
      <c r="A22" s="1"/>
      <c r="B22" s="49" t="str">
        <f aca="false">IF($C22="","",ROW()-8)</f>
        <v/>
      </c>
      <c r="C22" s="35"/>
      <c r="D22" s="8"/>
      <c r="E22" s="26"/>
      <c r="F22" s="26"/>
      <c r="G22" s="50"/>
      <c r="H22" s="50"/>
      <c r="I22" s="30" t="str">
        <f aca="false">IF($C22="","",IFERROR(S22/T22,"—"))</f>
        <v/>
      </c>
      <c r="J22" s="30" t="str">
        <f aca="false">IF($C22="","",IFERROR(V22/W22,"—"))</f>
        <v/>
      </c>
      <c r="K22" s="41" t="str">
        <f aca="false">IF($C22="","",IFERROR(J22/I22-1,""))</f>
        <v/>
      </c>
      <c r="L22" s="41" t="str">
        <f aca="false">IF($C22="","",IFERROR((U22-S22)/S22,"—"))</f>
        <v/>
      </c>
      <c r="M22" s="41" t="str">
        <f aca="false">IF($C22="","",IFERROR((X22-V22)/V22,"—"))</f>
        <v/>
      </c>
      <c r="N22" s="39" t="str">
        <f aca="false">IF($C22="","",T22/$D$5)</f>
        <v/>
      </c>
      <c r="O22" s="39" t="str">
        <f aca="false">IF($C22="","",W22/$D$5)</f>
        <v/>
      </c>
      <c r="P22" s="51" t="str">
        <f aca="false">IF($C22="","",IF(MAX(Статистика!$B$7:$B$1006)&lt;$C22+$D$5,"Чекаємо даних",IF(S22=0,"Новий (без бази)",IF(OR(T22=0,W22=0),"Мало даних",IF(K22&lt;=-$F$5,"Покращило",IF(K22&gt;=$F$5,"Погіршило","Без змін"))))))</f>
        <v/>
      </c>
      <c r="Q22" s="50"/>
      <c r="R22" s="1"/>
      <c r="S22" s="52" t="str">
        <f aca="false">IF($C22="","",SUMIFS(Статистика!$E$7:$E$1006,Статистика!$B$7:$B$1006,"&gt;="&amp;($C22-$D$5),Статистика!$B$7:$B$1006,"&lt;="&amp;($C22-1),Статистика!$C$7:$C$1006,IF($D22="","&lt;&gt;§",$D22),Статистика!$D$7:$D$1006,IF($E22="","&lt;&gt;§",$E22)))</f>
        <v/>
      </c>
      <c r="T22" s="52" t="str">
        <f aca="false">IF($C22="","",SUMIFS(Статистика!$H$7:$H$1006,Статистика!$B$7:$B$1006,"&gt;="&amp;($C22-$D$5),Статистика!$B$7:$B$1006,"&lt;="&amp;($C22-1),Статистика!$C$7:$C$1006,IF($D22="","&lt;&gt;§",$D22),Статистика!$D$7:$D$1006,IF($E22="","&lt;&gt;§",$E22)))</f>
        <v/>
      </c>
      <c r="U22" s="52" t="str">
        <f aca="false">IF($C22="","",SUMIFS(Статистика!$T$7:$T$1006,Статистика!$B$7:$B$1006,"&gt;="&amp;($C22-$D$5),Статистика!$B$7:$B$1006,"&lt;="&amp;($C22-1),Статистика!$C$7:$C$1006,IF($D22="","&lt;&gt;§",$D22),Статистика!$D$7:$D$1006,IF($E22="","&lt;&gt;§",$E22)))</f>
        <v/>
      </c>
      <c r="V22" s="52" t="str">
        <f aca="false">IF($C22="","",SUMIFS(Статистика!$E$7:$E$1006,Статистика!$B$7:$B$1006,"&gt;="&amp;($C22+1),Статистика!$B$7:$B$1006,"&lt;="&amp;($C22+$D$5),Статистика!$C$7:$C$1006,IF($D22="","&lt;&gt;§",$D22),Статистика!$D$7:$D$1006,IF($E22="","&lt;&gt;§",$E22)))</f>
        <v/>
      </c>
      <c r="W22" s="52" t="str">
        <f aca="false">IF($C22="","",SUMIFS(Статистика!$H$7:$H$1006,Статистика!$B$7:$B$1006,"&gt;="&amp;($C22+1),Статистика!$B$7:$B$1006,"&lt;="&amp;($C22+$D$5),Статистика!$C$7:$C$1006,IF($D22="","&lt;&gt;§",$D22),Статистика!$D$7:$D$1006,IF($E22="","&lt;&gt;§",$E22)))</f>
        <v/>
      </c>
      <c r="X22" s="52" t="str">
        <f aca="false">IF($C22="","",SUMIFS(Статистика!$T$7:$T$1006,Статистика!$B$7:$B$1006,"&gt;="&amp;($C22+1),Статистика!$B$7:$B$1006,"&lt;="&amp;($C22+$D$5),Статистика!$C$7:$C$1006,IF($D22="","&lt;&gt;§",$D22),Статистика!$D$7:$D$1006,IF($E22="","&lt;&gt;§",$E22)))</f>
        <v/>
      </c>
      <c r="Y22" s="1"/>
      <c r="Z22" s="1"/>
      <c r="AA22" s="1"/>
      <c r="AB22" s="1"/>
      <c r="AC22" s="1"/>
      <c r="AD22" s="1"/>
    </row>
    <row r="23" customFormat="false" ht="30" hidden="false" customHeight="true" outlineLevel="0" collapsed="false">
      <c r="A23" s="1"/>
      <c r="B23" s="49" t="str">
        <f aca="false">IF($C23="","",ROW()-8)</f>
        <v/>
      </c>
      <c r="C23" s="35"/>
      <c r="D23" s="8"/>
      <c r="E23" s="26"/>
      <c r="F23" s="26"/>
      <c r="G23" s="50"/>
      <c r="H23" s="50"/>
      <c r="I23" s="30" t="str">
        <f aca="false">IF($C23="","",IFERROR(S23/T23,"—"))</f>
        <v/>
      </c>
      <c r="J23" s="30" t="str">
        <f aca="false">IF($C23="","",IFERROR(V23/W23,"—"))</f>
        <v/>
      </c>
      <c r="K23" s="41" t="str">
        <f aca="false">IF($C23="","",IFERROR(J23/I23-1,""))</f>
        <v/>
      </c>
      <c r="L23" s="41" t="str">
        <f aca="false">IF($C23="","",IFERROR((U23-S23)/S23,"—"))</f>
        <v/>
      </c>
      <c r="M23" s="41" t="str">
        <f aca="false">IF($C23="","",IFERROR((X23-V23)/V23,"—"))</f>
        <v/>
      </c>
      <c r="N23" s="39" t="str">
        <f aca="false">IF($C23="","",T23/$D$5)</f>
        <v/>
      </c>
      <c r="O23" s="39" t="str">
        <f aca="false">IF($C23="","",W23/$D$5)</f>
        <v/>
      </c>
      <c r="P23" s="51" t="str">
        <f aca="false">IF($C23="","",IF(MAX(Статистика!$B$7:$B$1006)&lt;$C23+$D$5,"Чекаємо даних",IF(S23=0,"Новий (без бази)",IF(OR(T23=0,W23=0),"Мало даних",IF(K23&lt;=-$F$5,"Покращило",IF(K23&gt;=$F$5,"Погіршило","Без змін"))))))</f>
        <v/>
      </c>
      <c r="Q23" s="50"/>
      <c r="R23" s="1"/>
      <c r="S23" s="52" t="str">
        <f aca="false">IF($C23="","",SUMIFS(Статистика!$E$7:$E$1006,Статистика!$B$7:$B$1006,"&gt;="&amp;($C23-$D$5),Статистика!$B$7:$B$1006,"&lt;="&amp;($C23-1),Статистика!$C$7:$C$1006,IF($D23="","&lt;&gt;§",$D23),Статистика!$D$7:$D$1006,IF($E23="","&lt;&gt;§",$E23)))</f>
        <v/>
      </c>
      <c r="T23" s="52" t="str">
        <f aca="false">IF($C23="","",SUMIFS(Статистика!$H$7:$H$1006,Статистика!$B$7:$B$1006,"&gt;="&amp;($C23-$D$5),Статистика!$B$7:$B$1006,"&lt;="&amp;($C23-1),Статистика!$C$7:$C$1006,IF($D23="","&lt;&gt;§",$D23),Статистика!$D$7:$D$1006,IF($E23="","&lt;&gt;§",$E23)))</f>
        <v/>
      </c>
      <c r="U23" s="52" t="str">
        <f aca="false">IF($C23="","",SUMIFS(Статистика!$T$7:$T$1006,Статистика!$B$7:$B$1006,"&gt;="&amp;($C23-$D$5),Статистика!$B$7:$B$1006,"&lt;="&amp;($C23-1),Статистика!$C$7:$C$1006,IF($D23="","&lt;&gt;§",$D23),Статистика!$D$7:$D$1006,IF($E23="","&lt;&gt;§",$E23)))</f>
        <v/>
      </c>
      <c r="V23" s="52" t="str">
        <f aca="false">IF($C23="","",SUMIFS(Статистика!$E$7:$E$1006,Статистика!$B$7:$B$1006,"&gt;="&amp;($C23+1),Статистика!$B$7:$B$1006,"&lt;="&amp;($C23+$D$5),Статистика!$C$7:$C$1006,IF($D23="","&lt;&gt;§",$D23),Статистика!$D$7:$D$1006,IF($E23="","&lt;&gt;§",$E23)))</f>
        <v/>
      </c>
      <c r="W23" s="52" t="str">
        <f aca="false">IF($C23="","",SUMIFS(Статистика!$H$7:$H$1006,Статистика!$B$7:$B$1006,"&gt;="&amp;($C23+1),Статистика!$B$7:$B$1006,"&lt;="&amp;($C23+$D$5),Статистика!$C$7:$C$1006,IF($D23="","&lt;&gt;§",$D23),Статистика!$D$7:$D$1006,IF($E23="","&lt;&gt;§",$E23)))</f>
        <v/>
      </c>
      <c r="X23" s="52" t="str">
        <f aca="false">IF($C23="","",SUMIFS(Статистика!$T$7:$T$1006,Статистика!$B$7:$B$1006,"&gt;="&amp;($C23+1),Статистика!$B$7:$B$1006,"&lt;="&amp;($C23+$D$5),Статистика!$C$7:$C$1006,IF($D23="","&lt;&gt;§",$D23),Статистика!$D$7:$D$1006,IF($E23="","&lt;&gt;§",$E23)))</f>
        <v/>
      </c>
      <c r="Y23" s="1"/>
      <c r="Z23" s="1"/>
      <c r="AA23" s="1"/>
      <c r="AB23" s="1"/>
      <c r="AC23" s="1"/>
      <c r="AD23" s="1"/>
    </row>
    <row r="24" customFormat="false" ht="30" hidden="false" customHeight="true" outlineLevel="0" collapsed="false">
      <c r="A24" s="1"/>
      <c r="B24" s="49" t="str">
        <f aca="false">IF($C24="","",ROW()-8)</f>
        <v/>
      </c>
      <c r="C24" s="35"/>
      <c r="D24" s="8"/>
      <c r="E24" s="26"/>
      <c r="F24" s="26"/>
      <c r="G24" s="50"/>
      <c r="H24" s="50"/>
      <c r="I24" s="30" t="str">
        <f aca="false">IF($C24="","",IFERROR(S24/T24,"—"))</f>
        <v/>
      </c>
      <c r="J24" s="30" t="str">
        <f aca="false">IF($C24="","",IFERROR(V24/W24,"—"))</f>
        <v/>
      </c>
      <c r="K24" s="41" t="str">
        <f aca="false">IF($C24="","",IFERROR(J24/I24-1,""))</f>
        <v/>
      </c>
      <c r="L24" s="41" t="str">
        <f aca="false">IF($C24="","",IFERROR((U24-S24)/S24,"—"))</f>
        <v/>
      </c>
      <c r="M24" s="41" t="str">
        <f aca="false">IF($C24="","",IFERROR((X24-V24)/V24,"—"))</f>
        <v/>
      </c>
      <c r="N24" s="39" t="str">
        <f aca="false">IF($C24="","",T24/$D$5)</f>
        <v/>
      </c>
      <c r="O24" s="39" t="str">
        <f aca="false">IF($C24="","",W24/$D$5)</f>
        <v/>
      </c>
      <c r="P24" s="51" t="str">
        <f aca="false">IF($C24="","",IF(MAX(Статистика!$B$7:$B$1006)&lt;$C24+$D$5,"Чекаємо даних",IF(S24=0,"Новий (без бази)",IF(OR(T24=0,W24=0),"Мало даних",IF(K24&lt;=-$F$5,"Покращило",IF(K24&gt;=$F$5,"Погіршило","Без змін"))))))</f>
        <v/>
      </c>
      <c r="Q24" s="50"/>
      <c r="R24" s="1"/>
      <c r="S24" s="52" t="str">
        <f aca="false">IF($C24="","",SUMIFS(Статистика!$E$7:$E$1006,Статистика!$B$7:$B$1006,"&gt;="&amp;($C24-$D$5),Статистика!$B$7:$B$1006,"&lt;="&amp;($C24-1),Статистика!$C$7:$C$1006,IF($D24="","&lt;&gt;§",$D24),Статистика!$D$7:$D$1006,IF($E24="","&lt;&gt;§",$E24)))</f>
        <v/>
      </c>
      <c r="T24" s="52" t="str">
        <f aca="false">IF($C24="","",SUMIFS(Статистика!$H$7:$H$1006,Статистика!$B$7:$B$1006,"&gt;="&amp;($C24-$D$5),Статистика!$B$7:$B$1006,"&lt;="&amp;($C24-1),Статистика!$C$7:$C$1006,IF($D24="","&lt;&gt;§",$D24),Статистика!$D$7:$D$1006,IF($E24="","&lt;&gt;§",$E24)))</f>
        <v/>
      </c>
      <c r="U24" s="52" t="str">
        <f aca="false">IF($C24="","",SUMIFS(Статистика!$T$7:$T$1006,Статистика!$B$7:$B$1006,"&gt;="&amp;($C24-$D$5),Статистика!$B$7:$B$1006,"&lt;="&amp;($C24-1),Статистика!$C$7:$C$1006,IF($D24="","&lt;&gt;§",$D24),Статистика!$D$7:$D$1006,IF($E24="","&lt;&gt;§",$E24)))</f>
        <v/>
      </c>
      <c r="V24" s="52" t="str">
        <f aca="false">IF($C24="","",SUMIFS(Статистика!$E$7:$E$1006,Статистика!$B$7:$B$1006,"&gt;="&amp;($C24+1),Статистика!$B$7:$B$1006,"&lt;="&amp;($C24+$D$5),Статистика!$C$7:$C$1006,IF($D24="","&lt;&gt;§",$D24),Статистика!$D$7:$D$1006,IF($E24="","&lt;&gt;§",$E24)))</f>
        <v/>
      </c>
      <c r="W24" s="52" t="str">
        <f aca="false">IF($C24="","",SUMIFS(Статистика!$H$7:$H$1006,Статистика!$B$7:$B$1006,"&gt;="&amp;($C24+1),Статистика!$B$7:$B$1006,"&lt;="&amp;($C24+$D$5),Статистика!$C$7:$C$1006,IF($D24="","&lt;&gt;§",$D24),Статистика!$D$7:$D$1006,IF($E24="","&lt;&gt;§",$E24)))</f>
        <v/>
      </c>
      <c r="X24" s="52" t="str">
        <f aca="false">IF($C24="","",SUMIFS(Статистика!$T$7:$T$1006,Статистика!$B$7:$B$1006,"&gt;="&amp;($C24+1),Статистика!$B$7:$B$1006,"&lt;="&amp;($C24+$D$5),Статистика!$C$7:$C$1006,IF($D24="","&lt;&gt;§",$D24),Статистика!$D$7:$D$1006,IF($E24="","&lt;&gt;§",$E24)))</f>
        <v/>
      </c>
      <c r="Y24" s="1"/>
      <c r="Z24" s="1"/>
      <c r="AA24" s="1"/>
      <c r="AB24" s="1"/>
      <c r="AC24" s="1"/>
      <c r="AD24" s="1"/>
    </row>
    <row r="25" customFormat="false" ht="30" hidden="false" customHeight="true" outlineLevel="0" collapsed="false">
      <c r="A25" s="1"/>
      <c r="B25" s="49" t="str">
        <f aca="false">IF($C25="","",ROW()-8)</f>
        <v/>
      </c>
      <c r="C25" s="35"/>
      <c r="D25" s="8"/>
      <c r="E25" s="26"/>
      <c r="F25" s="26"/>
      <c r="G25" s="50"/>
      <c r="H25" s="50"/>
      <c r="I25" s="30" t="str">
        <f aca="false">IF($C25="","",IFERROR(S25/T25,"—"))</f>
        <v/>
      </c>
      <c r="J25" s="30" t="str">
        <f aca="false">IF($C25="","",IFERROR(V25/W25,"—"))</f>
        <v/>
      </c>
      <c r="K25" s="41" t="str">
        <f aca="false">IF($C25="","",IFERROR(J25/I25-1,""))</f>
        <v/>
      </c>
      <c r="L25" s="41" t="str">
        <f aca="false">IF($C25="","",IFERROR((U25-S25)/S25,"—"))</f>
        <v/>
      </c>
      <c r="M25" s="41" t="str">
        <f aca="false">IF($C25="","",IFERROR((X25-V25)/V25,"—"))</f>
        <v/>
      </c>
      <c r="N25" s="39" t="str">
        <f aca="false">IF($C25="","",T25/$D$5)</f>
        <v/>
      </c>
      <c r="O25" s="39" t="str">
        <f aca="false">IF($C25="","",W25/$D$5)</f>
        <v/>
      </c>
      <c r="P25" s="51" t="str">
        <f aca="false">IF($C25="","",IF(MAX(Статистика!$B$7:$B$1006)&lt;$C25+$D$5,"Чекаємо даних",IF(S25=0,"Новий (без бази)",IF(OR(T25=0,W25=0),"Мало даних",IF(K25&lt;=-$F$5,"Покращило",IF(K25&gt;=$F$5,"Погіршило","Без змін"))))))</f>
        <v/>
      </c>
      <c r="Q25" s="50"/>
      <c r="R25" s="1"/>
      <c r="S25" s="52" t="str">
        <f aca="false">IF($C25="","",SUMIFS(Статистика!$E$7:$E$1006,Статистика!$B$7:$B$1006,"&gt;="&amp;($C25-$D$5),Статистика!$B$7:$B$1006,"&lt;="&amp;($C25-1),Статистика!$C$7:$C$1006,IF($D25="","&lt;&gt;§",$D25),Статистика!$D$7:$D$1006,IF($E25="","&lt;&gt;§",$E25)))</f>
        <v/>
      </c>
      <c r="T25" s="52" t="str">
        <f aca="false">IF($C25="","",SUMIFS(Статистика!$H$7:$H$1006,Статистика!$B$7:$B$1006,"&gt;="&amp;($C25-$D$5),Статистика!$B$7:$B$1006,"&lt;="&amp;($C25-1),Статистика!$C$7:$C$1006,IF($D25="","&lt;&gt;§",$D25),Статистика!$D$7:$D$1006,IF($E25="","&lt;&gt;§",$E25)))</f>
        <v/>
      </c>
      <c r="U25" s="52" t="str">
        <f aca="false">IF($C25="","",SUMIFS(Статистика!$T$7:$T$1006,Статистика!$B$7:$B$1006,"&gt;="&amp;($C25-$D$5),Статистика!$B$7:$B$1006,"&lt;="&amp;($C25-1),Статистика!$C$7:$C$1006,IF($D25="","&lt;&gt;§",$D25),Статистика!$D$7:$D$1006,IF($E25="","&lt;&gt;§",$E25)))</f>
        <v/>
      </c>
      <c r="V25" s="52" t="str">
        <f aca="false">IF($C25="","",SUMIFS(Статистика!$E$7:$E$1006,Статистика!$B$7:$B$1006,"&gt;="&amp;($C25+1),Статистика!$B$7:$B$1006,"&lt;="&amp;($C25+$D$5),Статистика!$C$7:$C$1006,IF($D25="","&lt;&gt;§",$D25),Статистика!$D$7:$D$1006,IF($E25="","&lt;&gt;§",$E25)))</f>
        <v/>
      </c>
      <c r="W25" s="52" t="str">
        <f aca="false">IF($C25="","",SUMIFS(Статистика!$H$7:$H$1006,Статистика!$B$7:$B$1006,"&gt;="&amp;($C25+1),Статистика!$B$7:$B$1006,"&lt;="&amp;($C25+$D$5),Статистика!$C$7:$C$1006,IF($D25="","&lt;&gt;§",$D25),Статистика!$D$7:$D$1006,IF($E25="","&lt;&gt;§",$E25)))</f>
        <v/>
      </c>
      <c r="X25" s="52" t="str">
        <f aca="false">IF($C25="","",SUMIFS(Статистика!$T$7:$T$1006,Статистика!$B$7:$B$1006,"&gt;="&amp;($C25+1),Статистика!$B$7:$B$1006,"&lt;="&amp;($C25+$D$5),Статистика!$C$7:$C$1006,IF($D25="","&lt;&gt;§",$D25),Статистика!$D$7:$D$1006,IF($E25="","&lt;&gt;§",$E25)))</f>
        <v/>
      </c>
      <c r="Y25" s="1"/>
      <c r="Z25" s="1"/>
      <c r="AA25" s="1"/>
      <c r="AB25" s="1"/>
      <c r="AC25" s="1"/>
      <c r="AD25" s="1"/>
    </row>
    <row r="26" customFormat="false" ht="30" hidden="false" customHeight="true" outlineLevel="0" collapsed="false">
      <c r="A26" s="1"/>
      <c r="B26" s="49" t="str">
        <f aca="false">IF($C26="","",ROW()-8)</f>
        <v/>
      </c>
      <c r="C26" s="35"/>
      <c r="D26" s="8"/>
      <c r="E26" s="26"/>
      <c r="F26" s="26"/>
      <c r="G26" s="50"/>
      <c r="H26" s="50"/>
      <c r="I26" s="30" t="str">
        <f aca="false">IF($C26="","",IFERROR(S26/T26,"—"))</f>
        <v/>
      </c>
      <c r="J26" s="30" t="str">
        <f aca="false">IF($C26="","",IFERROR(V26/W26,"—"))</f>
        <v/>
      </c>
      <c r="K26" s="41" t="str">
        <f aca="false">IF($C26="","",IFERROR(J26/I26-1,""))</f>
        <v/>
      </c>
      <c r="L26" s="41" t="str">
        <f aca="false">IF($C26="","",IFERROR((U26-S26)/S26,"—"))</f>
        <v/>
      </c>
      <c r="M26" s="41" t="str">
        <f aca="false">IF($C26="","",IFERROR((X26-V26)/V26,"—"))</f>
        <v/>
      </c>
      <c r="N26" s="39" t="str">
        <f aca="false">IF($C26="","",T26/$D$5)</f>
        <v/>
      </c>
      <c r="O26" s="39" t="str">
        <f aca="false">IF($C26="","",W26/$D$5)</f>
        <v/>
      </c>
      <c r="P26" s="51" t="str">
        <f aca="false">IF($C26="","",IF(MAX(Статистика!$B$7:$B$1006)&lt;$C26+$D$5,"Чекаємо даних",IF(S26=0,"Новий (без бази)",IF(OR(T26=0,W26=0),"Мало даних",IF(K26&lt;=-$F$5,"Покращило",IF(K26&gt;=$F$5,"Погіршило","Без змін"))))))</f>
        <v/>
      </c>
      <c r="Q26" s="50"/>
      <c r="R26" s="1"/>
      <c r="S26" s="52" t="str">
        <f aca="false">IF($C26="","",SUMIFS(Статистика!$E$7:$E$1006,Статистика!$B$7:$B$1006,"&gt;="&amp;($C26-$D$5),Статистика!$B$7:$B$1006,"&lt;="&amp;($C26-1),Статистика!$C$7:$C$1006,IF($D26="","&lt;&gt;§",$D26),Статистика!$D$7:$D$1006,IF($E26="","&lt;&gt;§",$E26)))</f>
        <v/>
      </c>
      <c r="T26" s="52" t="str">
        <f aca="false">IF($C26="","",SUMIFS(Статистика!$H$7:$H$1006,Статистика!$B$7:$B$1006,"&gt;="&amp;($C26-$D$5),Статистика!$B$7:$B$1006,"&lt;="&amp;($C26-1),Статистика!$C$7:$C$1006,IF($D26="","&lt;&gt;§",$D26),Статистика!$D$7:$D$1006,IF($E26="","&lt;&gt;§",$E26)))</f>
        <v/>
      </c>
      <c r="U26" s="52" t="str">
        <f aca="false">IF($C26="","",SUMIFS(Статистика!$T$7:$T$1006,Статистика!$B$7:$B$1006,"&gt;="&amp;($C26-$D$5),Статистика!$B$7:$B$1006,"&lt;="&amp;($C26-1),Статистика!$C$7:$C$1006,IF($D26="","&lt;&gt;§",$D26),Статистика!$D$7:$D$1006,IF($E26="","&lt;&gt;§",$E26)))</f>
        <v/>
      </c>
      <c r="V26" s="52" t="str">
        <f aca="false">IF($C26="","",SUMIFS(Статистика!$E$7:$E$1006,Статистика!$B$7:$B$1006,"&gt;="&amp;($C26+1),Статистика!$B$7:$B$1006,"&lt;="&amp;($C26+$D$5),Статистика!$C$7:$C$1006,IF($D26="","&lt;&gt;§",$D26),Статистика!$D$7:$D$1006,IF($E26="","&lt;&gt;§",$E26)))</f>
        <v/>
      </c>
      <c r="W26" s="52" t="str">
        <f aca="false">IF($C26="","",SUMIFS(Статистика!$H$7:$H$1006,Статистика!$B$7:$B$1006,"&gt;="&amp;($C26+1),Статистика!$B$7:$B$1006,"&lt;="&amp;($C26+$D$5),Статистика!$C$7:$C$1006,IF($D26="","&lt;&gt;§",$D26),Статистика!$D$7:$D$1006,IF($E26="","&lt;&gt;§",$E26)))</f>
        <v/>
      </c>
      <c r="X26" s="52" t="str">
        <f aca="false">IF($C26="","",SUMIFS(Статистика!$T$7:$T$1006,Статистика!$B$7:$B$1006,"&gt;="&amp;($C26+1),Статистика!$B$7:$B$1006,"&lt;="&amp;($C26+$D$5),Статистика!$C$7:$C$1006,IF($D26="","&lt;&gt;§",$D26),Статистика!$D$7:$D$1006,IF($E26="","&lt;&gt;§",$E26)))</f>
        <v/>
      </c>
      <c r="Y26" s="1"/>
      <c r="Z26" s="1"/>
      <c r="AA26" s="1"/>
      <c r="AB26" s="1"/>
      <c r="AC26" s="1"/>
      <c r="AD26" s="1"/>
    </row>
    <row r="27" customFormat="false" ht="30" hidden="false" customHeight="true" outlineLevel="0" collapsed="false">
      <c r="A27" s="1"/>
      <c r="B27" s="49" t="str">
        <f aca="false">IF($C27="","",ROW()-8)</f>
        <v/>
      </c>
      <c r="C27" s="35"/>
      <c r="D27" s="8"/>
      <c r="E27" s="26"/>
      <c r="F27" s="26"/>
      <c r="G27" s="50"/>
      <c r="H27" s="50"/>
      <c r="I27" s="30" t="str">
        <f aca="false">IF($C27="","",IFERROR(S27/T27,"—"))</f>
        <v/>
      </c>
      <c r="J27" s="30" t="str">
        <f aca="false">IF($C27="","",IFERROR(V27/W27,"—"))</f>
        <v/>
      </c>
      <c r="K27" s="41" t="str">
        <f aca="false">IF($C27="","",IFERROR(J27/I27-1,""))</f>
        <v/>
      </c>
      <c r="L27" s="41" t="str">
        <f aca="false">IF($C27="","",IFERROR((U27-S27)/S27,"—"))</f>
        <v/>
      </c>
      <c r="M27" s="41" t="str">
        <f aca="false">IF($C27="","",IFERROR((X27-V27)/V27,"—"))</f>
        <v/>
      </c>
      <c r="N27" s="39" t="str">
        <f aca="false">IF($C27="","",T27/$D$5)</f>
        <v/>
      </c>
      <c r="O27" s="39" t="str">
        <f aca="false">IF($C27="","",W27/$D$5)</f>
        <v/>
      </c>
      <c r="P27" s="51" t="str">
        <f aca="false">IF($C27="","",IF(MAX(Статистика!$B$7:$B$1006)&lt;$C27+$D$5,"Чекаємо даних",IF(S27=0,"Новий (без бази)",IF(OR(T27=0,W27=0),"Мало даних",IF(K27&lt;=-$F$5,"Покращило",IF(K27&gt;=$F$5,"Погіршило","Без змін"))))))</f>
        <v/>
      </c>
      <c r="Q27" s="50"/>
      <c r="R27" s="1"/>
      <c r="S27" s="52" t="str">
        <f aca="false">IF($C27="","",SUMIFS(Статистика!$E$7:$E$1006,Статистика!$B$7:$B$1006,"&gt;="&amp;($C27-$D$5),Статистика!$B$7:$B$1006,"&lt;="&amp;($C27-1),Статистика!$C$7:$C$1006,IF($D27="","&lt;&gt;§",$D27),Статистика!$D$7:$D$1006,IF($E27="","&lt;&gt;§",$E27)))</f>
        <v/>
      </c>
      <c r="T27" s="52" t="str">
        <f aca="false">IF($C27="","",SUMIFS(Статистика!$H$7:$H$1006,Статистика!$B$7:$B$1006,"&gt;="&amp;($C27-$D$5),Статистика!$B$7:$B$1006,"&lt;="&amp;($C27-1),Статистика!$C$7:$C$1006,IF($D27="","&lt;&gt;§",$D27),Статистика!$D$7:$D$1006,IF($E27="","&lt;&gt;§",$E27)))</f>
        <v/>
      </c>
      <c r="U27" s="52" t="str">
        <f aca="false">IF($C27="","",SUMIFS(Статистика!$T$7:$T$1006,Статистика!$B$7:$B$1006,"&gt;="&amp;($C27-$D$5),Статистика!$B$7:$B$1006,"&lt;="&amp;($C27-1),Статистика!$C$7:$C$1006,IF($D27="","&lt;&gt;§",$D27),Статистика!$D$7:$D$1006,IF($E27="","&lt;&gt;§",$E27)))</f>
        <v/>
      </c>
      <c r="V27" s="52" t="str">
        <f aca="false">IF($C27="","",SUMIFS(Статистика!$E$7:$E$1006,Статистика!$B$7:$B$1006,"&gt;="&amp;($C27+1),Статистика!$B$7:$B$1006,"&lt;="&amp;($C27+$D$5),Статистика!$C$7:$C$1006,IF($D27="","&lt;&gt;§",$D27),Статистика!$D$7:$D$1006,IF($E27="","&lt;&gt;§",$E27)))</f>
        <v/>
      </c>
      <c r="W27" s="52" t="str">
        <f aca="false">IF($C27="","",SUMIFS(Статистика!$H$7:$H$1006,Статистика!$B$7:$B$1006,"&gt;="&amp;($C27+1),Статистика!$B$7:$B$1006,"&lt;="&amp;($C27+$D$5),Статистика!$C$7:$C$1006,IF($D27="","&lt;&gt;§",$D27),Статистика!$D$7:$D$1006,IF($E27="","&lt;&gt;§",$E27)))</f>
        <v/>
      </c>
      <c r="X27" s="52" t="str">
        <f aca="false">IF($C27="","",SUMIFS(Статистика!$T$7:$T$1006,Статистика!$B$7:$B$1006,"&gt;="&amp;($C27+1),Статистика!$B$7:$B$1006,"&lt;="&amp;($C27+$D$5),Статистика!$C$7:$C$1006,IF($D27="","&lt;&gt;§",$D27),Статистика!$D$7:$D$1006,IF($E27="","&lt;&gt;§",$E27)))</f>
        <v/>
      </c>
      <c r="Y27" s="1"/>
      <c r="Z27" s="1"/>
      <c r="AA27" s="1"/>
      <c r="AB27" s="1"/>
      <c r="AC27" s="1"/>
      <c r="AD27" s="1"/>
    </row>
    <row r="28" customFormat="false" ht="30" hidden="false" customHeight="true" outlineLevel="0" collapsed="false">
      <c r="A28" s="1"/>
      <c r="B28" s="49" t="str">
        <f aca="false">IF($C28="","",ROW()-8)</f>
        <v/>
      </c>
      <c r="C28" s="35"/>
      <c r="D28" s="8"/>
      <c r="E28" s="26"/>
      <c r="F28" s="26"/>
      <c r="G28" s="50"/>
      <c r="H28" s="50"/>
      <c r="I28" s="30" t="str">
        <f aca="false">IF($C28="","",IFERROR(S28/T28,"—"))</f>
        <v/>
      </c>
      <c r="J28" s="30" t="str">
        <f aca="false">IF($C28="","",IFERROR(V28/W28,"—"))</f>
        <v/>
      </c>
      <c r="K28" s="41" t="str">
        <f aca="false">IF($C28="","",IFERROR(J28/I28-1,""))</f>
        <v/>
      </c>
      <c r="L28" s="41" t="str">
        <f aca="false">IF($C28="","",IFERROR((U28-S28)/S28,"—"))</f>
        <v/>
      </c>
      <c r="M28" s="41" t="str">
        <f aca="false">IF($C28="","",IFERROR((X28-V28)/V28,"—"))</f>
        <v/>
      </c>
      <c r="N28" s="39" t="str">
        <f aca="false">IF($C28="","",T28/$D$5)</f>
        <v/>
      </c>
      <c r="O28" s="39" t="str">
        <f aca="false">IF($C28="","",W28/$D$5)</f>
        <v/>
      </c>
      <c r="P28" s="51" t="str">
        <f aca="false">IF($C28="","",IF(MAX(Статистика!$B$7:$B$1006)&lt;$C28+$D$5,"Чекаємо даних",IF(S28=0,"Новий (без бази)",IF(OR(T28=0,W28=0),"Мало даних",IF(K28&lt;=-$F$5,"Покращило",IF(K28&gt;=$F$5,"Погіршило","Без змін"))))))</f>
        <v/>
      </c>
      <c r="Q28" s="50"/>
      <c r="R28" s="1"/>
      <c r="S28" s="52" t="str">
        <f aca="false">IF($C28="","",SUMIFS(Статистика!$E$7:$E$1006,Статистика!$B$7:$B$1006,"&gt;="&amp;($C28-$D$5),Статистика!$B$7:$B$1006,"&lt;="&amp;($C28-1),Статистика!$C$7:$C$1006,IF($D28="","&lt;&gt;§",$D28),Статистика!$D$7:$D$1006,IF($E28="","&lt;&gt;§",$E28)))</f>
        <v/>
      </c>
      <c r="T28" s="52" t="str">
        <f aca="false">IF($C28="","",SUMIFS(Статистика!$H$7:$H$1006,Статистика!$B$7:$B$1006,"&gt;="&amp;($C28-$D$5),Статистика!$B$7:$B$1006,"&lt;="&amp;($C28-1),Статистика!$C$7:$C$1006,IF($D28="","&lt;&gt;§",$D28),Статистика!$D$7:$D$1006,IF($E28="","&lt;&gt;§",$E28)))</f>
        <v/>
      </c>
      <c r="U28" s="52" t="str">
        <f aca="false">IF($C28="","",SUMIFS(Статистика!$T$7:$T$1006,Статистика!$B$7:$B$1006,"&gt;="&amp;($C28-$D$5),Статистика!$B$7:$B$1006,"&lt;="&amp;($C28-1),Статистика!$C$7:$C$1006,IF($D28="","&lt;&gt;§",$D28),Статистика!$D$7:$D$1006,IF($E28="","&lt;&gt;§",$E28)))</f>
        <v/>
      </c>
      <c r="V28" s="52" t="str">
        <f aca="false">IF($C28="","",SUMIFS(Статистика!$E$7:$E$1006,Статистика!$B$7:$B$1006,"&gt;="&amp;($C28+1),Статистика!$B$7:$B$1006,"&lt;="&amp;($C28+$D$5),Статистика!$C$7:$C$1006,IF($D28="","&lt;&gt;§",$D28),Статистика!$D$7:$D$1006,IF($E28="","&lt;&gt;§",$E28)))</f>
        <v/>
      </c>
      <c r="W28" s="52" t="str">
        <f aca="false">IF($C28="","",SUMIFS(Статистика!$H$7:$H$1006,Статистика!$B$7:$B$1006,"&gt;="&amp;($C28+1),Статистика!$B$7:$B$1006,"&lt;="&amp;($C28+$D$5),Статистика!$C$7:$C$1006,IF($D28="","&lt;&gt;§",$D28),Статистика!$D$7:$D$1006,IF($E28="","&lt;&gt;§",$E28)))</f>
        <v/>
      </c>
      <c r="X28" s="52" t="str">
        <f aca="false">IF($C28="","",SUMIFS(Статистика!$T$7:$T$1006,Статистика!$B$7:$B$1006,"&gt;="&amp;($C28+1),Статистика!$B$7:$B$1006,"&lt;="&amp;($C28+$D$5),Статистика!$C$7:$C$1006,IF($D28="","&lt;&gt;§",$D28),Статистика!$D$7:$D$1006,IF($E28="","&lt;&gt;§",$E28)))</f>
        <v/>
      </c>
      <c r="Y28" s="1"/>
      <c r="Z28" s="1"/>
      <c r="AA28" s="1"/>
      <c r="AB28" s="1"/>
      <c r="AC28" s="1"/>
      <c r="AD28" s="1"/>
    </row>
    <row r="29" customFormat="false" ht="30" hidden="false" customHeight="true" outlineLevel="0" collapsed="false">
      <c r="A29" s="1"/>
      <c r="B29" s="49" t="str">
        <f aca="false">IF($C29="","",ROW()-8)</f>
        <v/>
      </c>
      <c r="C29" s="35"/>
      <c r="D29" s="8"/>
      <c r="E29" s="26"/>
      <c r="F29" s="26"/>
      <c r="G29" s="50"/>
      <c r="H29" s="50"/>
      <c r="I29" s="30" t="str">
        <f aca="false">IF($C29="","",IFERROR(S29/T29,"—"))</f>
        <v/>
      </c>
      <c r="J29" s="30" t="str">
        <f aca="false">IF($C29="","",IFERROR(V29/W29,"—"))</f>
        <v/>
      </c>
      <c r="K29" s="41" t="str">
        <f aca="false">IF($C29="","",IFERROR(J29/I29-1,""))</f>
        <v/>
      </c>
      <c r="L29" s="41" t="str">
        <f aca="false">IF($C29="","",IFERROR((U29-S29)/S29,"—"))</f>
        <v/>
      </c>
      <c r="M29" s="41" t="str">
        <f aca="false">IF($C29="","",IFERROR((X29-V29)/V29,"—"))</f>
        <v/>
      </c>
      <c r="N29" s="39" t="str">
        <f aca="false">IF($C29="","",T29/$D$5)</f>
        <v/>
      </c>
      <c r="O29" s="39" t="str">
        <f aca="false">IF($C29="","",W29/$D$5)</f>
        <v/>
      </c>
      <c r="P29" s="51" t="str">
        <f aca="false">IF($C29="","",IF(MAX(Статистика!$B$7:$B$1006)&lt;$C29+$D$5,"Чекаємо даних",IF(S29=0,"Новий (без бази)",IF(OR(T29=0,W29=0),"Мало даних",IF(K29&lt;=-$F$5,"Покращило",IF(K29&gt;=$F$5,"Погіршило","Без змін"))))))</f>
        <v/>
      </c>
      <c r="Q29" s="50"/>
      <c r="R29" s="1"/>
      <c r="S29" s="52" t="str">
        <f aca="false">IF($C29="","",SUMIFS(Статистика!$E$7:$E$1006,Статистика!$B$7:$B$1006,"&gt;="&amp;($C29-$D$5),Статистика!$B$7:$B$1006,"&lt;="&amp;($C29-1),Статистика!$C$7:$C$1006,IF($D29="","&lt;&gt;§",$D29),Статистика!$D$7:$D$1006,IF($E29="","&lt;&gt;§",$E29)))</f>
        <v/>
      </c>
      <c r="T29" s="52" t="str">
        <f aca="false">IF($C29="","",SUMIFS(Статистика!$H$7:$H$1006,Статистика!$B$7:$B$1006,"&gt;="&amp;($C29-$D$5),Статистика!$B$7:$B$1006,"&lt;="&amp;($C29-1),Статистика!$C$7:$C$1006,IF($D29="","&lt;&gt;§",$D29),Статистика!$D$7:$D$1006,IF($E29="","&lt;&gt;§",$E29)))</f>
        <v/>
      </c>
      <c r="U29" s="52" t="str">
        <f aca="false">IF($C29="","",SUMIFS(Статистика!$T$7:$T$1006,Статистика!$B$7:$B$1006,"&gt;="&amp;($C29-$D$5),Статистика!$B$7:$B$1006,"&lt;="&amp;($C29-1),Статистика!$C$7:$C$1006,IF($D29="","&lt;&gt;§",$D29),Статистика!$D$7:$D$1006,IF($E29="","&lt;&gt;§",$E29)))</f>
        <v/>
      </c>
      <c r="V29" s="52" t="str">
        <f aca="false">IF($C29="","",SUMIFS(Статистика!$E$7:$E$1006,Статистика!$B$7:$B$1006,"&gt;="&amp;($C29+1),Статистика!$B$7:$B$1006,"&lt;="&amp;($C29+$D$5),Статистика!$C$7:$C$1006,IF($D29="","&lt;&gt;§",$D29),Статистика!$D$7:$D$1006,IF($E29="","&lt;&gt;§",$E29)))</f>
        <v/>
      </c>
      <c r="W29" s="52" t="str">
        <f aca="false">IF($C29="","",SUMIFS(Статистика!$H$7:$H$1006,Статистика!$B$7:$B$1006,"&gt;="&amp;($C29+1),Статистика!$B$7:$B$1006,"&lt;="&amp;($C29+$D$5),Статистика!$C$7:$C$1006,IF($D29="","&lt;&gt;§",$D29),Статистика!$D$7:$D$1006,IF($E29="","&lt;&gt;§",$E29)))</f>
        <v/>
      </c>
      <c r="X29" s="52" t="str">
        <f aca="false">IF($C29="","",SUMIFS(Статистика!$T$7:$T$1006,Статистика!$B$7:$B$1006,"&gt;="&amp;($C29+1),Статистика!$B$7:$B$1006,"&lt;="&amp;($C29+$D$5),Статистика!$C$7:$C$1006,IF($D29="","&lt;&gt;§",$D29),Статистика!$D$7:$D$1006,IF($E29="","&lt;&gt;§",$E29)))</f>
        <v/>
      </c>
      <c r="Y29" s="1"/>
      <c r="Z29" s="1"/>
      <c r="AA29" s="1"/>
      <c r="AB29" s="1"/>
      <c r="AC29" s="1"/>
      <c r="AD29" s="1"/>
    </row>
    <row r="30" customFormat="false" ht="30" hidden="false" customHeight="true" outlineLevel="0" collapsed="false">
      <c r="A30" s="1"/>
      <c r="B30" s="49" t="str">
        <f aca="false">IF($C30="","",ROW()-8)</f>
        <v/>
      </c>
      <c r="C30" s="35"/>
      <c r="D30" s="8"/>
      <c r="E30" s="26"/>
      <c r="F30" s="26"/>
      <c r="G30" s="50"/>
      <c r="H30" s="50"/>
      <c r="I30" s="30" t="str">
        <f aca="false">IF($C30="","",IFERROR(S30/T30,"—"))</f>
        <v/>
      </c>
      <c r="J30" s="30" t="str">
        <f aca="false">IF($C30="","",IFERROR(V30/W30,"—"))</f>
        <v/>
      </c>
      <c r="K30" s="41" t="str">
        <f aca="false">IF($C30="","",IFERROR(J30/I30-1,""))</f>
        <v/>
      </c>
      <c r="L30" s="41" t="str">
        <f aca="false">IF($C30="","",IFERROR((U30-S30)/S30,"—"))</f>
        <v/>
      </c>
      <c r="M30" s="41" t="str">
        <f aca="false">IF($C30="","",IFERROR((X30-V30)/V30,"—"))</f>
        <v/>
      </c>
      <c r="N30" s="39" t="str">
        <f aca="false">IF($C30="","",T30/$D$5)</f>
        <v/>
      </c>
      <c r="O30" s="39" t="str">
        <f aca="false">IF($C30="","",W30/$D$5)</f>
        <v/>
      </c>
      <c r="P30" s="51" t="str">
        <f aca="false">IF($C30="","",IF(MAX(Статистика!$B$7:$B$1006)&lt;$C30+$D$5,"Чекаємо даних",IF(S30=0,"Новий (без бази)",IF(OR(T30=0,W30=0),"Мало даних",IF(K30&lt;=-$F$5,"Покращило",IF(K30&gt;=$F$5,"Погіршило","Без змін"))))))</f>
        <v/>
      </c>
      <c r="Q30" s="50"/>
      <c r="R30" s="1"/>
      <c r="S30" s="52" t="str">
        <f aca="false">IF($C30="","",SUMIFS(Статистика!$E$7:$E$1006,Статистика!$B$7:$B$1006,"&gt;="&amp;($C30-$D$5),Статистика!$B$7:$B$1006,"&lt;="&amp;($C30-1),Статистика!$C$7:$C$1006,IF($D30="","&lt;&gt;§",$D30),Статистика!$D$7:$D$1006,IF($E30="","&lt;&gt;§",$E30)))</f>
        <v/>
      </c>
      <c r="T30" s="52" t="str">
        <f aca="false">IF($C30="","",SUMIFS(Статистика!$H$7:$H$1006,Статистика!$B$7:$B$1006,"&gt;="&amp;($C30-$D$5),Статистика!$B$7:$B$1006,"&lt;="&amp;($C30-1),Статистика!$C$7:$C$1006,IF($D30="","&lt;&gt;§",$D30),Статистика!$D$7:$D$1006,IF($E30="","&lt;&gt;§",$E30)))</f>
        <v/>
      </c>
      <c r="U30" s="52" t="str">
        <f aca="false">IF($C30="","",SUMIFS(Статистика!$T$7:$T$1006,Статистика!$B$7:$B$1006,"&gt;="&amp;($C30-$D$5),Статистика!$B$7:$B$1006,"&lt;="&amp;($C30-1),Статистика!$C$7:$C$1006,IF($D30="","&lt;&gt;§",$D30),Статистика!$D$7:$D$1006,IF($E30="","&lt;&gt;§",$E30)))</f>
        <v/>
      </c>
      <c r="V30" s="52" t="str">
        <f aca="false">IF($C30="","",SUMIFS(Статистика!$E$7:$E$1006,Статистика!$B$7:$B$1006,"&gt;="&amp;($C30+1),Статистика!$B$7:$B$1006,"&lt;="&amp;($C30+$D$5),Статистика!$C$7:$C$1006,IF($D30="","&lt;&gt;§",$D30),Статистика!$D$7:$D$1006,IF($E30="","&lt;&gt;§",$E30)))</f>
        <v/>
      </c>
      <c r="W30" s="52" t="str">
        <f aca="false">IF($C30="","",SUMIFS(Статистика!$H$7:$H$1006,Статистика!$B$7:$B$1006,"&gt;="&amp;($C30+1),Статистика!$B$7:$B$1006,"&lt;="&amp;($C30+$D$5),Статистика!$C$7:$C$1006,IF($D30="","&lt;&gt;§",$D30),Статистика!$D$7:$D$1006,IF($E30="","&lt;&gt;§",$E30)))</f>
        <v/>
      </c>
      <c r="X30" s="52" t="str">
        <f aca="false">IF($C30="","",SUMIFS(Статистика!$T$7:$T$1006,Статистика!$B$7:$B$1006,"&gt;="&amp;($C30+1),Статистика!$B$7:$B$1006,"&lt;="&amp;($C30+$D$5),Статистика!$C$7:$C$1006,IF($D30="","&lt;&gt;§",$D30),Статистика!$D$7:$D$1006,IF($E30="","&lt;&gt;§",$E30)))</f>
        <v/>
      </c>
      <c r="Y30" s="1"/>
      <c r="Z30" s="1"/>
      <c r="AA30" s="1"/>
      <c r="AB30" s="1"/>
      <c r="AC30" s="1"/>
      <c r="AD30" s="1"/>
    </row>
    <row r="31" customFormat="false" ht="30" hidden="false" customHeight="true" outlineLevel="0" collapsed="false">
      <c r="A31" s="1"/>
      <c r="B31" s="49" t="str">
        <f aca="false">IF($C31="","",ROW()-8)</f>
        <v/>
      </c>
      <c r="C31" s="35"/>
      <c r="D31" s="8"/>
      <c r="E31" s="26"/>
      <c r="F31" s="26"/>
      <c r="G31" s="50"/>
      <c r="H31" s="50"/>
      <c r="I31" s="30" t="str">
        <f aca="false">IF($C31="","",IFERROR(S31/T31,"—"))</f>
        <v/>
      </c>
      <c r="J31" s="30" t="str">
        <f aca="false">IF($C31="","",IFERROR(V31/W31,"—"))</f>
        <v/>
      </c>
      <c r="K31" s="41" t="str">
        <f aca="false">IF($C31="","",IFERROR(J31/I31-1,""))</f>
        <v/>
      </c>
      <c r="L31" s="41" t="str">
        <f aca="false">IF($C31="","",IFERROR((U31-S31)/S31,"—"))</f>
        <v/>
      </c>
      <c r="M31" s="41" t="str">
        <f aca="false">IF($C31="","",IFERROR((X31-V31)/V31,"—"))</f>
        <v/>
      </c>
      <c r="N31" s="39" t="str">
        <f aca="false">IF($C31="","",T31/$D$5)</f>
        <v/>
      </c>
      <c r="O31" s="39" t="str">
        <f aca="false">IF($C31="","",W31/$D$5)</f>
        <v/>
      </c>
      <c r="P31" s="51" t="str">
        <f aca="false">IF($C31="","",IF(MAX(Статистика!$B$7:$B$1006)&lt;$C31+$D$5,"Чекаємо даних",IF(S31=0,"Новий (без бази)",IF(OR(T31=0,W31=0),"Мало даних",IF(K31&lt;=-$F$5,"Покращило",IF(K31&gt;=$F$5,"Погіршило","Без змін"))))))</f>
        <v/>
      </c>
      <c r="Q31" s="50"/>
      <c r="R31" s="1"/>
      <c r="S31" s="52" t="str">
        <f aca="false">IF($C31="","",SUMIFS(Статистика!$E$7:$E$1006,Статистика!$B$7:$B$1006,"&gt;="&amp;($C31-$D$5),Статистика!$B$7:$B$1006,"&lt;="&amp;($C31-1),Статистика!$C$7:$C$1006,IF($D31="","&lt;&gt;§",$D31),Статистика!$D$7:$D$1006,IF($E31="","&lt;&gt;§",$E31)))</f>
        <v/>
      </c>
      <c r="T31" s="52" t="str">
        <f aca="false">IF($C31="","",SUMIFS(Статистика!$H$7:$H$1006,Статистика!$B$7:$B$1006,"&gt;="&amp;($C31-$D$5),Статистика!$B$7:$B$1006,"&lt;="&amp;($C31-1),Статистика!$C$7:$C$1006,IF($D31="","&lt;&gt;§",$D31),Статистика!$D$7:$D$1006,IF($E31="","&lt;&gt;§",$E31)))</f>
        <v/>
      </c>
      <c r="U31" s="52" t="str">
        <f aca="false">IF($C31="","",SUMIFS(Статистика!$T$7:$T$1006,Статистика!$B$7:$B$1006,"&gt;="&amp;($C31-$D$5),Статистика!$B$7:$B$1006,"&lt;="&amp;($C31-1),Статистика!$C$7:$C$1006,IF($D31="","&lt;&gt;§",$D31),Статистика!$D$7:$D$1006,IF($E31="","&lt;&gt;§",$E31)))</f>
        <v/>
      </c>
      <c r="V31" s="52" t="str">
        <f aca="false">IF($C31="","",SUMIFS(Статистика!$E$7:$E$1006,Статистика!$B$7:$B$1006,"&gt;="&amp;($C31+1),Статистика!$B$7:$B$1006,"&lt;="&amp;($C31+$D$5),Статистика!$C$7:$C$1006,IF($D31="","&lt;&gt;§",$D31),Статистика!$D$7:$D$1006,IF($E31="","&lt;&gt;§",$E31)))</f>
        <v/>
      </c>
      <c r="W31" s="52" t="str">
        <f aca="false">IF($C31="","",SUMIFS(Статистика!$H$7:$H$1006,Статистика!$B$7:$B$1006,"&gt;="&amp;($C31+1),Статистика!$B$7:$B$1006,"&lt;="&amp;($C31+$D$5),Статистика!$C$7:$C$1006,IF($D31="","&lt;&gt;§",$D31),Статистика!$D$7:$D$1006,IF($E31="","&lt;&gt;§",$E31)))</f>
        <v/>
      </c>
      <c r="X31" s="52" t="str">
        <f aca="false">IF($C31="","",SUMIFS(Статистика!$T$7:$T$1006,Статистика!$B$7:$B$1006,"&gt;="&amp;($C31+1),Статистика!$B$7:$B$1006,"&lt;="&amp;($C31+$D$5),Статистика!$C$7:$C$1006,IF($D31="","&lt;&gt;§",$D31),Статистика!$D$7:$D$1006,IF($E31="","&lt;&gt;§",$E31)))</f>
        <v/>
      </c>
      <c r="Y31" s="1"/>
      <c r="Z31" s="1"/>
      <c r="AA31" s="1"/>
      <c r="AB31" s="1"/>
      <c r="AC31" s="1"/>
      <c r="AD31" s="1"/>
    </row>
    <row r="32" customFormat="false" ht="30" hidden="false" customHeight="true" outlineLevel="0" collapsed="false">
      <c r="A32" s="1"/>
      <c r="B32" s="49" t="str">
        <f aca="false">IF($C32="","",ROW()-8)</f>
        <v/>
      </c>
      <c r="C32" s="35"/>
      <c r="D32" s="8"/>
      <c r="E32" s="26"/>
      <c r="F32" s="26"/>
      <c r="G32" s="50"/>
      <c r="H32" s="50"/>
      <c r="I32" s="30" t="str">
        <f aca="false">IF($C32="","",IFERROR(S32/T32,"—"))</f>
        <v/>
      </c>
      <c r="J32" s="30" t="str">
        <f aca="false">IF($C32="","",IFERROR(V32/W32,"—"))</f>
        <v/>
      </c>
      <c r="K32" s="41" t="str">
        <f aca="false">IF($C32="","",IFERROR(J32/I32-1,""))</f>
        <v/>
      </c>
      <c r="L32" s="41" t="str">
        <f aca="false">IF($C32="","",IFERROR((U32-S32)/S32,"—"))</f>
        <v/>
      </c>
      <c r="M32" s="41" t="str">
        <f aca="false">IF($C32="","",IFERROR((X32-V32)/V32,"—"))</f>
        <v/>
      </c>
      <c r="N32" s="39" t="str">
        <f aca="false">IF($C32="","",T32/$D$5)</f>
        <v/>
      </c>
      <c r="O32" s="39" t="str">
        <f aca="false">IF($C32="","",W32/$D$5)</f>
        <v/>
      </c>
      <c r="P32" s="51" t="str">
        <f aca="false">IF($C32="","",IF(MAX(Статистика!$B$7:$B$1006)&lt;$C32+$D$5,"Чекаємо даних",IF(S32=0,"Новий (без бази)",IF(OR(T32=0,W32=0),"Мало даних",IF(K32&lt;=-$F$5,"Покращило",IF(K32&gt;=$F$5,"Погіршило","Без змін"))))))</f>
        <v/>
      </c>
      <c r="Q32" s="50"/>
      <c r="R32" s="1"/>
      <c r="S32" s="52" t="str">
        <f aca="false">IF($C32="","",SUMIFS(Статистика!$E$7:$E$1006,Статистика!$B$7:$B$1006,"&gt;="&amp;($C32-$D$5),Статистика!$B$7:$B$1006,"&lt;="&amp;($C32-1),Статистика!$C$7:$C$1006,IF($D32="","&lt;&gt;§",$D32),Статистика!$D$7:$D$1006,IF($E32="","&lt;&gt;§",$E32)))</f>
        <v/>
      </c>
      <c r="T32" s="52" t="str">
        <f aca="false">IF($C32="","",SUMIFS(Статистика!$H$7:$H$1006,Статистика!$B$7:$B$1006,"&gt;="&amp;($C32-$D$5),Статистика!$B$7:$B$1006,"&lt;="&amp;($C32-1),Статистика!$C$7:$C$1006,IF($D32="","&lt;&gt;§",$D32),Статистика!$D$7:$D$1006,IF($E32="","&lt;&gt;§",$E32)))</f>
        <v/>
      </c>
      <c r="U32" s="52" t="str">
        <f aca="false">IF($C32="","",SUMIFS(Статистика!$T$7:$T$1006,Статистика!$B$7:$B$1006,"&gt;="&amp;($C32-$D$5),Статистика!$B$7:$B$1006,"&lt;="&amp;($C32-1),Статистика!$C$7:$C$1006,IF($D32="","&lt;&gt;§",$D32),Статистика!$D$7:$D$1006,IF($E32="","&lt;&gt;§",$E32)))</f>
        <v/>
      </c>
      <c r="V32" s="52" t="str">
        <f aca="false">IF($C32="","",SUMIFS(Статистика!$E$7:$E$1006,Статистика!$B$7:$B$1006,"&gt;="&amp;($C32+1),Статистика!$B$7:$B$1006,"&lt;="&amp;($C32+$D$5),Статистика!$C$7:$C$1006,IF($D32="","&lt;&gt;§",$D32),Статистика!$D$7:$D$1006,IF($E32="","&lt;&gt;§",$E32)))</f>
        <v/>
      </c>
      <c r="W32" s="52" t="str">
        <f aca="false">IF($C32="","",SUMIFS(Статистика!$H$7:$H$1006,Статистика!$B$7:$B$1006,"&gt;="&amp;($C32+1),Статистика!$B$7:$B$1006,"&lt;="&amp;($C32+$D$5),Статистика!$C$7:$C$1006,IF($D32="","&lt;&gt;§",$D32),Статистика!$D$7:$D$1006,IF($E32="","&lt;&gt;§",$E32)))</f>
        <v/>
      </c>
      <c r="X32" s="52" t="str">
        <f aca="false">IF($C32="","",SUMIFS(Статистика!$T$7:$T$1006,Статистика!$B$7:$B$1006,"&gt;="&amp;($C32+1),Статистика!$B$7:$B$1006,"&lt;="&amp;($C32+$D$5),Статистика!$C$7:$C$1006,IF($D32="","&lt;&gt;§",$D32),Статистика!$D$7:$D$1006,IF($E32="","&lt;&gt;§",$E32)))</f>
        <v/>
      </c>
      <c r="Y32" s="1"/>
      <c r="Z32" s="1"/>
      <c r="AA32" s="1"/>
      <c r="AB32" s="1"/>
      <c r="AC32" s="1"/>
      <c r="AD32" s="1"/>
    </row>
    <row r="33" customFormat="false" ht="30" hidden="false" customHeight="true" outlineLevel="0" collapsed="false">
      <c r="A33" s="1"/>
      <c r="B33" s="49" t="str">
        <f aca="false">IF($C33="","",ROW()-8)</f>
        <v/>
      </c>
      <c r="C33" s="35"/>
      <c r="D33" s="8"/>
      <c r="E33" s="26"/>
      <c r="F33" s="26"/>
      <c r="G33" s="50"/>
      <c r="H33" s="50"/>
      <c r="I33" s="30" t="str">
        <f aca="false">IF($C33="","",IFERROR(S33/T33,"—"))</f>
        <v/>
      </c>
      <c r="J33" s="30" t="str">
        <f aca="false">IF($C33="","",IFERROR(V33/W33,"—"))</f>
        <v/>
      </c>
      <c r="K33" s="41" t="str">
        <f aca="false">IF($C33="","",IFERROR(J33/I33-1,""))</f>
        <v/>
      </c>
      <c r="L33" s="41" t="str">
        <f aca="false">IF($C33="","",IFERROR((U33-S33)/S33,"—"))</f>
        <v/>
      </c>
      <c r="M33" s="41" t="str">
        <f aca="false">IF($C33="","",IFERROR((X33-V33)/V33,"—"))</f>
        <v/>
      </c>
      <c r="N33" s="39" t="str">
        <f aca="false">IF($C33="","",T33/$D$5)</f>
        <v/>
      </c>
      <c r="O33" s="39" t="str">
        <f aca="false">IF($C33="","",W33/$D$5)</f>
        <v/>
      </c>
      <c r="P33" s="51" t="str">
        <f aca="false">IF($C33="","",IF(MAX(Статистика!$B$7:$B$1006)&lt;$C33+$D$5,"Чекаємо даних",IF(S33=0,"Новий (без бази)",IF(OR(T33=0,W33=0),"Мало даних",IF(K33&lt;=-$F$5,"Покращило",IF(K33&gt;=$F$5,"Погіршило","Без змін"))))))</f>
        <v/>
      </c>
      <c r="Q33" s="50"/>
      <c r="R33" s="1"/>
      <c r="S33" s="52" t="str">
        <f aca="false">IF($C33="","",SUMIFS(Статистика!$E$7:$E$1006,Статистика!$B$7:$B$1006,"&gt;="&amp;($C33-$D$5),Статистика!$B$7:$B$1006,"&lt;="&amp;($C33-1),Статистика!$C$7:$C$1006,IF($D33="","&lt;&gt;§",$D33),Статистика!$D$7:$D$1006,IF($E33="","&lt;&gt;§",$E33)))</f>
        <v/>
      </c>
      <c r="T33" s="52" t="str">
        <f aca="false">IF($C33="","",SUMIFS(Статистика!$H$7:$H$1006,Статистика!$B$7:$B$1006,"&gt;="&amp;($C33-$D$5),Статистика!$B$7:$B$1006,"&lt;="&amp;($C33-1),Статистика!$C$7:$C$1006,IF($D33="","&lt;&gt;§",$D33),Статистика!$D$7:$D$1006,IF($E33="","&lt;&gt;§",$E33)))</f>
        <v/>
      </c>
      <c r="U33" s="52" t="str">
        <f aca="false">IF($C33="","",SUMIFS(Статистика!$T$7:$T$1006,Статистика!$B$7:$B$1006,"&gt;="&amp;($C33-$D$5),Статистика!$B$7:$B$1006,"&lt;="&amp;($C33-1),Статистика!$C$7:$C$1006,IF($D33="","&lt;&gt;§",$D33),Статистика!$D$7:$D$1006,IF($E33="","&lt;&gt;§",$E33)))</f>
        <v/>
      </c>
      <c r="V33" s="52" t="str">
        <f aca="false">IF($C33="","",SUMIFS(Статистика!$E$7:$E$1006,Статистика!$B$7:$B$1006,"&gt;="&amp;($C33+1),Статистика!$B$7:$B$1006,"&lt;="&amp;($C33+$D$5),Статистика!$C$7:$C$1006,IF($D33="","&lt;&gt;§",$D33),Статистика!$D$7:$D$1006,IF($E33="","&lt;&gt;§",$E33)))</f>
        <v/>
      </c>
      <c r="W33" s="52" t="str">
        <f aca="false">IF($C33="","",SUMIFS(Статистика!$H$7:$H$1006,Статистика!$B$7:$B$1006,"&gt;="&amp;($C33+1),Статистика!$B$7:$B$1006,"&lt;="&amp;($C33+$D$5),Статистика!$C$7:$C$1006,IF($D33="","&lt;&gt;§",$D33),Статистика!$D$7:$D$1006,IF($E33="","&lt;&gt;§",$E33)))</f>
        <v/>
      </c>
      <c r="X33" s="52" t="str">
        <f aca="false">IF($C33="","",SUMIFS(Статистика!$T$7:$T$1006,Статистика!$B$7:$B$1006,"&gt;="&amp;($C33+1),Статистика!$B$7:$B$1006,"&lt;="&amp;($C33+$D$5),Статистика!$C$7:$C$1006,IF($D33="","&lt;&gt;§",$D33),Статистика!$D$7:$D$1006,IF($E33="","&lt;&gt;§",$E33)))</f>
        <v/>
      </c>
      <c r="Y33" s="1"/>
      <c r="Z33" s="1"/>
      <c r="AA33" s="1"/>
      <c r="AB33" s="1"/>
      <c r="AC33" s="1"/>
      <c r="AD33" s="1"/>
    </row>
    <row r="34" customFormat="false" ht="30" hidden="false" customHeight="true" outlineLevel="0" collapsed="false">
      <c r="A34" s="1"/>
      <c r="B34" s="49" t="str">
        <f aca="false">IF($C34="","",ROW()-8)</f>
        <v/>
      </c>
      <c r="C34" s="35"/>
      <c r="D34" s="8"/>
      <c r="E34" s="26"/>
      <c r="F34" s="26"/>
      <c r="G34" s="50"/>
      <c r="H34" s="50"/>
      <c r="I34" s="30" t="str">
        <f aca="false">IF($C34="","",IFERROR(S34/T34,"—"))</f>
        <v/>
      </c>
      <c r="J34" s="30" t="str">
        <f aca="false">IF($C34="","",IFERROR(V34/W34,"—"))</f>
        <v/>
      </c>
      <c r="K34" s="41" t="str">
        <f aca="false">IF($C34="","",IFERROR(J34/I34-1,""))</f>
        <v/>
      </c>
      <c r="L34" s="41" t="str">
        <f aca="false">IF($C34="","",IFERROR((U34-S34)/S34,"—"))</f>
        <v/>
      </c>
      <c r="M34" s="41" t="str">
        <f aca="false">IF($C34="","",IFERROR((X34-V34)/V34,"—"))</f>
        <v/>
      </c>
      <c r="N34" s="39" t="str">
        <f aca="false">IF($C34="","",T34/$D$5)</f>
        <v/>
      </c>
      <c r="O34" s="39" t="str">
        <f aca="false">IF($C34="","",W34/$D$5)</f>
        <v/>
      </c>
      <c r="P34" s="51" t="str">
        <f aca="false">IF($C34="","",IF(MAX(Статистика!$B$7:$B$1006)&lt;$C34+$D$5,"Чекаємо даних",IF(S34=0,"Новий (без бази)",IF(OR(T34=0,W34=0),"Мало даних",IF(K34&lt;=-$F$5,"Покращило",IF(K34&gt;=$F$5,"Погіршило","Без змін"))))))</f>
        <v/>
      </c>
      <c r="Q34" s="50"/>
      <c r="R34" s="1"/>
      <c r="S34" s="52" t="str">
        <f aca="false">IF($C34="","",SUMIFS(Статистика!$E$7:$E$1006,Статистика!$B$7:$B$1006,"&gt;="&amp;($C34-$D$5),Статистика!$B$7:$B$1006,"&lt;="&amp;($C34-1),Статистика!$C$7:$C$1006,IF($D34="","&lt;&gt;§",$D34),Статистика!$D$7:$D$1006,IF($E34="","&lt;&gt;§",$E34)))</f>
        <v/>
      </c>
      <c r="T34" s="52" t="str">
        <f aca="false">IF($C34="","",SUMIFS(Статистика!$H$7:$H$1006,Статистика!$B$7:$B$1006,"&gt;="&amp;($C34-$D$5),Статистика!$B$7:$B$1006,"&lt;="&amp;($C34-1),Статистика!$C$7:$C$1006,IF($D34="","&lt;&gt;§",$D34),Статистика!$D$7:$D$1006,IF($E34="","&lt;&gt;§",$E34)))</f>
        <v/>
      </c>
      <c r="U34" s="52" t="str">
        <f aca="false">IF($C34="","",SUMIFS(Статистика!$T$7:$T$1006,Статистика!$B$7:$B$1006,"&gt;="&amp;($C34-$D$5),Статистика!$B$7:$B$1006,"&lt;="&amp;($C34-1),Статистика!$C$7:$C$1006,IF($D34="","&lt;&gt;§",$D34),Статистика!$D$7:$D$1006,IF($E34="","&lt;&gt;§",$E34)))</f>
        <v/>
      </c>
      <c r="V34" s="52" t="str">
        <f aca="false">IF($C34="","",SUMIFS(Статистика!$E$7:$E$1006,Статистика!$B$7:$B$1006,"&gt;="&amp;($C34+1),Статистика!$B$7:$B$1006,"&lt;="&amp;($C34+$D$5),Статистика!$C$7:$C$1006,IF($D34="","&lt;&gt;§",$D34),Статистика!$D$7:$D$1006,IF($E34="","&lt;&gt;§",$E34)))</f>
        <v/>
      </c>
      <c r="W34" s="52" t="str">
        <f aca="false">IF($C34="","",SUMIFS(Статистика!$H$7:$H$1006,Статистика!$B$7:$B$1006,"&gt;="&amp;($C34+1),Статистика!$B$7:$B$1006,"&lt;="&amp;($C34+$D$5),Статистика!$C$7:$C$1006,IF($D34="","&lt;&gt;§",$D34),Статистика!$D$7:$D$1006,IF($E34="","&lt;&gt;§",$E34)))</f>
        <v/>
      </c>
      <c r="X34" s="52" t="str">
        <f aca="false">IF($C34="","",SUMIFS(Статистика!$T$7:$T$1006,Статистика!$B$7:$B$1006,"&gt;="&amp;($C34+1),Статистика!$B$7:$B$1006,"&lt;="&amp;($C34+$D$5),Статистика!$C$7:$C$1006,IF($D34="","&lt;&gt;§",$D34),Статистика!$D$7:$D$1006,IF($E34="","&lt;&gt;§",$E34)))</f>
        <v/>
      </c>
      <c r="Y34" s="1"/>
      <c r="Z34" s="1"/>
      <c r="AA34" s="1"/>
      <c r="AB34" s="1"/>
      <c r="AC34" s="1"/>
      <c r="AD34" s="1"/>
    </row>
    <row r="35" customFormat="false" ht="30" hidden="false" customHeight="true" outlineLevel="0" collapsed="false">
      <c r="A35" s="1"/>
      <c r="B35" s="49" t="str">
        <f aca="false">IF($C35="","",ROW()-8)</f>
        <v/>
      </c>
      <c r="C35" s="35"/>
      <c r="D35" s="8"/>
      <c r="E35" s="26"/>
      <c r="F35" s="26"/>
      <c r="G35" s="50"/>
      <c r="H35" s="50"/>
      <c r="I35" s="30" t="str">
        <f aca="false">IF($C35="","",IFERROR(S35/T35,"—"))</f>
        <v/>
      </c>
      <c r="J35" s="30" t="str">
        <f aca="false">IF($C35="","",IFERROR(V35/W35,"—"))</f>
        <v/>
      </c>
      <c r="K35" s="41" t="str">
        <f aca="false">IF($C35="","",IFERROR(J35/I35-1,""))</f>
        <v/>
      </c>
      <c r="L35" s="41" t="str">
        <f aca="false">IF($C35="","",IFERROR((U35-S35)/S35,"—"))</f>
        <v/>
      </c>
      <c r="M35" s="41" t="str">
        <f aca="false">IF($C35="","",IFERROR((X35-V35)/V35,"—"))</f>
        <v/>
      </c>
      <c r="N35" s="39" t="str">
        <f aca="false">IF($C35="","",T35/$D$5)</f>
        <v/>
      </c>
      <c r="O35" s="39" t="str">
        <f aca="false">IF($C35="","",W35/$D$5)</f>
        <v/>
      </c>
      <c r="P35" s="51" t="str">
        <f aca="false">IF($C35="","",IF(MAX(Статистика!$B$7:$B$1006)&lt;$C35+$D$5,"Чекаємо даних",IF(S35=0,"Новий (без бази)",IF(OR(T35=0,W35=0),"Мало даних",IF(K35&lt;=-$F$5,"Покращило",IF(K35&gt;=$F$5,"Погіршило","Без змін"))))))</f>
        <v/>
      </c>
      <c r="Q35" s="50"/>
      <c r="R35" s="1"/>
      <c r="S35" s="52" t="str">
        <f aca="false">IF($C35="","",SUMIFS(Статистика!$E$7:$E$1006,Статистика!$B$7:$B$1006,"&gt;="&amp;($C35-$D$5),Статистика!$B$7:$B$1006,"&lt;="&amp;($C35-1),Статистика!$C$7:$C$1006,IF($D35="","&lt;&gt;§",$D35),Статистика!$D$7:$D$1006,IF($E35="","&lt;&gt;§",$E35)))</f>
        <v/>
      </c>
      <c r="T35" s="52" t="str">
        <f aca="false">IF($C35="","",SUMIFS(Статистика!$H$7:$H$1006,Статистика!$B$7:$B$1006,"&gt;="&amp;($C35-$D$5),Статистика!$B$7:$B$1006,"&lt;="&amp;($C35-1),Статистика!$C$7:$C$1006,IF($D35="","&lt;&gt;§",$D35),Статистика!$D$7:$D$1006,IF($E35="","&lt;&gt;§",$E35)))</f>
        <v/>
      </c>
      <c r="U35" s="52" t="str">
        <f aca="false">IF($C35="","",SUMIFS(Статистика!$T$7:$T$1006,Статистика!$B$7:$B$1006,"&gt;="&amp;($C35-$D$5),Статистика!$B$7:$B$1006,"&lt;="&amp;($C35-1),Статистика!$C$7:$C$1006,IF($D35="","&lt;&gt;§",$D35),Статистика!$D$7:$D$1006,IF($E35="","&lt;&gt;§",$E35)))</f>
        <v/>
      </c>
      <c r="V35" s="52" t="str">
        <f aca="false">IF($C35="","",SUMIFS(Статистика!$E$7:$E$1006,Статистика!$B$7:$B$1006,"&gt;="&amp;($C35+1),Статистика!$B$7:$B$1006,"&lt;="&amp;($C35+$D$5),Статистика!$C$7:$C$1006,IF($D35="","&lt;&gt;§",$D35),Статистика!$D$7:$D$1006,IF($E35="","&lt;&gt;§",$E35)))</f>
        <v/>
      </c>
      <c r="W35" s="52" t="str">
        <f aca="false">IF($C35="","",SUMIFS(Статистика!$H$7:$H$1006,Статистика!$B$7:$B$1006,"&gt;="&amp;($C35+1),Статистика!$B$7:$B$1006,"&lt;="&amp;($C35+$D$5),Статистика!$C$7:$C$1006,IF($D35="","&lt;&gt;§",$D35),Статистика!$D$7:$D$1006,IF($E35="","&lt;&gt;§",$E35)))</f>
        <v/>
      </c>
      <c r="X35" s="52" t="str">
        <f aca="false">IF($C35="","",SUMIFS(Статистика!$T$7:$T$1006,Статистика!$B$7:$B$1006,"&gt;="&amp;($C35+1),Статистика!$B$7:$B$1006,"&lt;="&amp;($C35+$D$5),Статистика!$C$7:$C$1006,IF($D35="","&lt;&gt;§",$D35),Статистика!$D$7:$D$1006,IF($E35="","&lt;&gt;§",$E35)))</f>
        <v/>
      </c>
      <c r="Y35" s="1"/>
      <c r="Z35" s="1"/>
      <c r="AA35" s="1"/>
      <c r="AB35" s="1"/>
      <c r="AC35" s="1"/>
      <c r="AD35" s="1"/>
    </row>
    <row r="36" customFormat="false" ht="30" hidden="false" customHeight="true" outlineLevel="0" collapsed="false">
      <c r="A36" s="1"/>
      <c r="B36" s="49" t="str">
        <f aca="false">IF($C36="","",ROW()-8)</f>
        <v/>
      </c>
      <c r="C36" s="35"/>
      <c r="D36" s="8"/>
      <c r="E36" s="26"/>
      <c r="F36" s="26"/>
      <c r="G36" s="50"/>
      <c r="H36" s="50"/>
      <c r="I36" s="30" t="str">
        <f aca="false">IF($C36="","",IFERROR(S36/T36,"—"))</f>
        <v/>
      </c>
      <c r="J36" s="30" t="str">
        <f aca="false">IF($C36="","",IFERROR(V36/W36,"—"))</f>
        <v/>
      </c>
      <c r="K36" s="41" t="str">
        <f aca="false">IF($C36="","",IFERROR(J36/I36-1,""))</f>
        <v/>
      </c>
      <c r="L36" s="41" t="str">
        <f aca="false">IF($C36="","",IFERROR((U36-S36)/S36,"—"))</f>
        <v/>
      </c>
      <c r="M36" s="41" t="str">
        <f aca="false">IF($C36="","",IFERROR((X36-V36)/V36,"—"))</f>
        <v/>
      </c>
      <c r="N36" s="39" t="str">
        <f aca="false">IF($C36="","",T36/$D$5)</f>
        <v/>
      </c>
      <c r="O36" s="39" t="str">
        <f aca="false">IF($C36="","",W36/$D$5)</f>
        <v/>
      </c>
      <c r="P36" s="51" t="str">
        <f aca="false">IF($C36="","",IF(MAX(Статистика!$B$7:$B$1006)&lt;$C36+$D$5,"Чекаємо даних",IF(S36=0,"Новий (без бази)",IF(OR(T36=0,W36=0),"Мало даних",IF(K36&lt;=-$F$5,"Покращило",IF(K36&gt;=$F$5,"Погіршило","Без змін"))))))</f>
        <v/>
      </c>
      <c r="Q36" s="50"/>
      <c r="R36" s="1"/>
      <c r="S36" s="52" t="str">
        <f aca="false">IF($C36="","",SUMIFS(Статистика!$E$7:$E$1006,Статистика!$B$7:$B$1006,"&gt;="&amp;($C36-$D$5),Статистика!$B$7:$B$1006,"&lt;="&amp;($C36-1),Статистика!$C$7:$C$1006,IF($D36="","&lt;&gt;§",$D36),Статистика!$D$7:$D$1006,IF($E36="","&lt;&gt;§",$E36)))</f>
        <v/>
      </c>
      <c r="T36" s="52" t="str">
        <f aca="false">IF($C36="","",SUMIFS(Статистика!$H$7:$H$1006,Статистика!$B$7:$B$1006,"&gt;="&amp;($C36-$D$5),Статистика!$B$7:$B$1006,"&lt;="&amp;($C36-1),Статистика!$C$7:$C$1006,IF($D36="","&lt;&gt;§",$D36),Статистика!$D$7:$D$1006,IF($E36="","&lt;&gt;§",$E36)))</f>
        <v/>
      </c>
      <c r="U36" s="52" t="str">
        <f aca="false">IF($C36="","",SUMIFS(Статистика!$T$7:$T$1006,Статистика!$B$7:$B$1006,"&gt;="&amp;($C36-$D$5),Статистика!$B$7:$B$1006,"&lt;="&amp;($C36-1),Статистика!$C$7:$C$1006,IF($D36="","&lt;&gt;§",$D36),Статистика!$D$7:$D$1006,IF($E36="","&lt;&gt;§",$E36)))</f>
        <v/>
      </c>
      <c r="V36" s="52" t="str">
        <f aca="false">IF($C36="","",SUMIFS(Статистика!$E$7:$E$1006,Статистика!$B$7:$B$1006,"&gt;="&amp;($C36+1),Статистика!$B$7:$B$1006,"&lt;="&amp;($C36+$D$5),Статистика!$C$7:$C$1006,IF($D36="","&lt;&gt;§",$D36),Статистика!$D$7:$D$1006,IF($E36="","&lt;&gt;§",$E36)))</f>
        <v/>
      </c>
      <c r="W36" s="52" t="str">
        <f aca="false">IF($C36="","",SUMIFS(Статистика!$H$7:$H$1006,Статистика!$B$7:$B$1006,"&gt;="&amp;($C36+1),Статистика!$B$7:$B$1006,"&lt;="&amp;($C36+$D$5),Статистика!$C$7:$C$1006,IF($D36="","&lt;&gt;§",$D36),Статистика!$D$7:$D$1006,IF($E36="","&lt;&gt;§",$E36)))</f>
        <v/>
      </c>
      <c r="X36" s="52" t="str">
        <f aca="false">IF($C36="","",SUMIFS(Статистика!$T$7:$T$1006,Статистика!$B$7:$B$1006,"&gt;="&amp;($C36+1),Статистика!$B$7:$B$1006,"&lt;="&amp;($C36+$D$5),Статистика!$C$7:$C$1006,IF($D36="","&lt;&gt;§",$D36),Статистика!$D$7:$D$1006,IF($E36="","&lt;&gt;§",$E36)))</f>
        <v/>
      </c>
      <c r="Y36" s="1"/>
      <c r="Z36" s="1"/>
      <c r="AA36" s="1"/>
      <c r="AB36" s="1"/>
      <c r="AC36" s="1"/>
      <c r="AD36" s="1"/>
    </row>
    <row r="37" customFormat="false" ht="30" hidden="false" customHeight="true" outlineLevel="0" collapsed="false">
      <c r="A37" s="1"/>
      <c r="B37" s="49" t="str">
        <f aca="false">IF($C37="","",ROW()-8)</f>
        <v/>
      </c>
      <c r="C37" s="35"/>
      <c r="D37" s="8"/>
      <c r="E37" s="26"/>
      <c r="F37" s="26"/>
      <c r="G37" s="50"/>
      <c r="H37" s="50"/>
      <c r="I37" s="30" t="str">
        <f aca="false">IF($C37="","",IFERROR(S37/T37,"—"))</f>
        <v/>
      </c>
      <c r="J37" s="30" t="str">
        <f aca="false">IF($C37="","",IFERROR(V37/W37,"—"))</f>
        <v/>
      </c>
      <c r="K37" s="41" t="str">
        <f aca="false">IF($C37="","",IFERROR(J37/I37-1,""))</f>
        <v/>
      </c>
      <c r="L37" s="41" t="str">
        <f aca="false">IF($C37="","",IFERROR((U37-S37)/S37,"—"))</f>
        <v/>
      </c>
      <c r="M37" s="41" t="str">
        <f aca="false">IF($C37="","",IFERROR((X37-V37)/V37,"—"))</f>
        <v/>
      </c>
      <c r="N37" s="39" t="str">
        <f aca="false">IF($C37="","",T37/$D$5)</f>
        <v/>
      </c>
      <c r="O37" s="39" t="str">
        <f aca="false">IF($C37="","",W37/$D$5)</f>
        <v/>
      </c>
      <c r="P37" s="51" t="str">
        <f aca="false">IF($C37="","",IF(MAX(Статистика!$B$7:$B$1006)&lt;$C37+$D$5,"Чекаємо даних",IF(S37=0,"Новий (без бази)",IF(OR(T37=0,W37=0),"Мало даних",IF(K37&lt;=-$F$5,"Покращило",IF(K37&gt;=$F$5,"Погіршило","Без змін"))))))</f>
        <v/>
      </c>
      <c r="Q37" s="50"/>
      <c r="R37" s="1"/>
      <c r="S37" s="52" t="str">
        <f aca="false">IF($C37="","",SUMIFS(Статистика!$E$7:$E$1006,Статистика!$B$7:$B$1006,"&gt;="&amp;($C37-$D$5),Статистика!$B$7:$B$1006,"&lt;="&amp;($C37-1),Статистика!$C$7:$C$1006,IF($D37="","&lt;&gt;§",$D37),Статистика!$D$7:$D$1006,IF($E37="","&lt;&gt;§",$E37)))</f>
        <v/>
      </c>
      <c r="T37" s="52" t="str">
        <f aca="false">IF($C37="","",SUMIFS(Статистика!$H$7:$H$1006,Статистика!$B$7:$B$1006,"&gt;="&amp;($C37-$D$5),Статистика!$B$7:$B$1006,"&lt;="&amp;($C37-1),Статистика!$C$7:$C$1006,IF($D37="","&lt;&gt;§",$D37),Статистика!$D$7:$D$1006,IF($E37="","&lt;&gt;§",$E37)))</f>
        <v/>
      </c>
      <c r="U37" s="52" t="str">
        <f aca="false">IF($C37="","",SUMIFS(Статистика!$T$7:$T$1006,Статистика!$B$7:$B$1006,"&gt;="&amp;($C37-$D$5),Статистика!$B$7:$B$1006,"&lt;="&amp;($C37-1),Статистика!$C$7:$C$1006,IF($D37="","&lt;&gt;§",$D37),Статистика!$D$7:$D$1006,IF($E37="","&lt;&gt;§",$E37)))</f>
        <v/>
      </c>
      <c r="V37" s="52" t="str">
        <f aca="false">IF($C37="","",SUMIFS(Статистика!$E$7:$E$1006,Статистика!$B$7:$B$1006,"&gt;="&amp;($C37+1),Статистика!$B$7:$B$1006,"&lt;="&amp;($C37+$D$5),Статистика!$C$7:$C$1006,IF($D37="","&lt;&gt;§",$D37),Статистика!$D$7:$D$1006,IF($E37="","&lt;&gt;§",$E37)))</f>
        <v/>
      </c>
      <c r="W37" s="52" t="str">
        <f aca="false">IF($C37="","",SUMIFS(Статистика!$H$7:$H$1006,Статистика!$B$7:$B$1006,"&gt;="&amp;($C37+1),Статистика!$B$7:$B$1006,"&lt;="&amp;($C37+$D$5),Статистика!$C$7:$C$1006,IF($D37="","&lt;&gt;§",$D37),Статистика!$D$7:$D$1006,IF($E37="","&lt;&gt;§",$E37)))</f>
        <v/>
      </c>
      <c r="X37" s="52" t="str">
        <f aca="false">IF($C37="","",SUMIFS(Статистика!$T$7:$T$1006,Статистика!$B$7:$B$1006,"&gt;="&amp;($C37+1),Статистика!$B$7:$B$1006,"&lt;="&amp;($C37+$D$5),Статистика!$C$7:$C$1006,IF($D37="","&lt;&gt;§",$D37),Статистика!$D$7:$D$1006,IF($E37="","&lt;&gt;§",$E37)))</f>
        <v/>
      </c>
      <c r="Y37" s="1"/>
      <c r="Z37" s="1"/>
      <c r="AA37" s="1"/>
      <c r="AB37" s="1"/>
      <c r="AC37" s="1"/>
      <c r="AD37" s="1"/>
    </row>
    <row r="38" customFormat="false" ht="30" hidden="false" customHeight="true" outlineLevel="0" collapsed="false">
      <c r="A38" s="1"/>
      <c r="B38" s="49" t="str">
        <f aca="false">IF($C38="","",ROW()-8)</f>
        <v/>
      </c>
      <c r="C38" s="35"/>
      <c r="D38" s="8"/>
      <c r="E38" s="26"/>
      <c r="F38" s="26"/>
      <c r="G38" s="50"/>
      <c r="H38" s="50"/>
      <c r="I38" s="30" t="str">
        <f aca="false">IF($C38="","",IFERROR(S38/T38,"—"))</f>
        <v/>
      </c>
      <c r="J38" s="30" t="str">
        <f aca="false">IF($C38="","",IFERROR(V38/W38,"—"))</f>
        <v/>
      </c>
      <c r="K38" s="41" t="str">
        <f aca="false">IF($C38="","",IFERROR(J38/I38-1,""))</f>
        <v/>
      </c>
      <c r="L38" s="41" t="str">
        <f aca="false">IF($C38="","",IFERROR((U38-S38)/S38,"—"))</f>
        <v/>
      </c>
      <c r="M38" s="41" t="str">
        <f aca="false">IF($C38="","",IFERROR((X38-V38)/V38,"—"))</f>
        <v/>
      </c>
      <c r="N38" s="39" t="str">
        <f aca="false">IF($C38="","",T38/$D$5)</f>
        <v/>
      </c>
      <c r="O38" s="39" t="str">
        <f aca="false">IF($C38="","",W38/$D$5)</f>
        <v/>
      </c>
      <c r="P38" s="51" t="str">
        <f aca="false">IF($C38="","",IF(MAX(Статистика!$B$7:$B$1006)&lt;$C38+$D$5,"Чекаємо даних",IF(S38=0,"Новий (без бази)",IF(OR(T38=0,W38=0),"Мало даних",IF(K38&lt;=-$F$5,"Покращило",IF(K38&gt;=$F$5,"Погіршило","Без змін"))))))</f>
        <v/>
      </c>
      <c r="Q38" s="50"/>
      <c r="R38" s="1"/>
      <c r="S38" s="52" t="str">
        <f aca="false">IF($C38="","",SUMIFS(Статистика!$E$7:$E$1006,Статистика!$B$7:$B$1006,"&gt;="&amp;($C38-$D$5),Статистика!$B$7:$B$1006,"&lt;="&amp;($C38-1),Статистика!$C$7:$C$1006,IF($D38="","&lt;&gt;§",$D38),Статистика!$D$7:$D$1006,IF($E38="","&lt;&gt;§",$E38)))</f>
        <v/>
      </c>
      <c r="T38" s="52" t="str">
        <f aca="false">IF($C38="","",SUMIFS(Статистика!$H$7:$H$1006,Статистика!$B$7:$B$1006,"&gt;="&amp;($C38-$D$5),Статистика!$B$7:$B$1006,"&lt;="&amp;($C38-1),Статистика!$C$7:$C$1006,IF($D38="","&lt;&gt;§",$D38),Статистика!$D$7:$D$1006,IF($E38="","&lt;&gt;§",$E38)))</f>
        <v/>
      </c>
      <c r="U38" s="52" t="str">
        <f aca="false">IF($C38="","",SUMIFS(Статистика!$T$7:$T$1006,Статистика!$B$7:$B$1006,"&gt;="&amp;($C38-$D$5),Статистика!$B$7:$B$1006,"&lt;="&amp;($C38-1),Статистика!$C$7:$C$1006,IF($D38="","&lt;&gt;§",$D38),Статистика!$D$7:$D$1006,IF($E38="","&lt;&gt;§",$E38)))</f>
        <v/>
      </c>
      <c r="V38" s="52" t="str">
        <f aca="false">IF($C38="","",SUMIFS(Статистика!$E$7:$E$1006,Статистика!$B$7:$B$1006,"&gt;="&amp;($C38+1),Статистика!$B$7:$B$1006,"&lt;="&amp;($C38+$D$5),Статистика!$C$7:$C$1006,IF($D38="","&lt;&gt;§",$D38),Статистика!$D$7:$D$1006,IF($E38="","&lt;&gt;§",$E38)))</f>
        <v/>
      </c>
      <c r="W38" s="52" t="str">
        <f aca="false">IF($C38="","",SUMIFS(Статистика!$H$7:$H$1006,Статистика!$B$7:$B$1006,"&gt;="&amp;($C38+1),Статистика!$B$7:$B$1006,"&lt;="&amp;($C38+$D$5),Статистика!$C$7:$C$1006,IF($D38="","&lt;&gt;§",$D38),Статистика!$D$7:$D$1006,IF($E38="","&lt;&gt;§",$E38)))</f>
        <v/>
      </c>
      <c r="X38" s="52" t="str">
        <f aca="false">IF($C38="","",SUMIFS(Статистика!$T$7:$T$1006,Статистика!$B$7:$B$1006,"&gt;="&amp;($C38+1),Статистика!$B$7:$B$1006,"&lt;="&amp;($C38+$D$5),Статистика!$C$7:$C$1006,IF($D38="","&lt;&gt;§",$D38),Статистика!$D$7:$D$1006,IF($E38="","&lt;&gt;§",$E38)))</f>
        <v/>
      </c>
      <c r="Y38" s="1"/>
      <c r="Z38" s="1"/>
      <c r="AA38" s="1"/>
      <c r="AB38" s="1"/>
      <c r="AC38" s="1"/>
      <c r="AD38" s="1"/>
    </row>
    <row r="39" customFormat="false" ht="30" hidden="false" customHeight="true" outlineLevel="0" collapsed="false">
      <c r="A39" s="1"/>
      <c r="B39" s="49" t="str">
        <f aca="false">IF($C39="","",ROW()-8)</f>
        <v/>
      </c>
      <c r="C39" s="35"/>
      <c r="D39" s="8"/>
      <c r="E39" s="26"/>
      <c r="F39" s="26"/>
      <c r="G39" s="50"/>
      <c r="H39" s="50"/>
      <c r="I39" s="30" t="str">
        <f aca="false">IF($C39="","",IFERROR(S39/T39,"—"))</f>
        <v/>
      </c>
      <c r="J39" s="30" t="str">
        <f aca="false">IF($C39="","",IFERROR(V39/W39,"—"))</f>
        <v/>
      </c>
      <c r="K39" s="41" t="str">
        <f aca="false">IF($C39="","",IFERROR(J39/I39-1,""))</f>
        <v/>
      </c>
      <c r="L39" s="41" t="str">
        <f aca="false">IF($C39="","",IFERROR((U39-S39)/S39,"—"))</f>
        <v/>
      </c>
      <c r="M39" s="41" t="str">
        <f aca="false">IF($C39="","",IFERROR((X39-V39)/V39,"—"))</f>
        <v/>
      </c>
      <c r="N39" s="39" t="str">
        <f aca="false">IF($C39="","",T39/$D$5)</f>
        <v/>
      </c>
      <c r="O39" s="39" t="str">
        <f aca="false">IF($C39="","",W39/$D$5)</f>
        <v/>
      </c>
      <c r="P39" s="51" t="str">
        <f aca="false">IF($C39="","",IF(MAX(Статистика!$B$7:$B$1006)&lt;$C39+$D$5,"Чекаємо даних",IF(S39=0,"Новий (без бази)",IF(OR(T39=0,W39=0),"Мало даних",IF(K39&lt;=-$F$5,"Покращило",IF(K39&gt;=$F$5,"Погіршило","Без змін"))))))</f>
        <v/>
      </c>
      <c r="Q39" s="50"/>
      <c r="R39" s="1"/>
      <c r="S39" s="52" t="str">
        <f aca="false">IF($C39="","",SUMIFS(Статистика!$E$7:$E$1006,Статистика!$B$7:$B$1006,"&gt;="&amp;($C39-$D$5),Статистика!$B$7:$B$1006,"&lt;="&amp;($C39-1),Статистика!$C$7:$C$1006,IF($D39="","&lt;&gt;§",$D39),Статистика!$D$7:$D$1006,IF($E39="","&lt;&gt;§",$E39)))</f>
        <v/>
      </c>
      <c r="T39" s="52" t="str">
        <f aca="false">IF($C39="","",SUMIFS(Статистика!$H$7:$H$1006,Статистика!$B$7:$B$1006,"&gt;="&amp;($C39-$D$5),Статистика!$B$7:$B$1006,"&lt;="&amp;($C39-1),Статистика!$C$7:$C$1006,IF($D39="","&lt;&gt;§",$D39),Статистика!$D$7:$D$1006,IF($E39="","&lt;&gt;§",$E39)))</f>
        <v/>
      </c>
      <c r="U39" s="52" t="str">
        <f aca="false">IF($C39="","",SUMIFS(Статистика!$T$7:$T$1006,Статистика!$B$7:$B$1006,"&gt;="&amp;($C39-$D$5),Статистика!$B$7:$B$1006,"&lt;="&amp;($C39-1),Статистика!$C$7:$C$1006,IF($D39="","&lt;&gt;§",$D39),Статистика!$D$7:$D$1006,IF($E39="","&lt;&gt;§",$E39)))</f>
        <v/>
      </c>
      <c r="V39" s="52" t="str">
        <f aca="false">IF($C39="","",SUMIFS(Статистика!$E$7:$E$1006,Статистика!$B$7:$B$1006,"&gt;="&amp;($C39+1),Статистика!$B$7:$B$1006,"&lt;="&amp;($C39+$D$5),Статистика!$C$7:$C$1006,IF($D39="","&lt;&gt;§",$D39),Статистика!$D$7:$D$1006,IF($E39="","&lt;&gt;§",$E39)))</f>
        <v/>
      </c>
      <c r="W39" s="52" t="str">
        <f aca="false">IF($C39="","",SUMIFS(Статистика!$H$7:$H$1006,Статистика!$B$7:$B$1006,"&gt;="&amp;($C39+1),Статистика!$B$7:$B$1006,"&lt;="&amp;($C39+$D$5),Статистика!$C$7:$C$1006,IF($D39="","&lt;&gt;§",$D39),Статистика!$D$7:$D$1006,IF($E39="","&lt;&gt;§",$E39)))</f>
        <v/>
      </c>
      <c r="X39" s="52" t="str">
        <f aca="false">IF($C39="","",SUMIFS(Статистика!$T$7:$T$1006,Статистика!$B$7:$B$1006,"&gt;="&amp;($C39+1),Статистика!$B$7:$B$1006,"&lt;="&amp;($C39+$D$5),Статистика!$C$7:$C$1006,IF($D39="","&lt;&gt;§",$D39),Статистика!$D$7:$D$1006,IF($E39="","&lt;&gt;§",$E39)))</f>
        <v/>
      </c>
      <c r="Y39" s="1"/>
      <c r="Z39" s="1"/>
      <c r="AA39" s="1"/>
      <c r="AB39" s="1"/>
      <c r="AC39" s="1"/>
      <c r="AD39" s="1"/>
    </row>
    <row r="40" customFormat="false" ht="30" hidden="false" customHeight="true" outlineLevel="0" collapsed="false">
      <c r="A40" s="1"/>
      <c r="B40" s="49" t="str">
        <f aca="false">IF($C40="","",ROW()-8)</f>
        <v/>
      </c>
      <c r="C40" s="35"/>
      <c r="D40" s="8"/>
      <c r="E40" s="26"/>
      <c r="F40" s="26"/>
      <c r="G40" s="50"/>
      <c r="H40" s="50"/>
      <c r="I40" s="30" t="str">
        <f aca="false">IF($C40="","",IFERROR(S40/T40,"—"))</f>
        <v/>
      </c>
      <c r="J40" s="30" t="str">
        <f aca="false">IF($C40="","",IFERROR(V40/W40,"—"))</f>
        <v/>
      </c>
      <c r="K40" s="41" t="str">
        <f aca="false">IF($C40="","",IFERROR(J40/I40-1,""))</f>
        <v/>
      </c>
      <c r="L40" s="41" t="str">
        <f aca="false">IF($C40="","",IFERROR((U40-S40)/S40,"—"))</f>
        <v/>
      </c>
      <c r="M40" s="41" t="str">
        <f aca="false">IF($C40="","",IFERROR((X40-V40)/V40,"—"))</f>
        <v/>
      </c>
      <c r="N40" s="39" t="str">
        <f aca="false">IF($C40="","",T40/$D$5)</f>
        <v/>
      </c>
      <c r="O40" s="39" t="str">
        <f aca="false">IF($C40="","",W40/$D$5)</f>
        <v/>
      </c>
      <c r="P40" s="51" t="str">
        <f aca="false">IF($C40="","",IF(MAX(Статистика!$B$7:$B$1006)&lt;$C40+$D$5,"Чекаємо даних",IF(S40=0,"Новий (без бази)",IF(OR(T40=0,W40=0),"Мало даних",IF(K40&lt;=-$F$5,"Покращило",IF(K40&gt;=$F$5,"Погіршило","Без змін"))))))</f>
        <v/>
      </c>
      <c r="Q40" s="50"/>
      <c r="R40" s="1"/>
      <c r="S40" s="52" t="str">
        <f aca="false">IF($C40="","",SUMIFS(Статистика!$E$7:$E$1006,Статистика!$B$7:$B$1006,"&gt;="&amp;($C40-$D$5),Статистика!$B$7:$B$1006,"&lt;="&amp;($C40-1),Статистика!$C$7:$C$1006,IF($D40="","&lt;&gt;§",$D40),Статистика!$D$7:$D$1006,IF($E40="","&lt;&gt;§",$E40)))</f>
        <v/>
      </c>
      <c r="T40" s="52" t="str">
        <f aca="false">IF($C40="","",SUMIFS(Статистика!$H$7:$H$1006,Статистика!$B$7:$B$1006,"&gt;="&amp;($C40-$D$5),Статистика!$B$7:$B$1006,"&lt;="&amp;($C40-1),Статистика!$C$7:$C$1006,IF($D40="","&lt;&gt;§",$D40),Статистика!$D$7:$D$1006,IF($E40="","&lt;&gt;§",$E40)))</f>
        <v/>
      </c>
      <c r="U40" s="52" t="str">
        <f aca="false">IF($C40="","",SUMIFS(Статистика!$T$7:$T$1006,Статистика!$B$7:$B$1006,"&gt;="&amp;($C40-$D$5),Статистика!$B$7:$B$1006,"&lt;="&amp;($C40-1),Статистика!$C$7:$C$1006,IF($D40="","&lt;&gt;§",$D40),Статистика!$D$7:$D$1006,IF($E40="","&lt;&gt;§",$E40)))</f>
        <v/>
      </c>
      <c r="V40" s="52" t="str">
        <f aca="false">IF($C40="","",SUMIFS(Статистика!$E$7:$E$1006,Статистика!$B$7:$B$1006,"&gt;="&amp;($C40+1),Статистика!$B$7:$B$1006,"&lt;="&amp;($C40+$D$5),Статистика!$C$7:$C$1006,IF($D40="","&lt;&gt;§",$D40),Статистика!$D$7:$D$1006,IF($E40="","&lt;&gt;§",$E40)))</f>
        <v/>
      </c>
      <c r="W40" s="52" t="str">
        <f aca="false">IF($C40="","",SUMIFS(Статистика!$H$7:$H$1006,Статистика!$B$7:$B$1006,"&gt;="&amp;($C40+1),Статистика!$B$7:$B$1006,"&lt;="&amp;($C40+$D$5),Статистика!$C$7:$C$1006,IF($D40="","&lt;&gt;§",$D40),Статистика!$D$7:$D$1006,IF($E40="","&lt;&gt;§",$E40)))</f>
        <v/>
      </c>
      <c r="X40" s="52" t="str">
        <f aca="false">IF($C40="","",SUMIFS(Статистика!$T$7:$T$1006,Статистика!$B$7:$B$1006,"&gt;="&amp;($C40+1),Статистика!$B$7:$B$1006,"&lt;="&amp;($C40+$D$5),Статистика!$C$7:$C$1006,IF($D40="","&lt;&gt;§",$D40),Статистика!$D$7:$D$1006,IF($E40="","&lt;&gt;§",$E40)))</f>
        <v/>
      </c>
      <c r="Y40" s="1"/>
      <c r="Z40" s="1"/>
      <c r="AA40" s="1"/>
      <c r="AB40" s="1"/>
      <c r="AC40" s="1"/>
      <c r="AD40" s="1"/>
    </row>
    <row r="41" customFormat="false" ht="30" hidden="false" customHeight="true" outlineLevel="0" collapsed="false">
      <c r="A41" s="1"/>
      <c r="B41" s="49" t="str">
        <f aca="false">IF($C41="","",ROW()-8)</f>
        <v/>
      </c>
      <c r="C41" s="35"/>
      <c r="D41" s="8"/>
      <c r="E41" s="26"/>
      <c r="F41" s="26"/>
      <c r="G41" s="50"/>
      <c r="H41" s="50"/>
      <c r="I41" s="30" t="str">
        <f aca="false">IF($C41="","",IFERROR(S41/T41,"—"))</f>
        <v/>
      </c>
      <c r="J41" s="30" t="str">
        <f aca="false">IF($C41="","",IFERROR(V41/W41,"—"))</f>
        <v/>
      </c>
      <c r="K41" s="41" t="str">
        <f aca="false">IF($C41="","",IFERROR(J41/I41-1,""))</f>
        <v/>
      </c>
      <c r="L41" s="41" t="str">
        <f aca="false">IF($C41="","",IFERROR((U41-S41)/S41,"—"))</f>
        <v/>
      </c>
      <c r="M41" s="41" t="str">
        <f aca="false">IF($C41="","",IFERROR((X41-V41)/V41,"—"))</f>
        <v/>
      </c>
      <c r="N41" s="39" t="str">
        <f aca="false">IF($C41="","",T41/$D$5)</f>
        <v/>
      </c>
      <c r="O41" s="39" t="str">
        <f aca="false">IF($C41="","",W41/$D$5)</f>
        <v/>
      </c>
      <c r="P41" s="51" t="str">
        <f aca="false">IF($C41="","",IF(MAX(Статистика!$B$7:$B$1006)&lt;$C41+$D$5,"Чекаємо даних",IF(S41=0,"Новий (без бази)",IF(OR(T41=0,W41=0),"Мало даних",IF(K41&lt;=-$F$5,"Покращило",IF(K41&gt;=$F$5,"Погіршило","Без змін"))))))</f>
        <v/>
      </c>
      <c r="Q41" s="50"/>
      <c r="R41" s="1"/>
      <c r="S41" s="52" t="str">
        <f aca="false">IF($C41="","",SUMIFS(Статистика!$E$7:$E$1006,Статистика!$B$7:$B$1006,"&gt;="&amp;($C41-$D$5),Статистика!$B$7:$B$1006,"&lt;="&amp;($C41-1),Статистика!$C$7:$C$1006,IF($D41="","&lt;&gt;§",$D41),Статистика!$D$7:$D$1006,IF($E41="","&lt;&gt;§",$E41)))</f>
        <v/>
      </c>
      <c r="T41" s="52" t="str">
        <f aca="false">IF($C41="","",SUMIFS(Статистика!$H$7:$H$1006,Статистика!$B$7:$B$1006,"&gt;="&amp;($C41-$D$5),Статистика!$B$7:$B$1006,"&lt;="&amp;($C41-1),Статистика!$C$7:$C$1006,IF($D41="","&lt;&gt;§",$D41),Статистика!$D$7:$D$1006,IF($E41="","&lt;&gt;§",$E41)))</f>
        <v/>
      </c>
      <c r="U41" s="52" t="str">
        <f aca="false">IF($C41="","",SUMIFS(Статистика!$T$7:$T$1006,Статистика!$B$7:$B$1006,"&gt;="&amp;($C41-$D$5),Статистика!$B$7:$B$1006,"&lt;="&amp;($C41-1),Статистика!$C$7:$C$1006,IF($D41="","&lt;&gt;§",$D41),Статистика!$D$7:$D$1006,IF($E41="","&lt;&gt;§",$E41)))</f>
        <v/>
      </c>
      <c r="V41" s="52" t="str">
        <f aca="false">IF($C41="","",SUMIFS(Статистика!$E$7:$E$1006,Статистика!$B$7:$B$1006,"&gt;="&amp;($C41+1),Статистика!$B$7:$B$1006,"&lt;="&amp;($C41+$D$5),Статистика!$C$7:$C$1006,IF($D41="","&lt;&gt;§",$D41),Статистика!$D$7:$D$1006,IF($E41="","&lt;&gt;§",$E41)))</f>
        <v/>
      </c>
      <c r="W41" s="52" t="str">
        <f aca="false">IF($C41="","",SUMIFS(Статистика!$H$7:$H$1006,Статистика!$B$7:$B$1006,"&gt;="&amp;($C41+1),Статистика!$B$7:$B$1006,"&lt;="&amp;($C41+$D$5),Статистика!$C$7:$C$1006,IF($D41="","&lt;&gt;§",$D41),Статистика!$D$7:$D$1006,IF($E41="","&lt;&gt;§",$E41)))</f>
        <v/>
      </c>
      <c r="X41" s="52" t="str">
        <f aca="false">IF($C41="","",SUMIFS(Статистика!$T$7:$T$1006,Статистика!$B$7:$B$1006,"&gt;="&amp;($C41+1),Статистика!$B$7:$B$1006,"&lt;="&amp;($C41+$D$5),Статистика!$C$7:$C$1006,IF($D41="","&lt;&gt;§",$D41),Статистика!$D$7:$D$1006,IF($E41="","&lt;&gt;§",$E41)))</f>
        <v/>
      </c>
      <c r="Y41" s="1"/>
      <c r="Z41" s="1"/>
      <c r="AA41" s="1"/>
      <c r="AB41" s="1"/>
      <c r="AC41" s="1"/>
      <c r="AD41" s="1"/>
    </row>
    <row r="42" customFormat="false" ht="30" hidden="false" customHeight="true" outlineLevel="0" collapsed="false">
      <c r="A42" s="1"/>
      <c r="B42" s="49" t="str">
        <f aca="false">IF($C42="","",ROW()-8)</f>
        <v/>
      </c>
      <c r="C42" s="35"/>
      <c r="D42" s="8"/>
      <c r="E42" s="26"/>
      <c r="F42" s="26"/>
      <c r="G42" s="50"/>
      <c r="H42" s="50"/>
      <c r="I42" s="30" t="str">
        <f aca="false">IF($C42="","",IFERROR(S42/T42,"—"))</f>
        <v/>
      </c>
      <c r="J42" s="30" t="str">
        <f aca="false">IF($C42="","",IFERROR(V42/W42,"—"))</f>
        <v/>
      </c>
      <c r="K42" s="41" t="str">
        <f aca="false">IF($C42="","",IFERROR(J42/I42-1,""))</f>
        <v/>
      </c>
      <c r="L42" s="41" t="str">
        <f aca="false">IF($C42="","",IFERROR((U42-S42)/S42,"—"))</f>
        <v/>
      </c>
      <c r="M42" s="41" t="str">
        <f aca="false">IF($C42="","",IFERROR((X42-V42)/V42,"—"))</f>
        <v/>
      </c>
      <c r="N42" s="39" t="str">
        <f aca="false">IF($C42="","",T42/$D$5)</f>
        <v/>
      </c>
      <c r="O42" s="39" t="str">
        <f aca="false">IF($C42="","",W42/$D$5)</f>
        <v/>
      </c>
      <c r="P42" s="51" t="str">
        <f aca="false">IF($C42="","",IF(MAX(Статистика!$B$7:$B$1006)&lt;$C42+$D$5,"Чекаємо даних",IF(S42=0,"Новий (без бази)",IF(OR(T42=0,W42=0),"Мало даних",IF(K42&lt;=-$F$5,"Покращило",IF(K42&gt;=$F$5,"Погіршило","Без змін"))))))</f>
        <v/>
      </c>
      <c r="Q42" s="50"/>
      <c r="R42" s="1"/>
      <c r="S42" s="52" t="str">
        <f aca="false">IF($C42="","",SUMIFS(Статистика!$E$7:$E$1006,Статистика!$B$7:$B$1006,"&gt;="&amp;($C42-$D$5),Статистика!$B$7:$B$1006,"&lt;="&amp;($C42-1),Статистика!$C$7:$C$1006,IF($D42="","&lt;&gt;§",$D42),Статистика!$D$7:$D$1006,IF($E42="","&lt;&gt;§",$E42)))</f>
        <v/>
      </c>
      <c r="T42" s="52" t="str">
        <f aca="false">IF($C42="","",SUMIFS(Статистика!$H$7:$H$1006,Статистика!$B$7:$B$1006,"&gt;="&amp;($C42-$D$5),Статистика!$B$7:$B$1006,"&lt;="&amp;($C42-1),Статистика!$C$7:$C$1006,IF($D42="","&lt;&gt;§",$D42),Статистика!$D$7:$D$1006,IF($E42="","&lt;&gt;§",$E42)))</f>
        <v/>
      </c>
      <c r="U42" s="52" t="str">
        <f aca="false">IF($C42="","",SUMIFS(Статистика!$T$7:$T$1006,Статистика!$B$7:$B$1006,"&gt;="&amp;($C42-$D$5),Статистика!$B$7:$B$1006,"&lt;="&amp;($C42-1),Статистика!$C$7:$C$1006,IF($D42="","&lt;&gt;§",$D42),Статистика!$D$7:$D$1006,IF($E42="","&lt;&gt;§",$E42)))</f>
        <v/>
      </c>
      <c r="V42" s="52" t="str">
        <f aca="false">IF($C42="","",SUMIFS(Статистика!$E$7:$E$1006,Статистика!$B$7:$B$1006,"&gt;="&amp;($C42+1),Статистика!$B$7:$B$1006,"&lt;="&amp;($C42+$D$5),Статистика!$C$7:$C$1006,IF($D42="","&lt;&gt;§",$D42),Статистика!$D$7:$D$1006,IF($E42="","&lt;&gt;§",$E42)))</f>
        <v/>
      </c>
      <c r="W42" s="52" t="str">
        <f aca="false">IF($C42="","",SUMIFS(Статистика!$H$7:$H$1006,Статистика!$B$7:$B$1006,"&gt;="&amp;($C42+1),Статистика!$B$7:$B$1006,"&lt;="&amp;($C42+$D$5),Статистика!$C$7:$C$1006,IF($D42="","&lt;&gt;§",$D42),Статистика!$D$7:$D$1006,IF($E42="","&lt;&gt;§",$E42)))</f>
        <v/>
      </c>
      <c r="X42" s="52" t="str">
        <f aca="false">IF($C42="","",SUMIFS(Статистика!$T$7:$T$1006,Статистика!$B$7:$B$1006,"&gt;="&amp;($C42+1),Статистика!$B$7:$B$1006,"&lt;="&amp;($C42+$D$5),Статистика!$C$7:$C$1006,IF($D42="","&lt;&gt;§",$D42),Статистика!$D$7:$D$1006,IF($E42="","&lt;&gt;§",$E42)))</f>
        <v/>
      </c>
      <c r="Y42" s="1"/>
      <c r="Z42" s="1"/>
      <c r="AA42" s="1"/>
      <c r="AB42" s="1"/>
      <c r="AC42" s="1"/>
      <c r="AD42" s="1"/>
    </row>
    <row r="43" customFormat="false" ht="30" hidden="false" customHeight="true" outlineLevel="0" collapsed="false">
      <c r="A43" s="1"/>
      <c r="B43" s="49" t="str">
        <f aca="false">IF($C43="","",ROW()-8)</f>
        <v/>
      </c>
      <c r="C43" s="35"/>
      <c r="D43" s="8"/>
      <c r="E43" s="26"/>
      <c r="F43" s="26"/>
      <c r="G43" s="50"/>
      <c r="H43" s="50"/>
      <c r="I43" s="30" t="str">
        <f aca="false">IF($C43="","",IFERROR(S43/T43,"—"))</f>
        <v/>
      </c>
      <c r="J43" s="30" t="str">
        <f aca="false">IF($C43="","",IFERROR(V43/W43,"—"))</f>
        <v/>
      </c>
      <c r="K43" s="41" t="str">
        <f aca="false">IF($C43="","",IFERROR(J43/I43-1,""))</f>
        <v/>
      </c>
      <c r="L43" s="41" t="str">
        <f aca="false">IF($C43="","",IFERROR((U43-S43)/S43,"—"))</f>
        <v/>
      </c>
      <c r="M43" s="41" t="str">
        <f aca="false">IF($C43="","",IFERROR((X43-V43)/V43,"—"))</f>
        <v/>
      </c>
      <c r="N43" s="39" t="str">
        <f aca="false">IF($C43="","",T43/$D$5)</f>
        <v/>
      </c>
      <c r="O43" s="39" t="str">
        <f aca="false">IF($C43="","",W43/$D$5)</f>
        <v/>
      </c>
      <c r="P43" s="51" t="str">
        <f aca="false">IF($C43="","",IF(MAX(Статистика!$B$7:$B$1006)&lt;$C43+$D$5,"Чекаємо даних",IF(S43=0,"Новий (без бази)",IF(OR(T43=0,W43=0),"Мало даних",IF(K43&lt;=-$F$5,"Покращило",IF(K43&gt;=$F$5,"Погіршило","Без змін"))))))</f>
        <v/>
      </c>
      <c r="Q43" s="50"/>
      <c r="R43" s="1"/>
      <c r="S43" s="52" t="str">
        <f aca="false">IF($C43="","",SUMIFS(Статистика!$E$7:$E$1006,Статистика!$B$7:$B$1006,"&gt;="&amp;($C43-$D$5),Статистика!$B$7:$B$1006,"&lt;="&amp;($C43-1),Статистика!$C$7:$C$1006,IF($D43="","&lt;&gt;§",$D43),Статистика!$D$7:$D$1006,IF($E43="","&lt;&gt;§",$E43)))</f>
        <v/>
      </c>
      <c r="T43" s="52" t="str">
        <f aca="false">IF($C43="","",SUMIFS(Статистика!$H$7:$H$1006,Статистика!$B$7:$B$1006,"&gt;="&amp;($C43-$D$5),Статистика!$B$7:$B$1006,"&lt;="&amp;($C43-1),Статистика!$C$7:$C$1006,IF($D43="","&lt;&gt;§",$D43),Статистика!$D$7:$D$1006,IF($E43="","&lt;&gt;§",$E43)))</f>
        <v/>
      </c>
      <c r="U43" s="52" t="str">
        <f aca="false">IF($C43="","",SUMIFS(Статистика!$T$7:$T$1006,Статистика!$B$7:$B$1006,"&gt;="&amp;($C43-$D$5),Статистика!$B$7:$B$1006,"&lt;="&amp;($C43-1),Статистика!$C$7:$C$1006,IF($D43="","&lt;&gt;§",$D43),Статистика!$D$7:$D$1006,IF($E43="","&lt;&gt;§",$E43)))</f>
        <v/>
      </c>
      <c r="V43" s="52" t="str">
        <f aca="false">IF($C43="","",SUMIFS(Статистика!$E$7:$E$1006,Статистика!$B$7:$B$1006,"&gt;="&amp;($C43+1),Статистика!$B$7:$B$1006,"&lt;="&amp;($C43+$D$5),Статистика!$C$7:$C$1006,IF($D43="","&lt;&gt;§",$D43),Статистика!$D$7:$D$1006,IF($E43="","&lt;&gt;§",$E43)))</f>
        <v/>
      </c>
      <c r="W43" s="52" t="str">
        <f aca="false">IF($C43="","",SUMIFS(Статистика!$H$7:$H$1006,Статистика!$B$7:$B$1006,"&gt;="&amp;($C43+1),Статистика!$B$7:$B$1006,"&lt;="&amp;($C43+$D$5),Статистика!$C$7:$C$1006,IF($D43="","&lt;&gt;§",$D43),Статистика!$D$7:$D$1006,IF($E43="","&lt;&gt;§",$E43)))</f>
        <v/>
      </c>
      <c r="X43" s="52" t="str">
        <f aca="false">IF($C43="","",SUMIFS(Статистика!$T$7:$T$1006,Статистика!$B$7:$B$1006,"&gt;="&amp;($C43+1),Статистика!$B$7:$B$1006,"&lt;="&amp;($C43+$D$5),Статистика!$C$7:$C$1006,IF($D43="","&lt;&gt;§",$D43),Статистика!$D$7:$D$1006,IF($E43="","&lt;&gt;§",$E43)))</f>
        <v/>
      </c>
      <c r="Y43" s="1"/>
      <c r="Z43" s="1"/>
      <c r="AA43" s="1"/>
      <c r="AB43" s="1"/>
      <c r="AC43" s="1"/>
      <c r="AD43" s="1"/>
    </row>
    <row r="44" customFormat="false" ht="30" hidden="false" customHeight="true" outlineLevel="0" collapsed="false">
      <c r="A44" s="1"/>
      <c r="B44" s="49" t="str">
        <f aca="false">IF($C44="","",ROW()-8)</f>
        <v/>
      </c>
      <c r="C44" s="35"/>
      <c r="D44" s="8"/>
      <c r="E44" s="26"/>
      <c r="F44" s="26"/>
      <c r="G44" s="50"/>
      <c r="H44" s="50"/>
      <c r="I44" s="30" t="str">
        <f aca="false">IF($C44="","",IFERROR(S44/T44,"—"))</f>
        <v/>
      </c>
      <c r="J44" s="30" t="str">
        <f aca="false">IF($C44="","",IFERROR(V44/W44,"—"))</f>
        <v/>
      </c>
      <c r="K44" s="41" t="str">
        <f aca="false">IF($C44="","",IFERROR(J44/I44-1,""))</f>
        <v/>
      </c>
      <c r="L44" s="41" t="str">
        <f aca="false">IF($C44="","",IFERROR((U44-S44)/S44,"—"))</f>
        <v/>
      </c>
      <c r="M44" s="41" t="str">
        <f aca="false">IF($C44="","",IFERROR((X44-V44)/V44,"—"))</f>
        <v/>
      </c>
      <c r="N44" s="39" t="str">
        <f aca="false">IF($C44="","",T44/$D$5)</f>
        <v/>
      </c>
      <c r="O44" s="39" t="str">
        <f aca="false">IF($C44="","",W44/$D$5)</f>
        <v/>
      </c>
      <c r="P44" s="51" t="str">
        <f aca="false">IF($C44="","",IF(MAX(Статистика!$B$7:$B$1006)&lt;$C44+$D$5,"Чекаємо даних",IF(S44=0,"Новий (без бази)",IF(OR(T44=0,W44=0),"Мало даних",IF(K44&lt;=-$F$5,"Покращило",IF(K44&gt;=$F$5,"Погіршило","Без змін"))))))</f>
        <v/>
      </c>
      <c r="Q44" s="50"/>
      <c r="R44" s="1"/>
      <c r="S44" s="52" t="str">
        <f aca="false">IF($C44="","",SUMIFS(Статистика!$E$7:$E$1006,Статистика!$B$7:$B$1006,"&gt;="&amp;($C44-$D$5),Статистика!$B$7:$B$1006,"&lt;="&amp;($C44-1),Статистика!$C$7:$C$1006,IF($D44="","&lt;&gt;§",$D44),Статистика!$D$7:$D$1006,IF($E44="","&lt;&gt;§",$E44)))</f>
        <v/>
      </c>
      <c r="T44" s="52" t="str">
        <f aca="false">IF($C44="","",SUMIFS(Статистика!$H$7:$H$1006,Статистика!$B$7:$B$1006,"&gt;="&amp;($C44-$D$5),Статистика!$B$7:$B$1006,"&lt;="&amp;($C44-1),Статистика!$C$7:$C$1006,IF($D44="","&lt;&gt;§",$D44),Статистика!$D$7:$D$1006,IF($E44="","&lt;&gt;§",$E44)))</f>
        <v/>
      </c>
      <c r="U44" s="52" t="str">
        <f aca="false">IF($C44="","",SUMIFS(Статистика!$T$7:$T$1006,Статистика!$B$7:$B$1006,"&gt;="&amp;($C44-$D$5),Статистика!$B$7:$B$1006,"&lt;="&amp;($C44-1),Статистика!$C$7:$C$1006,IF($D44="","&lt;&gt;§",$D44),Статистика!$D$7:$D$1006,IF($E44="","&lt;&gt;§",$E44)))</f>
        <v/>
      </c>
      <c r="V44" s="52" t="str">
        <f aca="false">IF($C44="","",SUMIFS(Статистика!$E$7:$E$1006,Статистика!$B$7:$B$1006,"&gt;="&amp;($C44+1),Статистика!$B$7:$B$1006,"&lt;="&amp;($C44+$D$5),Статистика!$C$7:$C$1006,IF($D44="","&lt;&gt;§",$D44),Статистика!$D$7:$D$1006,IF($E44="","&lt;&gt;§",$E44)))</f>
        <v/>
      </c>
      <c r="W44" s="52" t="str">
        <f aca="false">IF($C44="","",SUMIFS(Статистика!$H$7:$H$1006,Статистика!$B$7:$B$1006,"&gt;="&amp;($C44+1),Статистика!$B$7:$B$1006,"&lt;="&amp;($C44+$D$5),Статистика!$C$7:$C$1006,IF($D44="","&lt;&gt;§",$D44),Статистика!$D$7:$D$1006,IF($E44="","&lt;&gt;§",$E44)))</f>
        <v/>
      </c>
      <c r="X44" s="52" t="str">
        <f aca="false">IF($C44="","",SUMIFS(Статистика!$T$7:$T$1006,Статистика!$B$7:$B$1006,"&gt;="&amp;($C44+1),Статистика!$B$7:$B$1006,"&lt;="&amp;($C44+$D$5),Статистика!$C$7:$C$1006,IF($D44="","&lt;&gt;§",$D44),Статистика!$D$7:$D$1006,IF($E44="","&lt;&gt;§",$E44)))</f>
        <v/>
      </c>
      <c r="Y44" s="1"/>
      <c r="Z44" s="1"/>
      <c r="AA44" s="1"/>
      <c r="AB44" s="1"/>
      <c r="AC44" s="1"/>
      <c r="AD44" s="1"/>
    </row>
    <row r="45" customFormat="false" ht="30" hidden="false" customHeight="true" outlineLevel="0" collapsed="false">
      <c r="A45" s="1"/>
      <c r="B45" s="49" t="str">
        <f aca="false">IF($C45="","",ROW()-8)</f>
        <v/>
      </c>
      <c r="C45" s="35"/>
      <c r="D45" s="8"/>
      <c r="E45" s="26"/>
      <c r="F45" s="26"/>
      <c r="G45" s="50"/>
      <c r="H45" s="50"/>
      <c r="I45" s="30" t="str">
        <f aca="false">IF($C45="","",IFERROR(S45/T45,"—"))</f>
        <v/>
      </c>
      <c r="J45" s="30" t="str">
        <f aca="false">IF($C45="","",IFERROR(V45/W45,"—"))</f>
        <v/>
      </c>
      <c r="K45" s="41" t="str">
        <f aca="false">IF($C45="","",IFERROR(J45/I45-1,""))</f>
        <v/>
      </c>
      <c r="L45" s="41" t="str">
        <f aca="false">IF($C45="","",IFERROR((U45-S45)/S45,"—"))</f>
        <v/>
      </c>
      <c r="M45" s="41" t="str">
        <f aca="false">IF($C45="","",IFERROR((X45-V45)/V45,"—"))</f>
        <v/>
      </c>
      <c r="N45" s="39" t="str">
        <f aca="false">IF($C45="","",T45/$D$5)</f>
        <v/>
      </c>
      <c r="O45" s="39" t="str">
        <f aca="false">IF($C45="","",W45/$D$5)</f>
        <v/>
      </c>
      <c r="P45" s="51" t="str">
        <f aca="false">IF($C45="","",IF(MAX(Статистика!$B$7:$B$1006)&lt;$C45+$D$5,"Чекаємо даних",IF(S45=0,"Новий (без бази)",IF(OR(T45=0,W45=0),"Мало даних",IF(K45&lt;=-$F$5,"Покращило",IF(K45&gt;=$F$5,"Погіршило","Без змін"))))))</f>
        <v/>
      </c>
      <c r="Q45" s="50"/>
      <c r="R45" s="1"/>
      <c r="S45" s="52" t="str">
        <f aca="false">IF($C45="","",SUMIFS(Статистика!$E$7:$E$1006,Статистика!$B$7:$B$1006,"&gt;="&amp;($C45-$D$5),Статистика!$B$7:$B$1006,"&lt;="&amp;($C45-1),Статистика!$C$7:$C$1006,IF($D45="","&lt;&gt;§",$D45),Статистика!$D$7:$D$1006,IF($E45="","&lt;&gt;§",$E45)))</f>
        <v/>
      </c>
      <c r="T45" s="52" t="str">
        <f aca="false">IF($C45="","",SUMIFS(Статистика!$H$7:$H$1006,Статистика!$B$7:$B$1006,"&gt;="&amp;($C45-$D$5),Статистика!$B$7:$B$1006,"&lt;="&amp;($C45-1),Статистика!$C$7:$C$1006,IF($D45="","&lt;&gt;§",$D45),Статистика!$D$7:$D$1006,IF($E45="","&lt;&gt;§",$E45)))</f>
        <v/>
      </c>
      <c r="U45" s="52" t="str">
        <f aca="false">IF($C45="","",SUMIFS(Статистика!$T$7:$T$1006,Статистика!$B$7:$B$1006,"&gt;="&amp;($C45-$D$5),Статистика!$B$7:$B$1006,"&lt;="&amp;($C45-1),Статистика!$C$7:$C$1006,IF($D45="","&lt;&gt;§",$D45),Статистика!$D$7:$D$1006,IF($E45="","&lt;&gt;§",$E45)))</f>
        <v/>
      </c>
      <c r="V45" s="52" t="str">
        <f aca="false">IF($C45="","",SUMIFS(Статистика!$E$7:$E$1006,Статистика!$B$7:$B$1006,"&gt;="&amp;($C45+1),Статистика!$B$7:$B$1006,"&lt;="&amp;($C45+$D$5),Статистика!$C$7:$C$1006,IF($D45="","&lt;&gt;§",$D45),Статистика!$D$7:$D$1006,IF($E45="","&lt;&gt;§",$E45)))</f>
        <v/>
      </c>
      <c r="W45" s="52" t="str">
        <f aca="false">IF($C45="","",SUMIFS(Статистика!$H$7:$H$1006,Статистика!$B$7:$B$1006,"&gt;="&amp;($C45+1),Статистика!$B$7:$B$1006,"&lt;="&amp;($C45+$D$5),Статистика!$C$7:$C$1006,IF($D45="","&lt;&gt;§",$D45),Статистика!$D$7:$D$1006,IF($E45="","&lt;&gt;§",$E45)))</f>
        <v/>
      </c>
      <c r="X45" s="52" t="str">
        <f aca="false">IF($C45="","",SUMIFS(Статистика!$T$7:$T$1006,Статистика!$B$7:$B$1006,"&gt;="&amp;($C45+1),Статистика!$B$7:$B$1006,"&lt;="&amp;($C45+$D$5),Статистика!$C$7:$C$1006,IF($D45="","&lt;&gt;§",$D45),Статистика!$D$7:$D$1006,IF($E45="","&lt;&gt;§",$E45)))</f>
        <v/>
      </c>
      <c r="Y45" s="1"/>
      <c r="Z45" s="1"/>
      <c r="AA45" s="1"/>
      <c r="AB45" s="1"/>
      <c r="AC45" s="1"/>
      <c r="AD45" s="1"/>
    </row>
    <row r="46" customFormat="false" ht="30" hidden="false" customHeight="true" outlineLevel="0" collapsed="false">
      <c r="A46" s="1"/>
      <c r="B46" s="49" t="str">
        <f aca="false">IF($C46="","",ROW()-8)</f>
        <v/>
      </c>
      <c r="C46" s="35"/>
      <c r="D46" s="8"/>
      <c r="E46" s="26"/>
      <c r="F46" s="26"/>
      <c r="G46" s="50"/>
      <c r="H46" s="50"/>
      <c r="I46" s="30" t="str">
        <f aca="false">IF($C46="","",IFERROR(S46/T46,"—"))</f>
        <v/>
      </c>
      <c r="J46" s="30" t="str">
        <f aca="false">IF($C46="","",IFERROR(V46/W46,"—"))</f>
        <v/>
      </c>
      <c r="K46" s="41" t="str">
        <f aca="false">IF($C46="","",IFERROR(J46/I46-1,""))</f>
        <v/>
      </c>
      <c r="L46" s="41" t="str">
        <f aca="false">IF($C46="","",IFERROR((U46-S46)/S46,"—"))</f>
        <v/>
      </c>
      <c r="M46" s="41" t="str">
        <f aca="false">IF($C46="","",IFERROR((X46-V46)/V46,"—"))</f>
        <v/>
      </c>
      <c r="N46" s="39" t="str">
        <f aca="false">IF($C46="","",T46/$D$5)</f>
        <v/>
      </c>
      <c r="O46" s="39" t="str">
        <f aca="false">IF($C46="","",W46/$D$5)</f>
        <v/>
      </c>
      <c r="P46" s="51" t="str">
        <f aca="false">IF($C46="","",IF(MAX(Статистика!$B$7:$B$1006)&lt;$C46+$D$5,"Чекаємо даних",IF(S46=0,"Новий (без бази)",IF(OR(T46=0,W46=0),"Мало даних",IF(K46&lt;=-$F$5,"Покращило",IF(K46&gt;=$F$5,"Погіршило","Без змін"))))))</f>
        <v/>
      </c>
      <c r="Q46" s="50"/>
      <c r="R46" s="1"/>
      <c r="S46" s="52" t="str">
        <f aca="false">IF($C46="","",SUMIFS(Статистика!$E$7:$E$1006,Статистика!$B$7:$B$1006,"&gt;="&amp;($C46-$D$5),Статистика!$B$7:$B$1006,"&lt;="&amp;($C46-1),Статистика!$C$7:$C$1006,IF($D46="","&lt;&gt;§",$D46),Статистика!$D$7:$D$1006,IF($E46="","&lt;&gt;§",$E46)))</f>
        <v/>
      </c>
      <c r="T46" s="52" t="str">
        <f aca="false">IF($C46="","",SUMIFS(Статистика!$H$7:$H$1006,Статистика!$B$7:$B$1006,"&gt;="&amp;($C46-$D$5),Статистика!$B$7:$B$1006,"&lt;="&amp;($C46-1),Статистика!$C$7:$C$1006,IF($D46="","&lt;&gt;§",$D46),Статистика!$D$7:$D$1006,IF($E46="","&lt;&gt;§",$E46)))</f>
        <v/>
      </c>
      <c r="U46" s="52" t="str">
        <f aca="false">IF($C46="","",SUMIFS(Статистика!$T$7:$T$1006,Статистика!$B$7:$B$1006,"&gt;="&amp;($C46-$D$5),Статистика!$B$7:$B$1006,"&lt;="&amp;($C46-1),Статистика!$C$7:$C$1006,IF($D46="","&lt;&gt;§",$D46),Статистика!$D$7:$D$1006,IF($E46="","&lt;&gt;§",$E46)))</f>
        <v/>
      </c>
      <c r="V46" s="52" t="str">
        <f aca="false">IF($C46="","",SUMIFS(Статистика!$E$7:$E$1006,Статистика!$B$7:$B$1006,"&gt;="&amp;($C46+1),Статистика!$B$7:$B$1006,"&lt;="&amp;($C46+$D$5),Статистика!$C$7:$C$1006,IF($D46="","&lt;&gt;§",$D46),Статистика!$D$7:$D$1006,IF($E46="","&lt;&gt;§",$E46)))</f>
        <v/>
      </c>
      <c r="W46" s="52" t="str">
        <f aca="false">IF($C46="","",SUMIFS(Статистика!$H$7:$H$1006,Статистика!$B$7:$B$1006,"&gt;="&amp;($C46+1),Статистика!$B$7:$B$1006,"&lt;="&amp;($C46+$D$5),Статистика!$C$7:$C$1006,IF($D46="","&lt;&gt;§",$D46),Статистика!$D$7:$D$1006,IF($E46="","&lt;&gt;§",$E46)))</f>
        <v/>
      </c>
      <c r="X46" s="52" t="str">
        <f aca="false">IF($C46="","",SUMIFS(Статистика!$T$7:$T$1006,Статистика!$B$7:$B$1006,"&gt;="&amp;($C46+1),Статистика!$B$7:$B$1006,"&lt;="&amp;($C46+$D$5),Статистика!$C$7:$C$1006,IF($D46="","&lt;&gt;§",$D46),Статистика!$D$7:$D$1006,IF($E46="","&lt;&gt;§",$E46)))</f>
        <v/>
      </c>
      <c r="Y46" s="1"/>
      <c r="Z46" s="1"/>
      <c r="AA46" s="1"/>
      <c r="AB46" s="1"/>
      <c r="AC46" s="1"/>
      <c r="AD46" s="1"/>
    </row>
    <row r="47" customFormat="false" ht="30" hidden="false" customHeight="true" outlineLevel="0" collapsed="false">
      <c r="A47" s="1"/>
      <c r="B47" s="49" t="str">
        <f aca="false">IF($C47="","",ROW()-8)</f>
        <v/>
      </c>
      <c r="C47" s="35"/>
      <c r="D47" s="8"/>
      <c r="E47" s="26"/>
      <c r="F47" s="26"/>
      <c r="G47" s="50"/>
      <c r="H47" s="50"/>
      <c r="I47" s="30" t="str">
        <f aca="false">IF($C47="","",IFERROR(S47/T47,"—"))</f>
        <v/>
      </c>
      <c r="J47" s="30" t="str">
        <f aca="false">IF($C47="","",IFERROR(V47/W47,"—"))</f>
        <v/>
      </c>
      <c r="K47" s="41" t="str">
        <f aca="false">IF($C47="","",IFERROR(J47/I47-1,""))</f>
        <v/>
      </c>
      <c r="L47" s="41" t="str">
        <f aca="false">IF($C47="","",IFERROR((U47-S47)/S47,"—"))</f>
        <v/>
      </c>
      <c r="M47" s="41" t="str">
        <f aca="false">IF($C47="","",IFERROR((X47-V47)/V47,"—"))</f>
        <v/>
      </c>
      <c r="N47" s="39" t="str">
        <f aca="false">IF($C47="","",T47/$D$5)</f>
        <v/>
      </c>
      <c r="O47" s="39" t="str">
        <f aca="false">IF($C47="","",W47/$D$5)</f>
        <v/>
      </c>
      <c r="P47" s="51" t="str">
        <f aca="false">IF($C47="","",IF(MAX(Статистика!$B$7:$B$1006)&lt;$C47+$D$5,"Чекаємо даних",IF(S47=0,"Новий (без бази)",IF(OR(T47=0,W47=0),"Мало даних",IF(K47&lt;=-$F$5,"Покращило",IF(K47&gt;=$F$5,"Погіршило","Без змін"))))))</f>
        <v/>
      </c>
      <c r="Q47" s="50"/>
      <c r="R47" s="1"/>
      <c r="S47" s="52" t="str">
        <f aca="false">IF($C47="","",SUMIFS(Статистика!$E$7:$E$1006,Статистика!$B$7:$B$1006,"&gt;="&amp;($C47-$D$5),Статистика!$B$7:$B$1006,"&lt;="&amp;($C47-1),Статистика!$C$7:$C$1006,IF($D47="","&lt;&gt;§",$D47),Статистика!$D$7:$D$1006,IF($E47="","&lt;&gt;§",$E47)))</f>
        <v/>
      </c>
      <c r="T47" s="52" t="str">
        <f aca="false">IF($C47="","",SUMIFS(Статистика!$H$7:$H$1006,Статистика!$B$7:$B$1006,"&gt;="&amp;($C47-$D$5),Статистика!$B$7:$B$1006,"&lt;="&amp;($C47-1),Статистика!$C$7:$C$1006,IF($D47="","&lt;&gt;§",$D47),Статистика!$D$7:$D$1006,IF($E47="","&lt;&gt;§",$E47)))</f>
        <v/>
      </c>
      <c r="U47" s="52" t="str">
        <f aca="false">IF($C47="","",SUMIFS(Статистика!$T$7:$T$1006,Статистика!$B$7:$B$1006,"&gt;="&amp;($C47-$D$5),Статистика!$B$7:$B$1006,"&lt;="&amp;($C47-1),Статистика!$C$7:$C$1006,IF($D47="","&lt;&gt;§",$D47),Статистика!$D$7:$D$1006,IF($E47="","&lt;&gt;§",$E47)))</f>
        <v/>
      </c>
      <c r="V47" s="52" t="str">
        <f aca="false">IF($C47="","",SUMIFS(Статистика!$E$7:$E$1006,Статистика!$B$7:$B$1006,"&gt;="&amp;($C47+1),Статистика!$B$7:$B$1006,"&lt;="&amp;($C47+$D$5),Статистика!$C$7:$C$1006,IF($D47="","&lt;&gt;§",$D47),Статистика!$D$7:$D$1006,IF($E47="","&lt;&gt;§",$E47)))</f>
        <v/>
      </c>
      <c r="W47" s="52" t="str">
        <f aca="false">IF($C47="","",SUMIFS(Статистика!$H$7:$H$1006,Статистика!$B$7:$B$1006,"&gt;="&amp;($C47+1),Статистика!$B$7:$B$1006,"&lt;="&amp;($C47+$D$5),Статистика!$C$7:$C$1006,IF($D47="","&lt;&gt;§",$D47),Статистика!$D$7:$D$1006,IF($E47="","&lt;&gt;§",$E47)))</f>
        <v/>
      </c>
      <c r="X47" s="52" t="str">
        <f aca="false">IF($C47="","",SUMIFS(Статистика!$T$7:$T$1006,Статистика!$B$7:$B$1006,"&gt;="&amp;($C47+1),Статистика!$B$7:$B$1006,"&lt;="&amp;($C47+$D$5),Статистика!$C$7:$C$1006,IF($D47="","&lt;&gt;§",$D47),Статистика!$D$7:$D$1006,IF($E47="","&lt;&gt;§",$E47)))</f>
        <v/>
      </c>
      <c r="Y47" s="1"/>
      <c r="Z47" s="1"/>
      <c r="AA47" s="1"/>
      <c r="AB47" s="1"/>
      <c r="AC47" s="1"/>
      <c r="AD47" s="1"/>
    </row>
    <row r="48" customFormat="false" ht="30" hidden="false" customHeight="true" outlineLevel="0" collapsed="false">
      <c r="A48" s="1"/>
      <c r="B48" s="49" t="str">
        <f aca="false">IF($C48="","",ROW()-8)</f>
        <v/>
      </c>
      <c r="C48" s="35"/>
      <c r="D48" s="8"/>
      <c r="E48" s="26"/>
      <c r="F48" s="26"/>
      <c r="G48" s="50"/>
      <c r="H48" s="50"/>
      <c r="I48" s="30" t="str">
        <f aca="false">IF($C48="","",IFERROR(S48/T48,"—"))</f>
        <v/>
      </c>
      <c r="J48" s="30" t="str">
        <f aca="false">IF($C48="","",IFERROR(V48/W48,"—"))</f>
        <v/>
      </c>
      <c r="K48" s="41" t="str">
        <f aca="false">IF($C48="","",IFERROR(J48/I48-1,""))</f>
        <v/>
      </c>
      <c r="L48" s="41" t="str">
        <f aca="false">IF($C48="","",IFERROR((U48-S48)/S48,"—"))</f>
        <v/>
      </c>
      <c r="M48" s="41" t="str">
        <f aca="false">IF($C48="","",IFERROR((X48-V48)/V48,"—"))</f>
        <v/>
      </c>
      <c r="N48" s="39" t="str">
        <f aca="false">IF($C48="","",T48/$D$5)</f>
        <v/>
      </c>
      <c r="O48" s="39" t="str">
        <f aca="false">IF($C48="","",W48/$D$5)</f>
        <v/>
      </c>
      <c r="P48" s="51" t="str">
        <f aca="false">IF($C48="","",IF(MAX(Статистика!$B$7:$B$1006)&lt;$C48+$D$5,"Чекаємо даних",IF(S48=0,"Новий (без бази)",IF(OR(T48=0,W48=0),"Мало даних",IF(K48&lt;=-$F$5,"Покращило",IF(K48&gt;=$F$5,"Погіршило","Без змін"))))))</f>
        <v/>
      </c>
      <c r="Q48" s="50"/>
      <c r="R48" s="1"/>
      <c r="S48" s="52" t="str">
        <f aca="false">IF($C48="","",SUMIFS(Статистика!$E$7:$E$1006,Статистика!$B$7:$B$1006,"&gt;="&amp;($C48-$D$5),Статистика!$B$7:$B$1006,"&lt;="&amp;($C48-1),Статистика!$C$7:$C$1006,IF($D48="","&lt;&gt;§",$D48),Статистика!$D$7:$D$1006,IF($E48="","&lt;&gt;§",$E48)))</f>
        <v/>
      </c>
      <c r="T48" s="52" t="str">
        <f aca="false">IF($C48="","",SUMIFS(Статистика!$H$7:$H$1006,Статистика!$B$7:$B$1006,"&gt;="&amp;($C48-$D$5),Статистика!$B$7:$B$1006,"&lt;="&amp;($C48-1),Статистика!$C$7:$C$1006,IF($D48="","&lt;&gt;§",$D48),Статистика!$D$7:$D$1006,IF($E48="","&lt;&gt;§",$E48)))</f>
        <v/>
      </c>
      <c r="U48" s="52" t="str">
        <f aca="false">IF($C48="","",SUMIFS(Статистика!$T$7:$T$1006,Статистика!$B$7:$B$1006,"&gt;="&amp;($C48-$D$5),Статистика!$B$7:$B$1006,"&lt;="&amp;($C48-1),Статистика!$C$7:$C$1006,IF($D48="","&lt;&gt;§",$D48),Статистика!$D$7:$D$1006,IF($E48="","&lt;&gt;§",$E48)))</f>
        <v/>
      </c>
      <c r="V48" s="52" t="str">
        <f aca="false">IF($C48="","",SUMIFS(Статистика!$E$7:$E$1006,Статистика!$B$7:$B$1006,"&gt;="&amp;($C48+1),Статистика!$B$7:$B$1006,"&lt;="&amp;($C48+$D$5),Статистика!$C$7:$C$1006,IF($D48="","&lt;&gt;§",$D48),Статистика!$D$7:$D$1006,IF($E48="","&lt;&gt;§",$E48)))</f>
        <v/>
      </c>
      <c r="W48" s="52" t="str">
        <f aca="false">IF($C48="","",SUMIFS(Статистика!$H$7:$H$1006,Статистика!$B$7:$B$1006,"&gt;="&amp;($C48+1),Статистика!$B$7:$B$1006,"&lt;="&amp;($C48+$D$5),Статистика!$C$7:$C$1006,IF($D48="","&lt;&gt;§",$D48),Статистика!$D$7:$D$1006,IF($E48="","&lt;&gt;§",$E48)))</f>
        <v/>
      </c>
      <c r="X48" s="52" t="str">
        <f aca="false">IF($C48="","",SUMIFS(Статистика!$T$7:$T$1006,Статистика!$B$7:$B$1006,"&gt;="&amp;($C48+1),Статистика!$B$7:$B$1006,"&lt;="&amp;($C48+$D$5),Статистика!$C$7:$C$1006,IF($D48="","&lt;&gt;§",$D48),Статистика!$D$7:$D$1006,IF($E48="","&lt;&gt;§",$E48)))</f>
        <v/>
      </c>
      <c r="Y48" s="1"/>
      <c r="Z48" s="1"/>
      <c r="AA48" s="1"/>
      <c r="AB48" s="1"/>
      <c r="AC48" s="1"/>
      <c r="AD48" s="1"/>
    </row>
    <row r="49" customFormat="false" ht="30" hidden="false" customHeight="true" outlineLevel="0" collapsed="false">
      <c r="A49" s="1"/>
      <c r="B49" s="49" t="str">
        <f aca="false">IF($C49="","",ROW()-8)</f>
        <v/>
      </c>
      <c r="C49" s="35"/>
      <c r="D49" s="8"/>
      <c r="E49" s="26"/>
      <c r="F49" s="26"/>
      <c r="G49" s="50"/>
      <c r="H49" s="50"/>
      <c r="I49" s="30" t="str">
        <f aca="false">IF($C49="","",IFERROR(S49/T49,"—"))</f>
        <v/>
      </c>
      <c r="J49" s="30" t="str">
        <f aca="false">IF($C49="","",IFERROR(V49/W49,"—"))</f>
        <v/>
      </c>
      <c r="K49" s="41" t="str">
        <f aca="false">IF($C49="","",IFERROR(J49/I49-1,""))</f>
        <v/>
      </c>
      <c r="L49" s="41" t="str">
        <f aca="false">IF($C49="","",IFERROR((U49-S49)/S49,"—"))</f>
        <v/>
      </c>
      <c r="M49" s="41" t="str">
        <f aca="false">IF($C49="","",IFERROR((X49-V49)/V49,"—"))</f>
        <v/>
      </c>
      <c r="N49" s="39" t="str">
        <f aca="false">IF($C49="","",T49/$D$5)</f>
        <v/>
      </c>
      <c r="O49" s="39" t="str">
        <f aca="false">IF($C49="","",W49/$D$5)</f>
        <v/>
      </c>
      <c r="P49" s="51" t="str">
        <f aca="false">IF($C49="","",IF(MAX(Статистика!$B$7:$B$1006)&lt;$C49+$D$5,"Чекаємо даних",IF(S49=0,"Новий (без бази)",IF(OR(T49=0,W49=0),"Мало даних",IF(K49&lt;=-$F$5,"Покращило",IF(K49&gt;=$F$5,"Погіршило","Без змін"))))))</f>
        <v/>
      </c>
      <c r="Q49" s="50"/>
      <c r="R49" s="1"/>
      <c r="S49" s="52" t="str">
        <f aca="false">IF($C49="","",SUMIFS(Статистика!$E$7:$E$1006,Статистика!$B$7:$B$1006,"&gt;="&amp;($C49-$D$5),Статистика!$B$7:$B$1006,"&lt;="&amp;($C49-1),Статистика!$C$7:$C$1006,IF($D49="","&lt;&gt;§",$D49),Статистика!$D$7:$D$1006,IF($E49="","&lt;&gt;§",$E49)))</f>
        <v/>
      </c>
      <c r="T49" s="52" t="str">
        <f aca="false">IF($C49="","",SUMIFS(Статистика!$H$7:$H$1006,Статистика!$B$7:$B$1006,"&gt;="&amp;($C49-$D$5),Статистика!$B$7:$B$1006,"&lt;="&amp;($C49-1),Статистика!$C$7:$C$1006,IF($D49="","&lt;&gt;§",$D49),Статистика!$D$7:$D$1006,IF($E49="","&lt;&gt;§",$E49)))</f>
        <v/>
      </c>
      <c r="U49" s="52" t="str">
        <f aca="false">IF($C49="","",SUMIFS(Статистика!$T$7:$T$1006,Статистика!$B$7:$B$1006,"&gt;="&amp;($C49-$D$5),Статистика!$B$7:$B$1006,"&lt;="&amp;($C49-1),Статистика!$C$7:$C$1006,IF($D49="","&lt;&gt;§",$D49),Статистика!$D$7:$D$1006,IF($E49="","&lt;&gt;§",$E49)))</f>
        <v/>
      </c>
      <c r="V49" s="52" t="str">
        <f aca="false">IF($C49="","",SUMIFS(Статистика!$E$7:$E$1006,Статистика!$B$7:$B$1006,"&gt;="&amp;($C49+1),Статистика!$B$7:$B$1006,"&lt;="&amp;($C49+$D$5),Статистика!$C$7:$C$1006,IF($D49="","&lt;&gt;§",$D49),Статистика!$D$7:$D$1006,IF($E49="","&lt;&gt;§",$E49)))</f>
        <v/>
      </c>
      <c r="W49" s="52" t="str">
        <f aca="false">IF($C49="","",SUMIFS(Статистика!$H$7:$H$1006,Статистика!$B$7:$B$1006,"&gt;="&amp;($C49+1),Статистика!$B$7:$B$1006,"&lt;="&amp;($C49+$D$5),Статистика!$C$7:$C$1006,IF($D49="","&lt;&gt;§",$D49),Статистика!$D$7:$D$1006,IF($E49="","&lt;&gt;§",$E49)))</f>
        <v/>
      </c>
      <c r="X49" s="52" t="str">
        <f aca="false">IF($C49="","",SUMIFS(Статистика!$T$7:$T$1006,Статистика!$B$7:$B$1006,"&gt;="&amp;($C49+1),Статистика!$B$7:$B$1006,"&lt;="&amp;($C49+$D$5),Статистика!$C$7:$C$1006,IF($D49="","&lt;&gt;§",$D49),Статистика!$D$7:$D$1006,IF($E49="","&lt;&gt;§",$E49)))</f>
        <v/>
      </c>
      <c r="Y49" s="1"/>
      <c r="Z49" s="1"/>
      <c r="AA49" s="1"/>
      <c r="AB49" s="1"/>
      <c r="AC49" s="1"/>
      <c r="AD49" s="1"/>
    </row>
    <row r="50" customFormat="false" ht="30" hidden="false" customHeight="true" outlineLevel="0" collapsed="false">
      <c r="A50" s="1"/>
      <c r="B50" s="49" t="str">
        <f aca="false">IF($C50="","",ROW()-8)</f>
        <v/>
      </c>
      <c r="C50" s="35"/>
      <c r="D50" s="8"/>
      <c r="E50" s="26"/>
      <c r="F50" s="26"/>
      <c r="G50" s="50"/>
      <c r="H50" s="50"/>
      <c r="I50" s="30" t="str">
        <f aca="false">IF($C50="","",IFERROR(S50/T50,"—"))</f>
        <v/>
      </c>
      <c r="J50" s="30" t="str">
        <f aca="false">IF($C50="","",IFERROR(V50/W50,"—"))</f>
        <v/>
      </c>
      <c r="K50" s="41" t="str">
        <f aca="false">IF($C50="","",IFERROR(J50/I50-1,""))</f>
        <v/>
      </c>
      <c r="L50" s="41" t="str">
        <f aca="false">IF($C50="","",IFERROR((U50-S50)/S50,"—"))</f>
        <v/>
      </c>
      <c r="M50" s="41" t="str">
        <f aca="false">IF($C50="","",IFERROR((X50-V50)/V50,"—"))</f>
        <v/>
      </c>
      <c r="N50" s="39" t="str">
        <f aca="false">IF($C50="","",T50/$D$5)</f>
        <v/>
      </c>
      <c r="O50" s="39" t="str">
        <f aca="false">IF($C50="","",W50/$D$5)</f>
        <v/>
      </c>
      <c r="P50" s="51" t="str">
        <f aca="false">IF($C50="","",IF(MAX(Статистика!$B$7:$B$1006)&lt;$C50+$D$5,"Чекаємо даних",IF(S50=0,"Новий (без бази)",IF(OR(T50=0,W50=0),"Мало даних",IF(K50&lt;=-$F$5,"Покращило",IF(K50&gt;=$F$5,"Погіршило","Без змін"))))))</f>
        <v/>
      </c>
      <c r="Q50" s="50"/>
      <c r="R50" s="1"/>
      <c r="S50" s="52" t="str">
        <f aca="false">IF($C50="","",SUMIFS(Статистика!$E$7:$E$1006,Статистика!$B$7:$B$1006,"&gt;="&amp;($C50-$D$5),Статистика!$B$7:$B$1006,"&lt;="&amp;($C50-1),Статистика!$C$7:$C$1006,IF($D50="","&lt;&gt;§",$D50),Статистика!$D$7:$D$1006,IF($E50="","&lt;&gt;§",$E50)))</f>
        <v/>
      </c>
      <c r="T50" s="52" t="str">
        <f aca="false">IF($C50="","",SUMIFS(Статистика!$H$7:$H$1006,Статистика!$B$7:$B$1006,"&gt;="&amp;($C50-$D$5),Статистика!$B$7:$B$1006,"&lt;="&amp;($C50-1),Статистика!$C$7:$C$1006,IF($D50="","&lt;&gt;§",$D50),Статистика!$D$7:$D$1006,IF($E50="","&lt;&gt;§",$E50)))</f>
        <v/>
      </c>
      <c r="U50" s="52" t="str">
        <f aca="false">IF($C50="","",SUMIFS(Статистика!$T$7:$T$1006,Статистика!$B$7:$B$1006,"&gt;="&amp;($C50-$D$5),Статистика!$B$7:$B$1006,"&lt;="&amp;($C50-1),Статистика!$C$7:$C$1006,IF($D50="","&lt;&gt;§",$D50),Статистика!$D$7:$D$1006,IF($E50="","&lt;&gt;§",$E50)))</f>
        <v/>
      </c>
      <c r="V50" s="52" t="str">
        <f aca="false">IF($C50="","",SUMIFS(Статистика!$E$7:$E$1006,Статистика!$B$7:$B$1006,"&gt;="&amp;($C50+1),Статистика!$B$7:$B$1006,"&lt;="&amp;($C50+$D$5),Статистика!$C$7:$C$1006,IF($D50="","&lt;&gt;§",$D50),Статистика!$D$7:$D$1006,IF($E50="","&lt;&gt;§",$E50)))</f>
        <v/>
      </c>
      <c r="W50" s="52" t="str">
        <f aca="false">IF($C50="","",SUMIFS(Статистика!$H$7:$H$1006,Статистика!$B$7:$B$1006,"&gt;="&amp;($C50+1),Статистика!$B$7:$B$1006,"&lt;="&amp;($C50+$D$5),Статистика!$C$7:$C$1006,IF($D50="","&lt;&gt;§",$D50),Статистика!$D$7:$D$1006,IF($E50="","&lt;&gt;§",$E50)))</f>
        <v/>
      </c>
      <c r="X50" s="52" t="str">
        <f aca="false">IF($C50="","",SUMIFS(Статистика!$T$7:$T$1006,Статистика!$B$7:$B$1006,"&gt;="&amp;($C50+1),Статистика!$B$7:$B$1006,"&lt;="&amp;($C50+$D$5),Статистика!$C$7:$C$1006,IF($D50="","&lt;&gt;§",$D50),Статистика!$D$7:$D$1006,IF($E50="","&lt;&gt;§",$E50)))</f>
        <v/>
      </c>
      <c r="Y50" s="1"/>
      <c r="Z50" s="1"/>
      <c r="AA50" s="1"/>
      <c r="AB50" s="1"/>
      <c r="AC50" s="1"/>
      <c r="AD50" s="1"/>
    </row>
    <row r="51" customFormat="false" ht="30" hidden="false" customHeight="true" outlineLevel="0" collapsed="false">
      <c r="A51" s="1"/>
      <c r="B51" s="49" t="str">
        <f aca="false">IF($C51="","",ROW()-8)</f>
        <v/>
      </c>
      <c r="C51" s="35"/>
      <c r="D51" s="8"/>
      <c r="E51" s="26"/>
      <c r="F51" s="26"/>
      <c r="G51" s="50"/>
      <c r="H51" s="50"/>
      <c r="I51" s="30" t="str">
        <f aca="false">IF($C51="","",IFERROR(S51/T51,"—"))</f>
        <v/>
      </c>
      <c r="J51" s="30" t="str">
        <f aca="false">IF($C51="","",IFERROR(V51/W51,"—"))</f>
        <v/>
      </c>
      <c r="K51" s="41" t="str">
        <f aca="false">IF($C51="","",IFERROR(J51/I51-1,""))</f>
        <v/>
      </c>
      <c r="L51" s="41" t="str">
        <f aca="false">IF($C51="","",IFERROR((U51-S51)/S51,"—"))</f>
        <v/>
      </c>
      <c r="M51" s="41" t="str">
        <f aca="false">IF($C51="","",IFERROR((X51-V51)/V51,"—"))</f>
        <v/>
      </c>
      <c r="N51" s="39" t="str">
        <f aca="false">IF($C51="","",T51/$D$5)</f>
        <v/>
      </c>
      <c r="O51" s="39" t="str">
        <f aca="false">IF($C51="","",W51/$D$5)</f>
        <v/>
      </c>
      <c r="P51" s="51" t="str">
        <f aca="false">IF($C51="","",IF(MAX(Статистика!$B$7:$B$1006)&lt;$C51+$D$5,"Чекаємо даних",IF(S51=0,"Новий (без бази)",IF(OR(T51=0,W51=0),"Мало даних",IF(K51&lt;=-$F$5,"Покращило",IF(K51&gt;=$F$5,"Погіршило","Без змін"))))))</f>
        <v/>
      </c>
      <c r="Q51" s="50"/>
      <c r="R51" s="1"/>
      <c r="S51" s="52" t="str">
        <f aca="false">IF($C51="","",SUMIFS(Статистика!$E$7:$E$1006,Статистика!$B$7:$B$1006,"&gt;="&amp;($C51-$D$5),Статистика!$B$7:$B$1006,"&lt;="&amp;($C51-1),Статистика!$C$7:$C$1006,IF($D51="","&lt;&gt;§",$D51),Статистика!$D$7:$D$1006,IF($E51="","&lt;&gt;§",$E51)))</f>
        <v/>
      </c>
      <c r="T51" s="52" t="str">
        <f aca="false">IF($C51="","",SUMIFS(Статистика!$H$7:$H$1006,Статистика!$B$7:$B$1006,"&gt;="&amp;($C51-$D$5),Статистика!$B$7:$B$1006,"&lt;="&amp;($C51-1),Статистика!$C$7:$C$1006,IF($D51="","&lt;&gt;§",$D51),Статистика!$D$7:$D$1006,IF($E51="","&lt;&gt;§",$E51)))</f>
        <v/>
      </c>
      <c r="U51" s="52" t="str">
        <f aca="false">IF($C51="","",SUMIFS(Статистика!$T$7:$T$1006,Статистика!$B$7:$B$1006,"&gt;="&amp;($C51-$D$5),Статистика!$B$7:$B$1006,"&lt;="&amp;($C51-1),Статистика!$C$7:$C$1006,IF($D51="","&lt;&gt;§",$D51),Статистика!$D$7:$D$1006,IF($E51="","&lt;&gt;§",$E51)))</f>
        <v/>
      </c>
      <c r="V51" s="52" t="str">
        <f aca="false">IF($C51="","",SUMIFS(Статистика!$E$7:$E$1006,Статистика!$B$7:$B$1006,"&gt;="&amp;($C51+1),Статистика!$B$7:$B$1006,"&lt;="&amp;($C51+$D$5),Статистика!$C$7:$C$1006,IF($D51="","&lt;&gt;§",$D51),Статистика!$D$7:$D$1006,IF($E51="","&lt;&gt;§",$E51)))</f>
        <v/>
      </c>
      <c r="W51" s="52" t="str">
        <f aca="false">IF($C51="","",SUMIFS(Статистика!$H$7:$H$1006,Статистика!$B$7:$B$1006,"&gt;="&amp;($C51+1),Статистика!$B$7:$B$1006,"&lt;="&amp;($C51+$D$5),Статистика!$C$7:$C$1006,IF($D51="","&lt;&gt;§",$D51),Статистика!$D$7:$D$1006,IF($E51="","&lt;&gt;§",$E51)))</f>
        <v/>
      </c>
      <c r="X51" s="52" t="str">
        <f aca="false">IF($C51="","",SUMIFS(Статистика!$T$7:$T$1006,Статистика!$B$7:$B$1006,"&gt;="&amp;($C51+1),Статистика!$B$7:$B$1006,"&lt;="&amp;($C51+$D$5),Статистика!$C$7:$C$1006,IF($D51="","&lt;&gt;§",$D51),Статистика!$D$7:$D$1006,IF($E51="","&lt;&gt;§",$E51)))</f>
        <v/>
      </c>
      <c r="Y51" s="1"/>
      <c r="Z51" s="1"/>
      <c r="AA51" s="1"/>
      <c r="AB51" s="1"/>
      <c r="AC51" s="1"/>
      <c r="AD51" s="1"/>
    </row>
    <row r="52" customFormat="false" ht="30" hidden="false" customHeight="true" outlineLevel="0" collapsed="false">
      <c r="A52" s="1"/>
      <c r="B52" s="49" t="str">
        <f aca="false">IF($C52="","",ROW()-8)</f>
        <v/>
      </c>
      <c r="C52" s="35"/>
      <c r="D52" s="8"/>
      <c r="E52" s="26"/>
      <c r="F52" s="26"/>
      <c r="G52" s="50"/>
      <c r="H52" s="50"/>
      <c r="I52" s="30" t="str">
        <f aca="false">IF($C52="","",IFERROR(S52/T52,"—"))</f>
        <v/>
      </c>
      <c r="J52" s="30" t="str">
        <f aca="false">IF($C52="","",IFERROR(V52/W52,"—"))</f>
        <v/>
      </c>
      <c r="K52" s="41" t="str">
        <f aca="false">IF($C52="","",IFERROR(J52/I52-1,""))</f>
        <v/>
      </c>
      <c r="L52" s="41" t="str">
        <f aca="false">IF($C52="","",IFERROR((U52-S52)/S52,"—"))</f>
        <v/>
      </c>
      <c r="M52" s="41" t="str">
        <f aca="false">IF($C52="","",IFERROR((X52-V52)/V52,"—"))</f>
        <v/>
      </c>
      <c r="N52" s="39" t="str">
        <f aca="false">IF($C52="","",T52/$D$5)</f>
        <v/>
      </c>
      <c r="O52" s="39" t="str">
        <f aca="false">IF($C52="","",W52/$D$5)</f>
        <v/>
      </c>
      <c r="P52" s="51" t="str">
        <f aca="false">IF($C52="","",IF(MAX(Статистика!$B$7:$B$1006)&lt;$C52+$D$5,"Чекаємо даних",IF(S52=0,"Новий (без бази)",IF(OR(T52=0,W52=0),"Мало даних",IF(K52&lt;=-$F$5,"Покращило",IF(K52&gt;=$F$5,"Погіршило","Без змін"))))))</f>
        <v/>
      </c>
      <c r="Q52" s="50"/>
      <c r="R52" s="1"/>
      <c r="S52" s="52" t="str">
        <f aca="false">IF($C52="","",SUMIFS(Статистика!$E$7:$E$1006,Статистика!$B$7:$B$1006,"&gt;="&amp;($C52-$D$5),Статистика!$B$7:$B$1006,"&lt;="&amp;($C52-1),Статистика!$C$7:$C$1006,IF($D52="","&lt;&gt;§",$D52),Статистика!$D$7:$D$1006,IF($E52="","&lt;&gt;§",$E52)))</f>
        <v/>
      </c>
      <c r="T52" s="52" t="str">
        <f aca="false">IF($C52="","",SUMIFS(Статистика!$H$7:$H$1006,Статистика!$B$7:$B$1006,"&gt;="&amp;($C52-$D$5),Статистика!$B$7:$B$1006,"&lt;="&amp;($C52-1),Статистика!$C$7:$C$1006,IF($D52="","&lt;&gt;§",$D52),Статистика!$D$7:$D$1006,IF($E52="","&lt;&gt;§",$E52)))</f>
        <v/>
      </c>
      <c r="U52" s="52" t="str">
        <f aca="false">IF($C52="","",SUMIFS(Статистика!$T$7:$T$1006,Статистика!$B$7:$B$1006,"&gt;="&amp;($C52-$D$5),Статистика!$B$7:$B$1006,"&lt;="&amp;($C52-1),Статистика!$C$7:$C$1006,IF($D52="","&lt;&gt;§",$D52),Статистика!$D$7:$D$1006,IF($E52="","&lt;&gt;§",$E52)))</f>
        <v/>
      </c>
      <c r="V52" s="52" t="str">
        <f aca="false">IF($C52="","",SUMIFS(Статистика!$E$7:$E$1006,Статистика!$B$7:$B$1006,"&gt;="&amp;($C52+1),Статистика!$B$7:$B$1006,"&lt;="&amp;($C52+$D$5),Статистика!$C$7:$C$1006,IF($D52="","&lt;&gt;§",$D52),Статистика!$D$7:$D$1006,IF($E52="","&lt;&gt;§",$E52)))</f>
        <v/>
      </c>
      <c r="W52" s="52" t="str">
        <f aca="false">IF($C52="","",SUMIFS(Статистика!$H$7:$H$1006,Статистика!$B$7:$B$1006,"&gt;="&amp;($C52+1),Статистика!$B$7:$B$1006,"&lt;="&amp;($C52+$D$5),Статистика!$C$7:$C$1006,IF($D52="","&lt;&gt;§",$D52),Статистика!$D$7:$D$1006,IF($E52="","&lt;&gt;§",$E52)))</f>
        <v/>
      </c>
      <c r="X52" s="52" t="str">
        <f aca="false">IF($C52="","",SUMIFS(Статистика!$T$7:$T$1006,Статистика!$B$7:$B$1006,"&gt;="&amp;($C52+1),Статистика!$B$7:$B$1006,"&lt;="&amp;($C52+$D$5),Статистика!$C$7:$C$1006,IF($D52="","&lt;&gt;§",$D52),Статистика!$D$7:$D$1006,IF($E52="","&lt;&gt;§",$E52)))</f>
        <v/>
      </c>
      <c r="Y52" s="1"/>
      <c r="Z52" s="1"/>
      <c r="AA52" s="1"/>
      <c r="AB52" s="1"/>
      <c r="AC52" s="1"/>
      <c r="AD52" s="1"/>
    </row>
    <row r="53" customFormat="false" ht="30" hidden="false" customHeight="true" outlineLevel="0" collapsed="false">
      <c r="A53" s="1"/>
      <c r="B53" s="49" t="str">
        <f aca="false">IF($C53="","",ROW()-8)</f>
        <v/>
      </c>
      <c r="C53" s="35"/>
      <c r="D53" s="8"/>
      <c r="E53" s="26"/>
      <c r="F53" s="26"/>
      <c r="G53" s="50"/>
      <c r="H53" s="50"/>
      <c r="I53" s="30" t="str">
        <f aca="false">IF($C53="","",IFERROR(S53/T53,"—"))</f>
        <v/>
      </c>
      <c r="J53" s="30" t="str">
        <f aca="false">IF($C53="","",IFERROR(V53/W53,"—"))</f>
        <v/>
      </c>
      <c r="K53" s="41" t="str">
        <f aca="false">IF($C53="","",IFERROR(J53/I53-1,""))</f>
        <v/>
      </c>
      <c r="L53" s="41" t="str">
        <f aca="false">IF($C53="","",IFERROR((U53-S53)/S53,"—"))</f>
        <v/>
      </c>
      <c r="M53" s="41" t="str">
        <f aca="false">IF($C53="","",IFERROR((X53-V53)/V53,"—"))</f>
        <v/>
      </c>
      <c r="N53" s="39" t="str">
        <f aca="false">IF($C53="","",T53/$D$5)</f>
        <v/>
      </c>
      <c r="O53" s="39" t="str">
        <f aca="false">IF($C53="","",W53/$D$5)</f>
        <v/>
      </c>
      <c r="P53" s="51" t="str">
        <f aca="false">IF($C53="","",IF(MAX(Статистика!$B$7:$B$1006)&lt;$C53+$D$5,"Чекаємо даних",IF(S53=0,"Новий (без бази)",IF(OR(T53=0,W53=0),"Мало даних",IF(K53&lt;=-$F$5,"Покращило",IF(K53&gt;=$F$5,"Погіршило","Без змін"))))))</f>
        <v/>
      </c>
      <c r="Q53" s="50"/>
      <c r="R53" s="1"/>
      <c r="S53" s="52" t="str">
        <f aca="false">IF($C53="","",SUMIFS(Статистика!$E$7:$E$1006,Статистика!$B$7:$B$1006,"&gt;="&amp;($C53-$D$5),Статистика!$B$7:$B$1006,"&lt;="&amp;($C53-1),Статистика!$C$7:$C$1006,IF($D53="","&lt;&gt;§",$D53),Статистика!$D$7:$D$1006,IF($E53="","&lt;&gt;§",$E53)))</f>
        <v/>
      </c>
      <c r="T53" s="52" t="str">
        <f aca="false">IF($C53="","",SUMIFS(Статистика!$H$7:$H$1006,Статистика!$B$7:$B$1006,"&gt;="&amp;($C53-$D$5),Статистика!$B$7:$B$1006,"&lt;="&amp;($C53-1),Статистика!$C$7:$C$1006,IF($D53="","&lt;&gt;§",$D53),Статистика!$D$7:$D$1006,IF($E53="","&lt;&gt;§",$E53)))</f>
        <v/>
      </c>
      <c r="U53" s="52" t="str">
        <f aca="false">IF($C53="","",SUMIFS(Статистика!$T$7:$T$1006,Статистика!$B$7:$B$1006,"&gt;="&amp;($C53-$D$5),Статистика!$B$7:$B$1006,"&lt;="&amp;($C53-1),Статистика!$C$7:$C$1006,IF($D53="","&lt;&gt;§",$D53),Статистика!$D$7:$D$1006,IF($E53="","&lt;&gt;§",$E53)))</f>
        <v/>
      </c>
      <c r="V53" s="52" t="str">
        <f aca="false">IF($C53="","",SUMIFS(Статистика!$E$7:$E$1006,Статистика!$B$7:$B$1006,"&gt;="&amp;($C53+1),Статистика!$B$7:$B$1006,"&lt;="&amp;($C53+$D$5),Статистика!$C$7:$C$1006,IF($D53="","&lt;&gt;§",$D53),Статистика!$D$7:$D$1006,IF($E53="","&lt;&gt;§",$E53)))</f>
        <v/>
      </c>
      <c r="W53" s="52" t="str">
        <f aca="false">IF($C53="","",SUMIFS(Статистика!$H$7:$H$1006,Статистика!$B$7:$B$1006,"&gt;="&amp;($C53+1),Статистика!$B$7:$B$1006,"&lt;="&amp;($C53+$D$5),Статистика!$C$7:$C$1006,IF($D53="","&lt;&gt;§",$D53),Статистика!$D$7:$D$1006,IF($E53="","&lt;&gt;§",$E53)))</f>
        <v/>
      </c>
      <c r="X53" s="52" t="str">
        <f aca="false">IF($C53="","",SUMIFS(Статистика!$T$7:$T$1006,Статистика!$B$7:$B$1006,"&gt;="&amp;($C53+1),Статистика!$B$7:$B$1006,"&lt;="&amp;($C53+$D$5),Статистика!$C$7:$C$1006,IF($D53="","&lt;&gt;§",$D53),Статистика!$D$7:$D$1006,IF($E53="","&lt;&gt;§",$E53)))</f>
        <v/>
      </c>
      <c r="Y53" s="1"/>
      <c r="Z53" s="1"/>
      <c r="AA53" s="1"/>
      <c r="AB53" s="1"/>
      <c r="AC53" s="1"/>
      <c r="AD53" s="1"/>
    </row>
    <row r="54" customFormat="false" ht="30" hidden="false" customHeight="true" outlineLevel="0" collapsed="false">
      <c r="A54" s="1"/>
      <c r="B54" s="49" t="str">
        <f aca="false">IF($C54="","",ROW()-8)</f>
        <v/>
      </c>
      <c r="C54" s="35"/>
      <c r="D54" s="8"/>
      <c r="E54" s="26"/>
      <c r="F54" s="26"/>
      <c r="G54" s="50"/>
      <c r="H54" s="50"/>
      <c r="I54" s="30" t="str">
        <f aca="false">IF($C54="","",IFERROR(S54/T54,"—"))</f>
        <v/>
      </c>
      <c r="J54" s="30" t="str">
        <f aca="false">IF($C54="","",IFERROR(V54/W54,"—"))</f>
        <v/>
      </c>
      <c r="K54" s="41" t="str">
        <f aca="false">IF($C54="","",IFERROR(J54/I54-1,""))</f>
        <v/>
      </c>
      <c r="L54" s="41" t="str">
        <f aca="false">IF($C54="","",IFERROR((U54-S54)/S54,"—"))</f>
        <v/>
      </c>
      <c r="M54" s="41" t="str">
        <f aca="false">IF($C54="","",IFERROR((X54-V54)/V54,"—"))</f>
        <v/>
      </c>
      <c r="N54" s="39" t="str">
        <f aca="false">IF($C54="","",T54/$D$5)</f>
        <v/>
      </c>
      <c r="O54" s="39" t="str">
        <f aca="false">IF($C54="","",W54/$D$5)</f>
        <v/>
      </c>
      <c r="P54" s="51" t="str">
        <f aca="false">IF($C54="","",IF(MAX(Статистика!$B$7:$B$1006)&lt;$C54+$D$5,"Чекаємо даних",IF(S54=0,"Новий (без бази)",IF(OR(T54=0,W54=0),"Мало даних",IF(K54&lt;=-$F$5,"Покращило",IF(K54&gt;=$F$5,"Погіршило","Без змін"))))))</f>
        <v/>
      </c>
      <c r="Q54" s="50"/>
      <c r="R54" s="1"/>
      <c r="S54" s="52" t="str">
        <f aca="false">IF($C54="","",SUMIFS(Статистика!$E$7:$E$1006,Статистика!$B$7:$B$1006,"&gt;="&amp;($C54-$D$5),Статистика!$B$7:$B$1006,"&lt;="&amp;($C54-1),Статистика!$C$7:$C$1006,IF($D54="","&lt;&gt;§",$D54),Статистика!$D$7:$D$1006,IF($E54="","&lt;&gt;§",$E54)))</f>
        <v/>
      </c>
      <c r="T54" s="52" t="str">
        <f aca="false">IF($C54="","",SUMIFS(Статистика!$H$7:$H$1006,Статистика!$B$7:$B$1006,"&gt;="&amp;($C54-$D$5),Статистика!$B$7:$B$1006,"&lt;="&amp;($C54-1),Статистика!$C$7:$C$1006,IF($D54="","&lt;&gt;§",$D54),Статистика!$D$7:$D$1006,IF($E54="","&lt;&gt;§",$E54)))</f>
        <v/>
      </c>
      <c r="U54" s="52" t="str">
        <f aca="false">IF($C54="","",SUMIFS(Статистика!$T$7:$T$1006,Статистика!$B$7:$B$1006,"&gt;="&amp;($C54-$D$5),Статистика!$B$7:$B$1006,"&lt;="&amp;($C54-1),Статистика!$C$7:$C$1006,IF($D54="","&lt;&gt;§",$D54),Статистика!$D$7:$D$1006,IF($E54="","&lt;&gt;§",$E54)))</f>
        <v/>
      </c>
      <c r="V54" s="52" t="str">
        <f aca="false">IF($C54="","",SUMIFS(Статистика!$E$7:$E$1006,Статистика!$B$7:$B$1006,"&gt;="&amp;($C54+1),Статистика!$B$7:$B$1006,"&lt;="&amp;($C54+$D$5),Статистика!$C$7:$C$1006,IF($D54="","&lt;&gt;§",$D54),Статистика!$D$7:$D$1006,IF($E54="","&lt;&gt;§",$E54)))</f>
        <v/>
      </c>
      <c r="W54" s="52" t="str">
        <f aca="false">IF($C54="","",SUMIFS(Статистика!$H$7:$H$1006,Статистика!$B$7:$B$1006,"&gt;="&amp;($C54+1),Статистика!$B$7:$B$1006,"&lt;="&amp;($C54+$D$5),Статистика!$C$7:$C$1006,IF($D54="","&lt;&gt;§",$D54),Статистика!$D$7:$D$1006,IF($E54="","&lt;&gt;§",$E54)))</f>
        <v/>
      </c>
      <c r="X54" s="52" t="str">
        <f aca="false">IF($C54="","",SUMIFS(Статистика!$T$7:$T$1006,Статистика!$B$7:$B$1006,"&gt;="&amp;($C54+1),Статистика!$B$7:$B$1006,"&lt;="&amp;($C54+$D$5),Статистика!$C$7:$C$1006,IF($D54="","&lt;&gt;§",$D54),Статистика!$D$7:$D$1006,IF($E54="","&lt;&gt;§",$E54)))</f>
        <v/>
      </c>
      <c r="Y54" s="1"/>
      <c r="Z54" s="1"/>
      <c r="AA54" s="1"/>
      <c r="AB54" s="1"/>
      <c r="AC54" s="1"/>
      <c r="AD54" s="1"/>
    </row>
    <row r="55" customFormat="false" ht="30" hidden="false" customHeight="true" outlineLevel="0" collapsed="false">
      <c r="A55" s="1"/>
      <c r="B55" s="49" t="str">
        <f aca="false">IF($C55="","",ROW()-8)</f>
        <v/>
      </c>
      <c r="C55" s="35"/>
      <c r="D55" s="8"/>
      <c r="E55" s="26"/>
      <c r="F55" s="26"/>
      <c r="G55" s="50"/>
      <c r="H55" s="50"/>
      <c r="I55" s="30" t="str">
        <f aca="false">IF($C55="","",IFERROR(S55/T55,"—"))</f>
        <v/>
      </c>
      <c r="J55" s="30" t="str">
        <f aca="false">IF($C55="","",IFERROR(V55/W55,"—"))</f>
        <v/>
      </c>
      <c r="K55" s="41" t="str">
        <f aca="false">IF($C55="","",IFERROR(J55/I55-1,""))</f>
        <v/>
      </c>
      <c r="L55" s="41" t="str">
        <f aca="false">IF($C55="","",IFERROR((U55-S55)/S55,"—"))</f>
        <v/>
      </c>
      <c r="M55" s="41" t="str">
        <f aca="false">IF($C55="","",IFERROR((X55-V55)/V55,"—"))</f>
        <v/>
      </c>
      <c r="N55" s="39" t="str">
        <f aca="false">IF($C55="","",T55/$D$5)</f>
        <v/>
      </c>
      <c r="O55" s="39" t="str">
        <f aca="false">IF($C55="","",W55/$D$5)</f>
        <v/>
      </c>
      <c r="P55" s="51" t="str">
        <f aca="false">IF($C55="","",IF(MAX(Статистика!$B$7:$B$1006)&lt;$C55+$D$5,"Чекаємо даних",IF(S55=0,"Новий (без бази)",IF(OR(T55=0,W55=0),"Мало даних",IF(K55&lt;=-$F$5,"Покращило",IF(K55&gt;=$F$5,"Погіршило","Без змін"))))))</f>
        <v/>
      </c>
      <c r="Q55" s="50"/>
      <c r="R55" s="1"/>
      <c r="S55" s="52" t="str">
        <f aca="false">IF($C55="","",SUMIFS(Статистика!$E$7:$E$1006,Статистика!$B$7:$B$1006,"&gt;="&amp;($C55-$D$5),Статистика!$B$7:$B$1006,"&lt;="&amp;($C55-1),Статистика!$C$7:$C$1006,IF($D55="","&lt;&gt;§",$D55),Статистика!$D$7:$D$1006,IF($E55="","&lt;&gt;§",$E55)))</f>
        <v/>
      </c>
      <c r="T55" s="52" t="str">
        <f aca="false">IF($C55="","",SUMIFS(Статистика!$H$7:$H$1006,Статистика!$B$7:$B$1006,"&gt;="&amp;($C55-$D$5),Статистика!$B$7:$B$1006,"&lt;="&amp;($C55-1),Статистика!$C$7:$C$1006,IF($D55="","&lt;&gt;§",$D55),Статистика!$D$7:$D$1006,IF($E55="","&lt;&gt;§",$E55)))</f>
        <v/>
      </c>
      <c r="U55" s="52" t="str">
        <f aca="false">IF($C55="","",SUMIFS(Статистика!$T$7:$T$1006,Статистика!$B$7:$B$1006,"&gt;="&amp;($C55-$D$5),Статистика!$B$7:$B$1006,"&lt;="&amp;($C55-1),Статистика!$C$7:$C$1006,IF($D55="","&lt;&gt;§",$D55),Статистика!$D$7:$D$1006,IF($E55="","&lt;&gt;§",$E55)))</f>
        <v/>
      </c>
      <c r="V55" s="52" t="str">
        <f aca="false">IF($C55="","",SUMIFS(Статистика!$E$7:$E$1006,Статистика!$B$7:$B$1006,"&gt;="&amp;($C55+1),Статистика!$B$7:$B$1006,"&lt;="&amp;($C55+$D$5),Статистика!$C$7:$C$1006,IF($D55="","&lt;&gt;§",$D55),Статистика!$D$7:$D$1006,IF($E55="","&lt;&gt;§",$E55)))</f>
        <v/>
      </c>
      <c r="W55" s="52" t="str">
        <f aca="false">IF($C55="","",SUMIFS(Статистика!$H$7:$H$1006,Статистика!$B$7:$B$1006,"&gt;="&amp;($C55+1),Статистика!$B$7:$B$1006,"&lt;="&amp;($C55+$D$5),Статистика!$C$7:$C$1006,IF($D55="","&lt;&gt;§",$D55),Статистика!$D$7:$D$1006,IF($E55="","&lt;&gt;§",$E55)))</f>
        <v/>
      </c>
      <c r="X55" s="52" t="str">
        <f aca="false">IF($C55="","",SUMIFS(Статистика!$T$7:$T$1006,Статистика!$B$7:$B$1006,"&gt;="&amp;($C55+1),Статистика!$B$7:$B$1006,"&lt;="&amp;($C55+$D$5),Статистика!$C$7:$C$1006,IF($D55="","&lt;&gt;§",$D55),Статистика!$D$7:$D$1006,IF($E55="","&lt;&gt;§",$E55)))</f>
        <v/>
      </c>
      <c r="Y55" s="1"/>
      <c r="Z55" s="1"/>
      <c r="AA55" s="1"/>
      <c r="AB55" s="1"/>
      <c r="AC55" s="1"/>
      <c r="AD55" s="1"/>
    </row>
    <row r="56" customFormat="false" ht="30" hidden="false" customHeight="true" outlineLevel="0" collapsed="false">
      <c r="A56" s="1"/>
      <c r="B56" s="49" t="str">
        <f aca="false">IF($C56="","",ROW()-8)</f>
        <v/>
      </c>
      <c r="C56" s="35"/>
      <c r="D56" s="8"/>
      <c r="E56" s="26"/>
      <c r="F56" s="26"/>
      <c r="G56" s="50"/>
      <c r="H56" s="50"/>
      <c r="I56" s="30" t="str">
        <f aca="false">IF($C56="","",IFERROR(S56/T56,"—"))</f>
        <v/>
      </c>
      <c r="J56" s="30" t="str">
        <f aca="false">IF($C56="","",IFERROR(V56/W56,"—"))</f>
        <v/>
      </c>
      <c r="K56" s="41" t="str">
        <f aca="false">IF($C56="","",IFERROR(J56/I56-1,""))</f>
        <v/>
      </c>
      <c r="L56" s="41" t="str">
        <f aca="false">IF($C56="","",IFERROR((U56-S56)/S56,"—"))</f>
        <v/>
      </c>
      <c r="M56" s="41" t="str">
        <f aca="false">IF($C56="","",IFERROR((X56-V56)/V56,"—"))</f>
        <v/>
      </c>
      <c r="N56" s="39" t="str">
        <f aca="false">IF($C56="","",T56/$D$5)</f>
        <v/>
      </c>
      <c r="O56" s="39" t="str">
        <f aca="false">IF($C56="","",W56/$D$5)</f>
        <v/>
      </c>
      <c r="P56" s="51" t="str">
        <f aca="false">IF($C56="","",IF(MAX(Статистика!$B$7:$B$1006)&lt;$C56+$D$5,"Чекаємо даних",IF(S56=0,"Новий (без бази)",IF(OR(T56=0,W56=0),"Мало даних",IF(K56&lt;=-$F$5,"Покращило",IF(K56&gt;=$F$5,"Погіршило","Без змін"))))))</f>
        <v/>
      </c>
      <c r="Q56" s="50"/>
      <c r="R56" s="1"/>
      <c r="S56" s="52" t="str">
        <f aca="false">IF($C56="","",SUMIFS(Статистика!$E$7:$E$1006,Статистика!$B$7:$B$1006,"&gt;="&amp;($C56-$D$5),Статистика!$B$7:$B$1006,"&lt;="&amp;($C56-1),Статистика!$C$7:$C$1006,IF($D56="","&lt;&gt;§",$D56),Статистика!$D$7:$D$1006,IF($E56="","&lt;&gt;§",$E56)))</f>
        <v/>
      </c>
      <c r="T56" s="52" t="str">
        <f aca="false">IF($C56="","",SUMIFS(Статистика!$H$7:$H$1006,Статистика!$B$7:$B$1006,"&gt;="&amp;($C56-$D$5),Статистика!$B$7:$B$1006,"&lt;="&amp;($C56-1),Статистика!$C$7:$C$1006,IF($D56="","&lt;&gt;§",$D56),Статистика!$D$7:$D$1006,IF($E56="","&lt;&gt;§",$E56)))</f>
        <v/>
      </c>
      <c r="U56" s="52" t="str">
        <f aca="false">IF($C56="","",SUMIFS(Статистика!$T$7:$T$1006,Статистика!$B$7:$B$1006,"&gt;="&amp;($C56-$D$5),Статистика!$B$7:$B$1006,"&lt;="&amp;($C56-1),Статистика!$C$7:$C$1006,IF($D56="","&lt;&gt;§",$D56),Статистика!$D$7:$D$1006,IF($E56="","&lt;&gt;§",$E56)))</f>
        <v/>
      </c>
      <c r="V56" s="52" t="str">
        <f aca="false">IF($C56="","",SUMIFS(Статистика!$E$7:$E$1006,Статистика!$B$7:$B$1006,"&gt;="&amp;($C56+1),Статистика!$B$7:$B$1006,"&lt;="&amp;($C56+$D$5),Статистика!$C$7:$C$1006,IF($D56="","&lt;&gt;§",$D56),Статистика!$D$7:$D$1006,IF($E56="","&lt;&gt;§",$E56)))</f>
        <v/>
      </c>
      <c r="W56" s="52" t="str">
        <f aca="false">IF($C56="","",SUMIFS(Статистика!$H$7:$H$1006,Статистика!$B$7:$B$1006,"&gt;="&amp;($C56+1),Статистика!$B$7:$B$1006,"&lt;="&amp;($C56+$D$5),Статистика!$C$7:$C$1006,IF($D56="","&lt;&gt;§",$D56),Статистика!$D$7:$D$1006,IF($E56="","&lt;&gt;§",$E56)))</f>
        <v/>
      </c>
      <c r="X56" s="52" t="str">
        <f aca="false">IF($C56="","",SUMIFS(Статистика!$T$7:$T$1006,Статистика!$B$7:$B$1006,"&gt;="&amp;($C56+1),Статистика!$B$7:$B$1006,"&lt;="&amp;($C56+$D$5),Статистика!$C$7:$C$1006,IF($D56="","&lt;&gt;§",$D56),Статистика!$D$7:$D$1006,IF($E56="","&lt;&gt;§",$E56)))</f>
        <v/>
      </c>
      <c r="Y56" s="1"/>
      <c r="Z56" s="1"/>
      <c r="AA56" s="1"/>
      <c r="AB56" s="1"/>
      <c r="AC56" s="1"/>
      <c r="AD56" s="1"/>
    </row>
    <row r="57" customFormat="false" ht="30" hidden="false" customHeight="true" outlineLevel="0" collapsed="false">
      <c r="A57" s="1"/>
      <c r="B57" s="49" t="str">
        <f aca="false">IF($C57="","",ROW()-8)</f>
        <v/>
      </c>
      <c r="C57" s="35"/>
      <c r="D57" s="8"/>
      <c r="E57" s="26"/>
      <c r="F57" s="26"/>
      <c r="G57" s="50"/>
      <c r="H57" s="50"/>
      <c r="I57" s="30" t="str">
        <f aca="false">IF($C57="","",IFERROR(S57/T57,"—"))</f>
        <v/>
      </c>
      <c r="J57" s="30" t="str">
        <f aca="false">IF($C57="","",IFERROR(V57/W57,"—"))</f>
        <v/>
      </c>
      <c r="K57" s="41" t="str">
        <f aca="false">IF($C57="","",IFERROR(J57/I57-1,""))</f>
        <v/>
      </c>
      <c r="L57" s="41" t="str">
        <f aca="false">IF($C57="","",IFERROR((U57-S57)/S57,"—"))</f>
        <v/>
      </c>
      <c r="M57" s="41" t="str">
        <f aca="false">IF($C57="","",IFERROR((X57-V57)/V57,"—"))</f>
        <v/>
      </c>
      <c r="N57" s="39" t="str">
        <f aca="false">IF($C57="","",T57/$D$5)</f>
        <v/>
      </c>
      <c r="O57" s="39" t="str">
        <f aca="false">IF($C57="","",W57/$D$5)</f>
        <v/>
      </c>
      <c r="P57" s="51" t="str">
        <f aca="false">IF($C57="","",IF(MAX(Статистика!$B$7:$B$1006)&lt;$C57+$D$5,"Чекаємо даних",IF(S57=0,"Новий (без бази)",IF(OR(T57=0,W57=0),"Мало даних",IF(K57&lt;=-$F$5,"Покращило",IF(K57&gt;=$F$5,"Погіршило","Без змін"))))))</f>
        <v/>
      </c>
      <c r="Q57" s="50"/>
      <c r="R57" s="1"/>
      <c r="S57" s="52" t="str">
        <f aca="false">IF($C57="","",SUMIFS(Статистика!$E$7:$E$1006,Статистика!$B$7:$B$1006,"&gt;="&amp;($C57-$D$5),Статистика!$B$7:$B$1006,"&lt;="&amp;($C57-1),Статистика!$C$7:$C$1006,IF($D57="","&lt;&gt;§",$D57),Статистика!$D$7:$D$1006,IF($E57="","&lt;&gt;§",$E57)))</f>
        <v/>
      </c>
      <c r="T57" s="52" t="str">
        <f aca="false">IF($C57="","",SUMIFS(Статистика!$H$7:$H$1006,Статистика!$B$7:$B$1006,"&gt;="&amp;($C57-$D$5),Статистика!$B$7:$B$1006,"&lt;="&amp;($C57-1),Статистика!$C$7:$C$1006,IF($D57="","&lt;&gt;§",$D57),Статистика!$D$7:$D$1006,IF($E57="","&lt;&gt;§",$E57)))</f>
        <v/>
      </c>
      <c r="U57" s="52" t="str">
        <f aca="false">IF($C57="","",SUMIFS(Статистика!$T$7:$T$1006,Статистика!$B$7:$B$1006,"&gt;="&amp;($C57-$D$5),Статистика!$B$7:$B$1006,"&lt;="&amp;($C57-1),Статистика!$C$7:$C$1006,IF($D57="","&lt;&gt;§",$D57),Статистика!$D$7:$D$1006,IF($E57="","&lt;&gt;§",$E57)))</f>
        <v/>
      </c>
      <c r="V57" s="52" t="str">
        <f aca="false">IF($C57="","",SUMIFS(Статистика!$E$7:$E$1006,Статистика!$B$7:$B$1006,"&gt;="&amp;($C57+1),Статистика!$B$7:$B$1006,"&lt;="&amp;($C57+$D$5),Статистика!$C$7:$C$1006,IF($D57="","&lt;&gt;§",$D57),Статистика!$D$7:$D$1006,IF($E57="","&lt;&gt;§",$E57)))</f>
        <v/>
      </c>
      <c r="W57" s="52" t="str">
        <f aca="false">IF($C57="","",SUMIFS(Статистика!$H$7:$H$1006,Статистика!$B$7:$B$1006,"&gt;="&amp;($C57+1),Статистика!$B$7:$B$1006,"&lt;="&amp;($C57+$D$5),Статистика!$C$7:$C$1006,IF($D57="","&lt;&gt;§",$D57),Статистика!$D$7:$D$1006,IF($E57="","&lt;&gt;§",$E57)))</f>
        <v/>
      </c>
      <c r="X57" s="52" t="str">
        <f aca="false">IF($C57="","",SUMIFS(Статистика!$T$7:$T$1006,Статистика!$B$7:$B$1006,"&gt;="&amp;($C57+1),Статистика!$B$7:$B$1006,"&lt;="&amp;($C57+$D$5),Статистика!$C$7:$C$1006,IF($D57="","&lt;&gt;§",$D57),Статистика!$D$7:$D$1006,IF($E57="","&lt;&gt;§",$E57)))</f>
        <v/>
      </c>
      <c r="Y57" s="1"/>
      <c r="Z57" s="1"/>
      <c r="AA57" s="1"/>
      <c r="AB57" s="1"/>
      <c r="AC57" s="1"/>
      <c r="AD57" s="1"/>
    </row>
    <row r="58" customFormat="false" ht="30" hidden="false" customHeight="true" outlineLevel="0" collapsed="false">
      <c r="A58" s="1"/>
      <c r="B58" s="49" t="str">
        <f aca="false">IF($C58="","",ROW()-8)</f>
        <v/>
      </c>
      <c r="C58" s="35"/>
      <c r="D58" s="8"/>
      <c r="E58" s="26"/>
      <c r="F58" s="26"/>
      <c r="G58" s="50"/>
      <c r="H58" s="50"/>
      <c r="I58" s="30" t="str">
        <f aca="false">IF($C58="","",IFERROR(S58/T58,"—"))</f>
        <v/>
      </c>
      <c r="J58" s="30" t="str">
        <f aca="false">IF($C58="","",IFERROR(V58/W58,"—"))</f>
        <v/>
      </c>
      <c r="K58" s="41" t="str">
        <f aca="false">IF($C58="","",IFERROR(J58/I58-1,""))</f>
        <v/>
      </c>
      <c r="L58" s="41" t="str">
        <f aca="false">IF($C58="","",IFERROR((U58-S58)/S58,"—"))</f>
        <v/>
      </c>
      <c r="M58" s="41" t="str">
        <f aca="false">IF($C58="","",IFERROR((X58-V58)/V58,"—"))</f>
        <v/>
      </c>
      <c r="N58" s="39" t="str">
        <f aca="false">IF($C58="","",T58/$D$5)</f>
        <v/>
      </c>
      <c r="O58" s="39" t="str">
        <f aca="false">IF($C58="","",W58/$D$5)</f>
        <v/>
      </c>
      <c r="P58" s="51" t="str">
        <f aca="false">IF($C58="","",IF(MAX(Статистика!$B$7:$B$1006)&lt;$C58+$D$5,"Чекаємо даних",IF(S58=0,"Новий (без бази)",IF(OR(T58=0,W58=0),"Мало даних",IF(K58&lt;=-$F$5,"Покращило",IF(K58&gt;=$F$5,"Погіршило","Без змін"))))))</f>
        <v/>
      </c>
      <c r="Q58" s="50"/>
      <c r="R58" s="1"/>
      <c r="S58" s="52" t="str">
        <f aca="false">IF($C58="","",SUMIFS(Статистика!$E$7:$E$1006,Статистика!$B$7:$B$1006,"&gt;="&amp;($C58-$D$5),Статистика!$B$7:$B$1006,"&lt;="&amp;($C58-1),Статистика!$C$7:$C$1006,IF($D58="","&lt;&gt;§",$D58),Статистика!$D$7:$D$1006,IF($E58="","&lt;&gt;§",$E58)))</f>
        <v/>
      </c>
      <c r="T58" s="52" t="str">
        <f aca="false">IF($C58="","",SUMIFS(Статистика!$H$7:$H$1006,Статистика!$B$7:$B$1006,"&gt;="&amp;($C58-$D$5),Статистика!$B$7:$B$1006,"&lt;="&amp;($C58-1),Статистика!$C$7:$C$1006,IF($D58="","&lt;&gt;§",$D58),Статистика!$D$7:$D$1006,IF($E58="","&lt;&gt;§",$E58)))</f>
        <v/>
      </c>
      <c r="U58" s="52" t="str">
        <f aca="false">IF($C58="","",SUMIFS(Статистика!$T$7:$T$1006,Статистика!$B$7:$B$1006,"&gt;="&amp;($C58-$D$5),Статистика!$B$7:$B$1006,"&lt;="&amp;($C58-1),Статистика!$C$7:$C$1006,IF($D58="","&lt;&gt;§",$D58),Статистика!$D$7:$D$1006,IF($E58="","&lt;&gt;§",$E58)))</f>
        <v/>
      </c>
      <c r="V58" s="52" t="str">
        <f aca="false">IF($C58="","",SUMIFS(Статистика!$E$7:$E$1006,Статистика!$B$7:$B$1006,"&gt;="&amp;($C58+1),Статистика!$B$7:$B$1006,"&lt;="&amp;($C58+$D$5),Статистика!$C$7:$C$1006,IF($D58="","&lt;&gt;§",$D58),Статистика!$D$7:$D$1006,IF($E58="","&lt;&gt;§",$E58)))</f>
        <v/>
      </c>
      <c r="W58" s="52" t="str">
        <f aca="false">IF($C58="","",SUMIFS(Статистика!$H$7:$H$1006,Статистика!$B$7:$B$1006,"&gt;="&amp;($C58+1),Статистика!$B$7:$B$1006,"&lt;="&amp;($C58+$D$5),Статистика!$C$7:$C$1006,IF($D58="","&lt;&gt;§",$D58),Статистика!$D$7:$D$1006,IF($E58="","&lt;&gt;§",$E58)))</f>
        <v/>
      </c>
      <c r="X58" s="52" t="str">
        <f aca="false">IF($C58="","",SUMIFS(Статистика!$T$7:$T$1006,Статистика!$B$7:$B$1006,"&gt;="&amp;($C58+1),Статистика!$B$7:$B$1006,"&lt;="&amp;($C58+$D$5),Статистика!$C$7:$C$1006,IF($D58="","&lt;&gt;§",$D58),Статистика!$D$7:$D$1006,IF($E58="","&lt;&gt;§",$E58)))</f>
        <v/>
      </c>
      <c r="Y58" s="1"/>
      <c r="Z58" s="1"/>
      <c r="AA58" s="1"/>
      <c r="AB58" s="1"/>
      <c r="AC58" s="1"/>
      <c r="AD58" s="1"/>
    </row>
    <row r="59" customFormat="false" ht="30" hidden="false" customHeight="true" outlineLevel="0" collapsed="false">
      <c r="A59" s="1"/>
      <c r="B59" s="49" t="str">
        <f aca="false">IF($C59="","",ROW()-8)</f>
        <v/>
      </c>
      <c r="C59" s="35"/>
      <c r="D59" s="8"/>
      <c r="E59" s="26"/>
      <c r="F59" s="26"/>
      <c r="G59" s="50"/>
      <c r="H59" s="50"/>
      <c r="I59" s="30" t="str">
        <f aca="false">IF($C59="","",IFERROR(S59/T59,"—"))</f>
        <v/>
      </c>
      <c r="J59" s="30" t="str">
        <f aca="false">IF($C59="","",IFERROR(V59/W59,"—"))</f>
        <v/>
      </c>
      <c r="K59" s="41" t="str">
        <f aca="false">IF($C59="","",IFERROR(J59/I59-1,""))</f>
        <v/>
      </c>
      <c r="L59" s="41" t="str">
        <f aca="false">IF($C59="","",IFERROR((U59-S59)/S59,"—"))</f>
        <v/>
      </c>
      <c r="M59" s="41" t="str">
        <f aca="false">IF($C59="","",IFERROR((X59-V59)/V59,"—"))</f>
        <v/>
      </c>
      <c r="N59" s="39" t="str">
        <f aca="false">IF($C59="","",T59/$D$5)</f>
        <v/>
      </c>
      <c r="O59" s="39" t="str">
        <f aca="false">IF($C59="","",W59/$D$5)</f>
        <v/>
      </c>
      <c r="P59" s="51" t="str">
        <f aca="false">IF($C59="","",IF(MAX(Статистика!$B$7:$B$1006)&lt;$C59+$D$5,"Чекаємо даних",IF(S59=0,"Новий (без бази)",IF(OR(T59=0,W59=0),"Мало даних",IF(K59&lt;=-$F$5,"Покращило",IF(K59&gt;=$F$5,"Погіршило","Без змін"))))))</f>
        <v/>
      </c>
      <c r="Q59" s="50"/>
      <c r="R59" s="1"/>
      <c r="S59" s="52" t="str">
        <f aca="false">IF($C59="","",SUMIFS(Статистика!$E$7:$E$1006,Статистика!$B$7:$B$1006,"&gt;="&amp;($C59-$D$5),Статистика!$B$7:$B$1006,"&lt;="&amp;($C59-1),Статистика!$C$7:$C$1006,IF($D59="","&lt;&gt;§",$D59),Статистика!$D$7:$D$1006,IF($E59="","&lt;&gt;§",$E59)))</f>
        <v/>
      </c>
      <c r="T59" s="52" t="str">
        <f aca="false">IF($C59="","",SUMIFS(Статистика!$H$7:$H$1006,Статистика!$B$7:$B$1006,"&gt;="&amp;($C59-$D$5),Статистика!$B$7:$B$1006,"&lt;="&amp;($C59-1),Статистика!$C$7:$C$1006,IF($D59="","&lt;&gt;§",$D59),Статистика!$D$7:$D$1006,IF($E59="","&lt;&gt;§",$E59)))</f>
        <v/>
      </c>
      <c r="U59" s="52" t="str">
        <f aca="false">IF($C59="","",SUMIFS(Статистика!$T$7:$T$1006,Статистика!$B$7:$B$1006,"&gt;="&amp;($C59-$D$5),Статистика!$B$7:$B$1006,"&lt;="&amp;($C59-1),Статистика!$C$7:$C$1006,IF($D59="","&lt;&gt;§",$D59),Статистика!$D$7:$D$1006,IF($E59="","&lt;&gt;§",$E59)))</f>
        <v/>
      </c>
      <c r="V59" s="52" t="str">
        <f aca="false">IF($C59="","",SUMIFS(Статистика!$E$7:$E$1006,Статистика!$B$7:$B$1006,"&gt;="&amp;($C59+1),Статистика!$B$7:$B$1006,"&lt;="&amp;($C59+$D$5),Статистика!$C$7:$C$1006,IF($D59="","&lt;&gt;§",$D59),Статистика!$D$7:$D$1006,IF($E59="","&lt;&gt;§",$E59)))</f>
        <v/>
      </c>
      <c r="W59" s="52" t="str">
        <f aca="false">IF($C59="","",SUMIFS(Статистика!$H$7:$H$1006,Статистика!$B$7:$B$1006,"&gt;="&amp;($C59+1),Статистика!$B$7:$B$1006,"&lt;="&amp;($C59+$D$5),Статистика!$C$7:$C$1006,IF($D59="","&lt;&gt;§",$D59),Статистика!$D$7:$D$1006,IF($E59="","&lt;&gt;§",$E59)))</f>
        <v/>
      </c>
      <c r="X59" s="52" t="str">
        <f aca="false">IF($C59="","",SUMIFS(Статистика!$T$7:$T$1006,Статистика!$B$7:$B$1006,"&gt;="&amp;($C59+1),Статистика!$B$7:$B$1006,"&lt;="&amp;($C59+$D$5),Статистика!$C$7:$C$1006,IF($D59="","&lt;&gt;§",$D59),Статистика!$D$7:$D$1006,IF($E59="","&lt;&gt;§",$E59)))</f>
        <v/>
      </c>
      <c r="Y59" s="1"/>
      <c r="Z59" s="1"/>
      <c r="AA59" s="1"/>
      <c r="AB59" s="1"/>
      <c r="AC59" s="1"/>
      <c r="AD59" s="1"/>
    </row>
    <row r="60" customFormat="false" ht="30" hidden="false" customHeight="true" outlineLevel="0" collapsed="false">
      <c r="A60" s="1"/>
      <c r="B60" s="49" t="str">
        <f aca="false">IF($C60="","",ROW()-8)</f>
        <v/>
      </c>
      <c r="C60" s="35"/>
      <c r="D60" s="8"/>
      <c r="E60" s="26"/>
      <c r="F60" s="26"/>
      <c r="G60" s="50"/>
      <c r="H60" s="50"/>
      <c r="I60" s="30" t="str">
        <f aca="false">IF($C60="","",IFERROR(S60/T60,"—"))</f>
        <v/>
      </c>
      <c r="J60" s="30" t="str">
        <f aca="false">IF($C60="","",IFERROR(V60/W60,"—"))</f>
        <v/>
      </c>
      <c r="K60" s="41" t="str">
        <f aca="false">IF($C60="","",IFERROR(J60/I60-1,""))</f>
        <v/>
      </c>
      <c r="L60" s="41" t="str">
        <f aca="false">IF($C60="","",IFERROR((U60-S60)/S60,"—"))</f>
        <v/>
      </c>
      <c r="M60" s="41" t="str">
        <f aca="false">IF($C60="","",IFERROR((X60-V60)/V60,"—"))</f>
        <v/>
      </c>
      <c r="N60" s="39" t="str">
        <f aca="false">IF($C60="","",T60/$D$5)</f>
        <v/>
      </c>
      <c r="O60" s="39" t="str">
        <f aca="false">IF($C60="","",W60/$D$5)</f>
        <v/>
      </c>
      <c r="P60" s="51" t="str">
        <f aca="false">IF($C60="","",IF(MAX(Статистика!$B$7:$B$1006)&lt;$C60+$D$5,"Чекаємо даних",IF(S60=0,"Новий (без бази)",IF(OR(T60=0,W60=0),"Мало даних",IF(K60&lt;=-$F$5,"Покращило",IF(K60&gt;=$F$5,"Погіршило","Без змін"))))))</f>
        <v/>
      </c>
      <c r="Q60" s="50"/>
      <c r="R60" s="1"/>
      <c r="S60" s="52" t="str">
        <f aca="false">IF($C60="","",SUMIFS(Статистика!$E$7:$E$1006,Статистика!$B$7:$B$1006,"&gt;="&amp;($C60-$D$5),Статистика!$B$7:$B$1006,"&lt;="&amp;($C60-1),Статистика!$C$7:$C$1006,IF($D60="","&lt;&gt;§",$D60),Статистика!$D$7:$D$1006,IF($E60="","&lt;&gt;§",$E60)))</f>
        <v/>
      </c>
      <c r="T60" s="52" t="str">
        <f aca="false">IF($C60="","",SUMIFS(Статистика!$H$7:$H$1006,Статистика!$B$7:$B$1006,"&gt;="&amp;($C60-$D$5),Статистика!$B$7:$B$1006,"&lt;="&amp;($C60-1),Статистика!$C$7:$C$1006,IF($D60="","&lt;&gt;§",$D60),Статистика!$D$7:$D$1006,IF($E60="","&lt;&gt;§",$E60)))</f>
        <v/>
      </c>
      <c r="U60" s="52" t="str">
        <f aca="false">IF($C60="","",SUMIFS(Статистика!$T$7:$T$1006,Статистика!$B$7:$B$1006,"&gt;="&amp;($C60-$D$5),Статистика!$B$7:$B$1006,"&lt;="&amp;($C60-1),Статистика!$C$7:$C$1006,IF($D60="","&lt;&gt;§",$D60),Статистика!$D$7:$D$1006,IF($E60="","&lt;&gt;§",$E60)))</f>
        <v/>
      </c>
      <c r="V60" s="52" t="str">
        <f aca="false">IF($C60="","",SUMIFS(Статистика!$E$7:$E$1006,Статистика!$B$7:$B$1006,"&gt;="&amp;($C60+1),Статистика!$B$7:$B$1006,"&lt;="&amp;($C60+$D$5),Статистика!$C$7:$C$1006,IF($D60="","&lt;&gt;§",$D60),Статистика!$D$7:$D$1006,IF($E60="","&lt;&gt;§",$E60)))</f>
        <v/>
      </c>
      <c r="W60" s="52" t="str">
        <f aca="false">IF($C60="","",SUMIFS(Статистика!$H$7:$H$1006,Статистика!$B$7:$B$1006,"&gt;="&amp;($C60+1),Статистика!$B$7:$B$1006,"&lt;="&amp;($C60+$D$5),Статистика!$C$7:$C$1006,IF($D60="","&lt;&gt;§",$D60),Статистика!$D$7:$D$1006,IF($E60="","&lt;&gt;§",$E60)))</f>
        <v/>
      </c>
      <c r="X60" s="52" t="str">
        <f aca="false">IF($C60="","",SUMIFS(Статистика!$T$7:$T$1006,Статистика!$B$7:$B$1006,"&gt;="&amp;($C60+1),Статистика!$B$7:$B$1006,"&lt;="&amp;($C60+$D$5),Статистика!$C$7:$C$1006,IF($D60="","&lt;&gt;§",$D60),Статистика!$D$7:$D$1006,IF($E60="","&lt;&gt;§",$E60)))</f>
        <v/>
      </c>
      <c r="Y60" s="1"/>
      <c r="Z60" s="1"/>
      <c r="AA60" s="1"/>
      <c r="AB60" s="1"/>
      <c r="AC60" s="1"/>
      <c r="AD60" s="1"/>
    </row>
    <row r="61" customFormat="false" ht="30" hidden="false" customHeight="true" outlineLevel="0" collapsed="false">
      <c r="A61" s="1"/>
      <c r="B61" s="49" t="str">
        <f aca="false">IF($C61="","",ROW()-8)</f>
        <v/>
      </c>
      <c r="C61" s="35"/>
      <c r="D61" s="8"/>
      <c r="E61" s="26"/>
      <c r="F61" s="26"/>
      <c r="G61" s="50"/>
      <c r="H61" s="50"/>
      <c r="I61" s="30" t="str">
        <f aca="false">IF($C61="","",IFERROR(S61/T61,"—"))</f>
        <v/>
      </c>
      <c r="J61" s="30" t="str">
        <f aca="false">IF($C61="","",IFERROR(V61/W61,"—"))</f>
        <v/>
      </c>
      <c r="K61" s="41" t="str">
        <f aca="false">IF($C61="","",IFERROR(J61/I61-1,""))</f>
        <v/>
      </c>
      <c r="L61" s="41" t="str">
        <f aca="false">IF($C61="","",IFERROR((U61-S61)/S61,"—"))</f>
        <v/>
      </c>
      <c r="M61" s="41" t="str">
        <f aca="false">IF($C61="","",IFERROR((X61-V61)/V61,"—"))</f>
        <v/>
      </c>
      <c r="N61" s="39" t="str">
        <f aca="false">IF($C61="","",T61/$D$5)</f>
        <v/>
      </c>
      <c r="O61" s="39" t="str">
        <f aca="false">IF($C61="","",W61/$D$5)</f>
        <v/>
      </c>
      <c r="P61" s="51" t="str">
        <f aca="false">IF($C61="","",IF(MAX(Статистика!$B$7:$B$1006)&lt;$C61+$D$5,"Чекаємо даних",IF(S61=0,"Новий (без бази)",IF(OR(T61=0,W61=0),"Мало даних",IF(K61&lt;=-$F$5,"Покращило",IF(K61&gt;=$F$5,"Погіршило","Без змін"))))))</f>
        <v/>
      </c>
      <c r="Q61" s="50"/>
      <c r="R61" s="1"/>
      <c r="S61" s="52" t="str">
        <f aca="false">IF($C61="","",SUMIFS(Статистика!$E$7:$E$1006,Статистика!$B$7:$B$1006,"&gt;="&amp;($C61-$D$5),Статистика!$B$7:$B$1006,"&lt;="&amp;($C61-1),Статистика!$C$7:$C$1006,IF($D61="","&lt;&gt;§",$D61),Статистика!$D$7:$D$1006,IF($E61="","&lt;&gt;§",$E61)))</f>
        <v/>
      </c>
      <c r="T61" s="52" t="str">
        <f aca="false">IF($C61="","",SUMIFS(Статистика!$H$7:$H$1006,Статистика!$B$7:$B$1006,"&gt;="&amp;($C61-$D$5),Статистика!$B$7:$B$1006,"&lt;="&amp;($C61-1),Статистика!$C$7:$C$1006,IF($D61="","&lt;&gt;§",$D61),Статистика!$D$7:$D$1006,IF($E61="","&lt;&gt;§",$E61)))</f>
        <v/>
      </c>
      <c r="U61" s="52" t="str">
        <f aca="false">IF($C61="","",SUMIFS(Статистика!$T$7:$T$1006,Статистика!$B$7:$B$1006,"&gt;="&amp;($C61-$D$5),Статистика!$B$7:$B$1006,"&lt;="&amp;($C61-1),Статистика!$C$7:$C$1006,IF($D61="","&lt;&gt;§",$D61),Статистика!$D$7:$D$1006,IF($E61="","&lt;&gt;§",$E61)))</f>
        <v/>
      </c>
      <c r="V61" s="52" t="str">
        <f aca="false">IF($C61="","",SUMIFS(Статистика!$E$7:$E$1006,Статистика!$B$7:$B$1006,"&gt;="&amp;($C61+1),Статистика!$B$7:$B$1006,"&lt;="&amp;($C61+$D$5),Статистика!$C$7:$C$1006,IF($D61="","&lt;&gt;§",$D61),Статистика!$D$7:$D$1006,IF($E61="","&lt;&gt;§",$E61)))</f>
        <v/>
      </c>
      <c r="W61" s="52" t="str">
        <f aca="false">IF($C61="","",SUMIFS(Статистика!$H$7:$H$1006,Статистика!$B$7:$B$1006,"&gt;="&amp;($C61+1),Статистика!$B$7:$B$1006,"&lt;="&amp;($C61+$D$5),Статистика!$C$7:$C$1006,IF($D61="","&lt;&gt;§",$D61),Статистика!$D$7:$D$1006,IF($E61="","&lt;&gt;§",$E61)))</f>
        <v/>
      </c>
      <c r="X61" s="52" t="str">
        <f aca="false">IF($C61="","",SUMIFS(Статистика!$T$7:$T$1006,Статистика!$B$7:$B$1006,"&gt;="&amp;($C61+1),Статистика!$B$7:$B$1006,"&lt;="&amp;($C61+$D$5),Статистика!$C$7:$C$1006,IF($D61="","&lt;&gt;§",$D61),Статистика!$D$7:$D$1006,IF($E61="","&lt;&gt;§",$E61)))</f>
        <v/>
      </c>
      <c r="Y61" s="1"/>
      <c r="Z61" s="1"/>
      <c r="AA61" s="1"/>
      <c r="AB61" s="1"/>
      <c r="AC61" s="1"/>
      <c r="AD61" s="1"/>
    </row>
    <row r="62" customFormat="false" ht="30" hidden="false" customHeight="true" outlineLevel="0" collapsed="false">
      <c r="A62" s="1"/>
      <c r="B62" s="49" t="str">
        <f aca="false">IF($C62="","",ROW()-8)</f>
        <v/>
      </c>
      <c r="C62" s="35"/>
      <c r="D62" s="8"/>
      <c r="E62" s="26"/>
      <c r="F62" s="26"/>
      <c r="G62" s="50"/>
      <c r="H62" s="50"/>
      <c r="I62" s="30" t="str">
        <f aca="false">IF($C62="","",IFERROR(S62/T62,"—"))</f>
        <v/>
      </c>
      <c r="J62" s="30" t="str">
        <f aca="false">IF($C62="","",IFERROR(V62/W62,"—"))</f>
        <v/>
      </c>
      <c r="K62" s="41" t="str">
        <f aca="false">IF($C62="","",IFERROR(J62/I62-1,""))</f>
        <v/>
      </c>
      <c r="L62" s="41" t="str">
        <f aca="false">IF($C62="","",IFERROR((U62-S62)/S62,"—"))</f>
        <v/>
      </c>
      <c r="M62" s="41" t="str">
        <f aca="false">IF($C62="","",IFERROR((X62-V62)/V62,"—"))</f>
        <v/>
      </c>
      <c r="N62" s="39" t="str">
        <f aca="false">IF($C62="","",T62/$D$5)</f>
        <v/>
      </c>
      <c r="O62" s="39" t="str">
        <f aca="false">IF($C62="","",W62/$D$5)</f>
        <v/>
      </c>
      <c r="P62" s="51" t="str">
        <f aca="false">IF($C62="","",IF(MAX(Статистика!$B$7:$B$1006)&lt;$C62+$D$5,"Чекаємо даних",IF(S62=0,"Новий (без бази)",IF(OR(T62=0,W62=0),"Мало даних",IF(K62&lt;=-$F$5,"Покращило",IF(K62&gt;=$F$5,"Погіршило","Без змін"))))))</f>
        <v/>
      </c>
      <c r="Q62" s="50"/>
      <c r="R62" s="1"/>
      <c r="S62" s="52" t="str">
        <f aca="false">IF($C62="","",SUMIFS(Статистика!$E$7:$E$1006,Статистика!$B$7:$B$1006,"&gt;="&amp;($C62-$D$5),Статистика!$B$7:$B$1006,"&lt;="&amp;($C62-1),Статистика!$C$7:$C$1006,IF($D62="","&lt;&gt;§",$D62),Статистика!$D$7:$D$1006,IF($E62="","&lt;&gt;§",$E62)))</f>
        <v/>
      </c>
      <c r="T62" s="52" t="str">
        <f aca="false">IF($C62="","",SUMIFS(Статистика!$H$7:$H$1006,Статистика!$B$7:$B$1006,"&gt;="&amp;($C62-$D$5),Статистика!$B$7:$B$1006,"&lt;="&amp;($C62-1),Статистика!$C$7:$C$1006,IF($D62="","&lt;&gt;§",$D62),Статистика!$D$7:$D$1006,IF($E62="","&lt;&gt;§",$E62)))</f>
        <v/>
      </c>
      <c r="U62" s="52" t="str">
        <f aca="false">IF($C62="","",SUMIFS(Статистика!$T$7:$T$1006,Статистика!$B$7:$B$1006,"&gt;="&amp;($C62-$D$5),Статистика!$B$7:$B$1006,"&lt;="&amp;($C62-1),Статистика!$C$7:$C$1006,IF($D62="","&lt;&gt;§",$D62),Статистика!$D$7:$D$1006,IF($E62="","&lt;&gt;§",$E62)))</f>
        <v/>
      </c>
      <c r="V62" s="52" t="str">
        <f aca="false">IF($C62="","",SUMIFS(Статистика!$E$7:$E$1006,Статистика!$B$7:$B$1006,"&gt;="&amp;($C62+1),Статистика!$B$7:$B$1006,"&lt;="&amp;($C62+$D$5),Статистика!$C$7:$C$1006,IF($D62="","&lt;&gt;§",$D62),Статистика!$D$7:$D$1006,IF($E62="","&lt;&gt;§",$E62)))</f>
        <v/>
      </c>
      <c r="W62" s="52" t="str">
        <f aca="false">IF($C62="","",SUMIFS(Статистика!$H$7:$H$1006,Статистика!$B$7:$B$1006,"&gt;="&amp;($C62+1),Статистика!$B$7:$B$1006,"&lt;="&amp;($C62+$D$5),Статистика!$C$7:$C$1006,IF($D62="","&lt;&gt;§",$D62),Статистика!$D$7:$D$1006,IF($E62="","&lt;&gt;§",$E62)))</f>
        <v/>
      </c>
      <c r="X62" s="52" t="str">
        <f aca="false">IF($C62="","",SUMIFS(Статистика!$T$7:$T$1006,Статистика!$B$7:$B$1006,"&gt;="&amp;($C62+1),Статистика!$B$7:$B$1006,"&lt;="&amp;($C62+$D$5),Статистика!$C$7:$C$1006,IF($D62="","&lt;&gt;§",$D62),Статистика!$D$7:$D$1006,IF($E62="","&lt;&gt;§",$E62)))</f>
        <v/>
      </c>
      <c r="Y62" s="1"/>
      <c r="Z62" s="1"/>
      <c r="AA62" s="1"/>
      <c r="AB62" s="1"/>
      <c r="AC62" s="1"/>
      <c r="AD62" s="1"/>
    </row>
    <row r="63" customFormat="false" ht="30" hidden="false" customHeight="true" outlineLevel="0" collapsed="false">
      <c r="A63" s="1"/>
      <c r="B63" s="49" t="str">
        <f aca="false">IF($C63="","",ROW()-8)</f>
        <v/>
      </c>
      <c r="C63" s="35"/>
      <c r="D63" s="8"/>
      <c r="E63" s="26"/>
      <c r="F63" s="26"/>
      <c r="G63" s="50"/>
      <c r="H63" s="50"/>
      <c r="I63" s="30" t="str">
        <f aca="false">IF($C63="","",IFERROR(S63/T63,"—"))</f>
        <v/>
      </c>
      <c r="J63" s="30" t="str">
        <f aca="false">IF($C63="","",IFERROR(V63/W63,"—"))</f>
        <v/>
      </c>
      <c r="K63" s="41" t="str">
        <f aca="false">IF($C63="","",IFERROR(J63/I63-1,""))</f>
        <v/>
      </c>
      <c r="L63" s="41" t="str">
        <f aca="false">IF($C63="","",IFERROR((U63-S63)/S63,"—"))</f>
        <v/>
      </c>
      <c r="M63" s="41" t="str">
        <f aca="false">IF($C63="","",IFERROR((X63-V63)/V63,"—"))</f>
        <v/>
      </c>
      <c r="N63" s="39" t="str">
        <f aca="false">IF($C63="","",T63/$D$5)</f>
        <v/>
      </c>
      <c r="O63" s="39" t="str">
        <f aca="false">IF($C63="","",W63/$D$5)</f>
        <v/>
      </c>
      <c r="P63" s="51" t="str">
        <f aca="false">IF($C63="","",IF(MAX(Статистика!$B$7:$B$1006)&lt;$C63+$D$5,"Чекаємо даних",IF(S63=0,"Новий (без бази)",IF(OR(T63=0,W63=0),"Мало даних",IF(K63&lt;=-$F$5,"Покращило",IF(K63&gt;=$F$5,"Погіршило","Без змін"))))))</f>
        <v/>
      </c>
      <c r="Q63" s="50"/>
      <c r="R63" s="1"/>
      <c r="S63" s="52" t="str">
        <f aca="false">IF($C63="","",SUMIFS(Статистика!$E$7:$E$1006,Статистика!$B$7:$B$1006,"&gt;="&amp;($C63-$D$5),Статистика!$B$7:$B$1006,"&lt;="&amp;($C63-1),Статистика!$C$7:$C$1006,IF($D63="","&lt;&gt;§",$D63),Статистика!$D$7:$D$1006,IF($E63="","&lt;&gt;§",$E63)))</f>
        <v/>
      </c>
      <c r="T63" s="52" t="str">
        <f aca="false">IF($C63="","",SUMIFS(Статистика!$H$7:$H$1006,Статистика!$B$7:$B$1006,"&gt;="&amp;($C63-$D$5),Статистика!$B$7:$B$1006,"&lt;="&amp;($C63-1),Статистика!$C$7:$C$1006,IF($D63="","&lt;&gt;§",$D63),Статистика!$D$7:$D$1006,IF($E63="","&lt;&gt;§",$E63)))</f>
        <v/>
      </c>
      <c r="U63" s="52" t="str">
        <f aca="false">IF($C63="","",SUMIFS(Статистика!$T$7:$T$1006,Статистика!$B$7:$B$1006,"&gt;="&amp;($C63-$D$5),Статистика!$B$7:$B$1006,"&lt;="&amp;($C63-1),Статистика!$C$7:$C$1006,IF($D63="","&lt;&gt;§",$D63),Статистика!$D$7:$D$1006,IF($E63="","&lt;&gt;§",$E63)))</f>
        <v/>
      </c>
      <c r="V63" s="52" t="str">
        <f aca="false">IF($C63="","",SUMIFS(Статистика!$E$7:$E$1006,Статистика!$B$7:$B$1006,"&gt;="&amp;($C63+1),Статистика!$B$7:$B$1006,"&lt;="&amp;($C63+$D$5),Статистика!$C$7:$C$1006,IF($D63="","&lt;&gt;§",$D63),Статистика!$D$7:$D$1006,IF($E63="","&lt;&gt;§",$E63)))</f>
        <v/>
      </c>
      <c r="W63" s="52" t="str">
        <f aca="false">IF($C63="","",SUMIFS(Статистика!$H$7:$H$1006,Статистика!$B$7:$B$1006,"&gt;="&amp;($C63+1),Статистика!$B$7:$B$1006,"&lt;="&amp;($C63+$D$5),Статистика!$C$7:$C$1006,IF($D63="","&lt;&gt;§",$D63),Статистика!$D$7:$D$1006,IF($E63="","&lt;&gt;§",$E63)))</f>
        <v/>
      </c>
      <c r="X63" s="52" t="str">
        <f aca="false">IF($C63="","",SUMIFS(Статистика!$T$7:$T$1006,Статистика!$B$7:$B$1006,"&gt;="&amp;($C63+1),Статистика!$B$7:$B$1006,"&lt;="&amp;($C63+$D$5),Статистика!$C$7:$C$1006,IF($D63="","&lt;&gt;§",$D63),Статистика!$D$7:$D$1006,IF($E63="","&lt;&gt;§",$E63)))</f>
        <v/>
      </c>
      <c r="Y63" s="1"/>
      <c r="Z63" s="1"/>
      <c r="AA63" s="1"/>
      <c r="AB63" s="1"/>
      <c r="AC63" s="1"/>
      <c r="AD63" s="1"/>
    </row>
    <row r="64" customFormat="false" ht="30" hidden="false" customHeight="true" outlineLevel="0" collapsed="false">
      <c r="A64" s="1"/>
      <c r="B64" s="49" t="str">
        <f aca="false">IF($C64="","",ROW()-8)</f>
        <v/>
      </c>
      <c r="C64" s="35"/>
      <c r="D64" s="8"/>
      <c r="E64" s="26"/>
      <c r="F64" s="26"/>
      <c r="G64" s="50"/>
      <c r="H64" s="50"/>
      <c r="I64" s="30" t="str">
        <f aca="false">IF($C64="","",IFERROR(S64/T64,"—"))</f>
        <v/>
      </c>
      <c r="J64" s="30" t="str">
        <f aca="false">IF($C64="","",IFERROR(V64/W64,"—"))</f>
        <v/>
      </c>
      <c r="K64" s="41" t="str">
        <f aca="false">IF($C64="","",IFERROR(J64/I64-1,""))</f>
        <v/>
      </c>
      <c r="L64" s="41" t="str">
        <f aca="false">IF($C64="","",IFERROR((U64-S64)/S64,"—"))</f>
        <v/>
      </c>
      <c r="M64" s="41" t="str">
        <f aca="false">IF($C64="","",IFERROR((X64-V64)/V64,"—"))</f>
        <v/>
      </c>
      <c r="N64" s="39" t="str">
        <f aca="false">IF($C64="","",T64/$D$5)</f>
        <v/>
      </c>
      <c r="O64" s="39" t="str">
        <f aca="false">IF($C64="","",W64/$D$5)</f>
        <v/>
      </c>
      <c r="P64" s="51" t="str">
        <f aca="false">IF($C64="","",IF(MAX(Статистика!$B$7:$B$1006)&lt;$C64+$D$5,"Чекаємо даних",IF(S64=0,"Новий (без бази)",IF(OR(T64=0,W64=0),"Мало даних",IF(K64&lt;=-$F$5,"Покращило",IF(K64&gt;=$F$5,"Погіршило","Без змін"))))))</f>
        <v/>
      </c>
      <c r="Q64" s="50"/>
      <c r="R64" s="1"/>
      <c r="S64" s="52" t="str">
        <f aca="false">IF($C64="","",SUMIFS(Статистика!$E$7:$E$1006,Статистика!$B$7:$B$1006,"&gt;="&amp;($C64-$D$5),Статистика!$B$7:$B$1006,"&lt;="&amp;($C64-1),Статистика!$C$7:$C$1006,IF($D64="","&lt;&gt;§",$D64),Статистика!$D$7:$D$1006,IF($E64="","&lt;&gt;§",$E64)))</f>
        <v/>
      </c>
      <c r="T64" s="52" t="str">
        <f aca="false">IF($C64="","",SUMIFS(Статистика!$H$7:$H$1006,Статистика!$B$7:$B$1006,"&gt;="&amp;($C64-$D$5),Статистика!$B$7:$B$1006,"&lt;="&amp;($C64-1),Статистика!$C$7:$C$1006,IF($D64="","&lt;&gt;§",$D64),Статистика!$D$7:$D$1006,IF($E64="","&lt;&gt;§",$E64)))</f>
        <v/>
      </c>
      <c r="U64" s="52" t="str">
        <f aca="false">IF($C64="","",SUMIFS(Статистика!$T$7:$T$1006,Статистика!$B$7:$B$1006,"&gt;="&amp;($C64-$D$5),Статистика!$B$7:$B$1006,"&lt;="&amp;($C64-1),Статистика!$C$7:$C$1006,IF($D64="","&lt;&gt;§",$D64),Статистика!$D$7:$D$1006,IF($E64="","&lt;&gt;§",$E64)))</f>
        <v/>
      </c>
      <c r="V64" s="52" t="str">
        <f aca="false">IF($C64="","",SUMIFS(Статистика!$E$7:$E$1006,Статистика!$B$7:$B$1006,"&gt;="&amp;($C64+1),Статистика!$B$7:$B$1006,"&lt;="&amp;($C64+$D$5),Статистика!$C$7:$C$1006,IF($D64="","&lt;&gt;§",$D64),Статистика!$D$7:$D$1006,IF($E64="","&lt;&gt;§",$E64)))</f>
        <v/>
      </c>
      <c r="W64" s="52" t="str">
        <f aca="false">IF($C64="","",SUMIFS(Статистика!$H$7:$H$1006,Статистика!$B$7:$B$1006,"&gt;="&amp;($C64+1),Статистика!$B$7:$B$1006,"&lt;="&amp;($C64+$D$5),Статистика!$C$7:$C$1006,IF($D64="","&lt;&gt;§",$D64),Статистика!$D$7:$D$1006,IF($E64="","&lt;&gt;§",$E64)))</f>
        <v/>
      </c>
      <c r="X64" s="52" t="str">
        <f aca="false">IF($C64="","",SUMIFS(Статистика!$T$7:$T$1006,Статистика!$B$7:$B$1006,"&gt;="&amp;($C64+1),Статистика!$B$7:$B$1006,"&lt;="&amp;($C64+$D$5),Статистика!$C$7:$C$1006,IF($D64="","&lt;&gt;§",$D64),Статистика!$D$7:$D$1006,IF($E64="","&lt;&gt;§",$E64)))</f>
        <v/>
      </c>
      <c r="Y64" s="1"/>
      <c r="Z64" s="1"/>
      <c r="AA64" s="1"/>
      <c r="AB64" s="1"/>
      <c r="AC64" s="1"/>
      <c r="AD64" s="1"/>
    </row>
    <row r="65" customFormat="false" ht="30" hidden="false" customHeight="true" outlineLevel="0" collapsed="false">
      <c r="A65" s="1"/>
      <c r="B65" s="49" t="str">
        <f aca="false">IF($C65="","",ROW()-8)</f>
        <v/>
      </c>
      <c r="C65" s="35"/>
      <c r="D65" s="8"/>
      <c r="E65" s="26"/>
      <c r="F65" s="26"/>
      <c r="G65" s="50"/>
      <c r="H65" s="50"/>
      <c r="I65" s="30" t="str">
        <f aca="false">IF($C65="","",IFERROR(S65/T65,"—"))</f>
        <v/>
      </c>
      <c r="J65" s="30" t="str">
        <f aca="false">IF($C65="","",IFERROR(V65/W65,"—"))</f>
        <v/>
      </c>
      <c r="K65" s="41" t="str">
        <f aca="false">IF($C65="","",IFERROR(J65/I65-1,""))</f>
        <v/>
      </c>
      <c r="L65" s="41" t="str">
        <f aca="false">IF($C65="","",IFERROR((U65-S65)/S65,"—"))</f>
        <v/>
      </c>
      <c r="M65" s="41" t="str">
        <f aca="false">IF($C65="","",IFERROR((X65-V65)/V65,"—"))</f>
        <v/>
      </c>
      <c r="N65" s="39" t="str">
        <f aca="false">IF($C65="","",T65/$D$5)</f>
        <v/>
      </c>
      <c r="O65" s="39" t="str">
        <f aca="false">IF($C65="","",W65/$D$5)</f>
        <v/>
      </c>
      <c r="P65" s="51" t="str">
        <f aca="false">IF($C65="","",IF(MAX(Статистика!$B$7:$B$1006)&lt;$C65+$D$5,"Чекаємо даних",IF(S65=0,"Новий (без бази)",IF(OR(T65=0,W65=0),"Мало даних",IF(K65&lt;=-$F$5,"Покращило",IF(K65&gt;=$F$5,"Погіршило","Без змін"))))))</f>
        <v/>
      </c>
      <c r="Q65" s="50"/>
      <c r="R65" s="1"/>
      <c r="S65" s="52" t="str">
        <f aca="false">IF($C65="","",SUMIFS(Статистика!$E$7:$E$1006,Статистика!$B$7:$B$1006,"&gt;="&amp;($C65-$D$5),Статистика!$B$7:$B$1006,"&lt;="&amp;($C65-1),Статистика!$C$7:$C$1006,IF($D65="","&lt;&gt;§",$D65),Статистика!$D$7:$D$1006,IF($E65="","&lt;&gt;§",$E65)))</f>
        <v/>
      </c>
      <c r="T65" s="52" t="str">
        <f aca="false">IF($C65="","",SUMIFS(Статистика!$H$7:$H$1006,Статистика!$B$7:$B$1006,"&gt;="&amp;($C65-$D$5),Статистика!$B$7:$B$1006,"&lt;="&amp;($C65-1),Статистика!$C$7:$C$1006,IF($D65="","&lt;&gt;§",$D65),Статистика!$D$7:$D$1006,IF($E65="","&lt;&gt;§",$E65)))</f>
        <v/>
      </c>
      <c r="U65" s="52" t="str">
        <f aca="false">IF($C65="","",SUMIFS(Статистика!$T$7:$T$1006,Статистика!$B$7:$B$1006,"&gt;="&amp;($C65-$D$5),Статистика!$B$7:$B$1006,"&lt;="&amp;($C65-1),Статистика!$C$7:$C$1006,IF($D65="","&lt;&gt;§",$D65),Статистика!$D$7:$D$1006,IF($E65="","&lt;&gt;§",$E65)))</f>
        <v/>
      </c>
      <c r="V65" s="52" t="str">
        <f aca="false">IF($C65="","",SUMIFS(Статистика!$E$7:$E$1006,Статистика!$B$7:$B$1006,"&gt;="&amp;($C65+1),Статистика!$B$7:$B$1006,"&lt;="&amp;($C65+$D$5),Статистика!$C$7:$C$1006,IF($D65="","&lt;&gt;§",$D65),Статистика!$D$7:$D$1006,IF($E65="","&lt;&gt;§",$E65)))</f>
        <v/>
      </c>
      <c r="W65" s="52" t="str">
        <f aca="false">IF($C65="","",SUMIFS(Статистика!$H$7:$H$1006,Статистика!$B$7:$B$1006,"&gt;="&amp;($C65+1),Статистика!$B$7:$B$1006,"&lt;="&amp;($C65+$D$5),Статистика!$C$7:$C$1006,IF($D65="","&lt;&gt;§",$D65),Статистика!$D$7:$D$1006,IF($E65="","&lt;&gt;§",$E65)))</f>
        <v/>
      </c>
      <c r="X65" s="52" t="str">
        <f aca="false">IF($C65="","",SUMIFS(Статистика!$T$7:$T$1006,Статистика!$B$7:$B$1006,"&gt;="&amp;($C65+1),Статистика!$B$7:$B$1006,"&lt;="&amp;($C65+$D$5),Статистика!$C$7:$C$1006,IF($D65="","&lt;&gt;§",$D65),Статистика!$D$7:$D$1006,IF($E65="","&lt;&gt;§",$E65)))</f>
        <v/>
      </c>
      <c r="Y65" s="1"/>
      <c r="Z65" s="1"/>
      <c r="AA65" s="1"/>
      <c r="AB65" s="1"/>
      <c r="AC65" s="1"/>
      <c r="AD65" s="1"/>
    </row>
    <row r="66" customFormat="false" ht="30" hidden="false" customHeight="true" outlineLevel="0" collapsed="false">
      <c r="A66" s="1"/>
      <c r="B66" s="49" t="str">
        <f aca="false">IF($C66="","",ROW()-8)</f>
        <v/>
      </c>
      <c r="C66" s="35"/>
      <c r="D66" s="8"/>
      <c r="E66" s="26"/>
      <c r="F66" s="26"/>
      <c r="G66" s="50"/>
      <c r="H66" s="50"/>
      <c r="I66" s="30" t="str">
        <f aca="false">IF($C66="","",IFERROR(S66/T66,"—"))</f>
        <v/>
      </c>
      <c r="J66" s="30" t="str">
        <f aca="false">IF($C66="","",IFERROR(V66/W66,"—"))</f>
        <v/>
      </c>
      <c r="K66" s="41" t="str">
        <f aca="false">IF($C66="","",IFERROR(J66/I66-1,""))</f>
        <v/>
      </c>
      <c r="L66" s="41" t="str">
        <f aca="false">IF($C66="","",IFERROR((U66-S66)/S66,"—"))</f>
        <v/>
      </c>
      <c r="M66" s="41" t="str">
        <f aca="false">IF($C66="","",IFERROR((X66-V66)/V66,"—"))</f>
        <v/>
      </c>
      <c r="N66" s="39" t="str">
        <f aca="false">IF($C66="","",T66/$D$5)</f>
        <v/>
      </c>
      <c r="O66" s="39" t="str">
        <f aca="false">IF($C66="","",W66/$D$5)</f>
        <v/>
      </c>
      <c r="P66" s="51" t="str">
        <f aca="false">IF($C66="","",IF(MAX(Статистика!$B$7:$B$1006)&lt;$C66+$D$5,"Чекаємо даних",IF(S66=0,"Новий (без бази)",IF(OR(T66=0,W66=0),"Мало даних",IF(K66&lt;=-$F$5,"Покращило",IF(K66&gt;=$F$5,"Погіршило","Без змін"))))))</f>
        <v/>
      </c>
      <c r="Q66" s="50"/>
      <c r="R66" s="1"/>
      <c r="S66" s="52" t="str">
        <f aca="false">IF($C66="","",SUMIFS(Статистика!$E$7:$E$1006,Статистика!$B$7:$B$1006,"&gt;="&amp;($C66-$D$5),Статистика!$B$7:$B$1006,"&lt;="&amp;($C66-1),Статистика!$C$7:$C$1006,IF($D66="","&lt;&gt;§",$D66),Статистика!$D$7:$D$1006,IF($E66="","&lt;&gt;§",$E66)))</f>
        <v/>
      </c>
      <c r="T66" s="52" t="str">
        <f aca="false">IF($C66="","",SUMIFS(Статистика!$H$7:$H$1006,Статистика!$B$7:$B$1006,"&gt;="&amp;($C66-$D$5),Статистика!$B$7:$B$1006,"&lt;="&amp;($C66-1),Статистика!$C$7:$C$1006,IF($D66="","&lt;&gt;§",$D66),Статистика!$D$7:$D$1006,IF($E66="","&lt;&gt;§",$E66)))</f>
        <v/>
      </c>
      <c r="U66" s="52" t="str">
        <f aca="false">IF($C66="","",SUMIFS(Статистика!$T$7:$T$1006,Статистика!$B$7:$B$1006,"&gt;="&amp;($C66-$D$5),Статистика!$B$7:$B$1006,"&lt;="&amp;($C66-1),Статистика!$C$7:$C$1006,IF($D66="","&lt;&gt;§",$D66),Статистика!$D$7:$D$1006,IF($E66="","&lt;&gt;§",$E66)))</f>
        <v/>
      </c>
      <c r="V66" s="52" t="str">
        <f aca="false">IF($C66="","",SUMIFS(Статистика!$E$7:$E$1006,Статистика!$B$7:$B$1006,"&gt;="&amp;($C66+1),Статистика!$B$7:$B$1006,"&lt;="&amp;($C66+$D$5),Статистика!$C$7:$C$1006,IF($D66="","&lt;&gt;§",$D66),Статистика!$D$7:$D$1006,IF($E66="","&lt;&gt;§",$E66)))</f>
        <v/>
      </c>
      <c r="W66" s="52" t="str">
        <f aca="false">IF($C66="","",SUMIFS(Статистика!$H$7:$H$1006,Статистика!$B$7:$B$1006,"&gt;="&amp;($C66+1),Статистика!$B$7:$B$1006,"&lt;="&amp;($C66+$D$5),Статистика!$C$7:$C$1006,IF($D66="","&lt;&gt;§",$D66),Статистика!$D$7:$D$1006,IF($E66="","&lt;&gt;§",$E66)))</f>
        <v/>
      </c>
      <c r="X66" s="52" t="str">
        <f aca="false">IF($C66="","",SUMIFS(Статистика!$T$7:$T$1006,Статистика!$B$7:$B$1006,"&gt;="&amp;($C66+1),Статистика!$B$7:$B$1006,"&lt;="&amp;($C66+$D$5),Статистика!$C$7:$C$1006,IF($D66="","&lt;&gt;§",$D66),Статистика!$D$7:$D$1006,IF($E66="","&lt;&gt;§",$E66)))</f>
        <v/>
      </c>
      <c r="Y66" s="1"/>
      <c r="Z66" s="1"/>
      <c r="AA66" s="1"/>
      <c r="AB66" s="1"/>
      <c r="AC66" s="1"/>
      <c r="AD66" s="1"/>
    </row>
    <row r="67" customFormat="false" ht="30" hidden="false" customHeight="true" outlineLevel="0" collapsed="false">
      <c r="A67" s="1"/>
      <c r="B67" s="49" t="str">
        <f aca="false">IF($C67="","",ROW()-8)</f>
        <v/>
      </c>
      <c r="C67" s="35"/>
      <c r="D67" s="8"/>
      <c r="E67" s="26"/>
      <c r="F67" s="26"/>
      <c r="G67" s="50"/>
      <c r="H67" s="50"/>
      <c r="I67" s="30" t="str">
        <f aca="false">IF($C67="","",IFERROR(S67/T67,"—"))</f>
        <v/>
      </c>
      <c r="J67" s="30" t="str">
        <f aca="false">IF($C67="","",IFERROR(V67/W67,"—"))</f>
        <v/>
      </c>
      <c r="K67" s="41" t="str">
        <f aca="false">IF($C67="","",IFERROR(J67/I67-1,""))</f>
        <v/>
      </c>
      <c r="L67" s="41" t="str">
        <f aca="false">IF($C67="","",IFERROR((U67-S67)/S67,"—"))</f>
        <v/>
      </c>
      <c r="M67" s="41" t="str">
        <f aca="false">IF($C67="","",IFERROR((X67-V67)/V67,"—"))</f>
        <v/>
      </c>
      <c r="N67" s="39" t="str">
        <f aca="false">IF($C67="","",T67/$D$5)</f>
        <v/>
      </c>
      <c r="O67" s="39" t="str">
        <f aca="false">IF($C67="","",W67/$D$5)</f>
        <v/>
      </c>
      <c r="P67" s="51" t="str">
        <f aca="false">IF($C67="","",IF(MAX(Статистика!$B$7:$B$1006)&lt;$C67+$D$5,"Чекаємо даних",IF(S67=0,"Новий (без бази)",IF(OR(T67=0,W67=0),"Мало даних",IF(K67&lt;=-$F$5,"Покращило",IF(K67&gt;=$F$5,"Погіршило","Без змін"))))))</f>
        <v/>
      </c>
      <c r="Q67" s="50"/>
      <c r="R67" s="1"/>
      <c r="S67" s="52" t="str">
        <f aca="false">IF($C67="","",SUMIFS(Статистика!$E$7:$E$1006,Статистика!$B$7:$B$1006,"&gt;="&amp;($C67-$D$5),Статистика!$B$7:$B$1006,"&lt;="&amp;($C67-1),Статистика!$C$7:$C$1006,IF($D67="","&lt;&gt;§",$D67),Статистика!$D$7:$D$1006,IF($E67="","&lt;&gt;§",$E67)))</f>
        <v/>
      </c>
      <c r="T67" s="52" t="str">
        <f aca="false">IF($C67="","",SUMIFS(Статистика!$H$7:$H$1006,Статистика!$B$7:$B$1006,"&gt;="&amp;($C67-$D$5),Статистика!$B$7:$B$1006,"&lt;="&amp;($C67-1),Статистика!$C$7:$C$1006,IF($D67="","&lt;&gt;§",$D67),Статистика!$D$7:$D$1006,IF($E67="","&lt;&gt;§",$E67)))</f>
        <v/>
      </c>
      <c r="U67" s="52" t="str">
        <f aca="false">IF($C67="","",SUMIFS(Статистика!$T$7:$T$1006,Статистика!$B$7:$B$1006,"&gt;="&amp;($C67-$D$5),Статистика!$B$7:$B$1006,"&lt;="&amp;($C67-1),Статистика!$C$7:$C$1006,IF($D67="","&lt;&gt;§",$D67),Статистика!$D$7:$D$1006,IF($E67="","&lt;&gt;§",$E67)))</f>
        <v/>
      </c>
      <c r="V67" s="52" t="str">
        <f aca="false">IF($C67="","",SUMIFS(Статистика!$E$7:$E$1006,Статистика!$B$7:$B$1006,"&gt;="&amp;($C67+1),Статистика!$B$7:$B$1006,"&lt;="&amp;($C67+$D$5),Статистика!$C$7:$C$1006,IF($D67="","&lt;&gt;§",$D67),Статистика!$D$7:$D$1006,IF($E67="","&lt;&gt;§",$E67)))</f>
        <v/>
      </c>
      <c r="W67" s="52" t="str">
        <f aca="false">IF($C67="","",SUMIFS(Статистика!$H$7:$H$1006,Статистика!$B$7:$B$1006,"&gt;="&amp;($C67+1),Статистика!$B$7:$B$1006,"&lt;="&amp;($C67+$D$5),Статистика!$C$7:$C$1006,IF($D67="","&lt;&gt;§",$D67),Статистика!$D$7:$D$1006,IF($E67="","&lt;&gt;§",$E67)))</f>
        <v/>
      </c>
      <c r="X67" s="52" t="str">
        <f aca="false">IF($C67="","",SUMIFS(Статистика!$T$7:$T$1006,Статистика!$B$7:$B$1006,"&gt;="&amp;($C67+1),Статистика!$B$7:$B$1006,"&lt;="&amp;($C67+$D$5),Статистика!$C$7:$C$1006,IF($D67="","&lt;&gt;§",$D67),Статистика!$D$7:$D$1006,IF($E67="","&lt;&gt;§",$E67)))</f>
        <v/>
      </c>
      <c r="Y67" s="1"/>
      <c r="Z67" s="1"/>
      <c r="AA67" s="1"/>
      <c r="AB67" s="1"/>
      <c r="AC67" s="1"/>
      <c r="AD67" s="1"/>
    </row>
    <row r="68" customFormat="false" ht="30" hidden="false" customHeight="true" outlineLevel="0" collapsed="false">
      <c r="A68" s="1"/>
      <c r="B68" s="49" t="str">
        <f aca="false">IF($C68="","",ROW()-8)</f>
        <v/>
      </c>
      <c r="C68" s="35"/>
      <c r="D68" s="8"/>
      <c r="E68" s="26"/>
      <c r="F68" s="26"/>
      <c r="G68" s="50"/>
      <c r="H68" s="50"/>
      <c r="I68" s="30" t="str">
        <f aca="false">IF($C68="","",IFERROR(S68/T68,"—"))</f>
        <v/>
      </c>
      <c r="J68" s="30" t="str">
        <f aca="false">IF($C68="","",IFERROR(V68/W68,"—"))</f>
        <v/>
      </c>
      <c r="K68" s="41" t="str">
        <f aca="false">IF($C68="","",IFERROR(J68/I68-1,""))</f>
        <v/>
      </c>
      <c r="L68" s="41" t="str">
        <f aca="false">IF($C68="","",IFERROR((U68-S68)/S68,"—"))</f>
        <v/>
      </c>
      <c r="M68" s="41" t="str">
        <f aca="false">IF($C68="","",IFERROR((X68-V68)/V68,"—"))</f>
        <v/>
      </c>
      <c r="N68" s="39" t="str">
        <f aca="false">IF($C68="","",T68/$D$5)</f>
        <v/>
      </c>
      <c r="O68" s="39" t="str">
        <f aca="false">IF($C68="","",W68/$D$5)</f>
        <v/>
      </c>
      <c r="P68" s="51" t="str">
        <f aca="false">IF($C68="","",IF(MAX(Статистика!$B$7:$B$1006)&lt;$C68+$D$5,"Чекаємо даних",IF(S68=0,"Новий (без бази)",IF(OR(T68=0,W68=0),"Мало даних",IF(K68&lt;=-$F$5,"Покращило",IF(K68&gt;=$F$5,"Погіршило","Без змін"))))))</f>
        <v/>
      </c>
      <c r="Q68" s="50"/>
      <c r="R68" s="1"/>
      <c r="S68" s="52" t="str">
        <f aca="false">IF($C68="","",SUMIFS(Статистика!$E$7:$E$1006,Статистика!$B$7:$B$1006,"&gt;="&amp;($C68-$D$5),Статистика!$B$7:$B$1006,"&lt;="&amp;($C68-1),Статистика!$C$7:$C$1006,IF($D68="","&lt;&gt;§",$D68),Статистика!$D$7:$D$1006,IF($E68="","&lt;&gt;§",$E68)))</f>
        <v/>
      </c>
      <c r="T68" s="52" t="str">
        <f aca="false">IF($C68="","",SUMIFS(Статистика!$H$7:$H$1006,Статистика!$B$7:$B$1006,"&gt;="&amp;($C68-$D$5),Статистика!$B$7:$B$1006,"&lt;="&amp;($C68-1),Статистика!$C$7:$C$1006,IF($D68="","&lt;&gt;§",$D68),Статистика!$D$7:$D$1006,IF($E68="","&lt;&gt;§",$E68)))</f>
        <v/>
      </c>
      <c r="U68" s="52" t="str">
        <f aca="false">IF($C68="","",SUMIFS(Статистика!$T$7:$T$1006,Статистика!$B$7:$B$1006,"&gt;="&amp;($C68-$D$5),Статистика!$B$7:$B$1006,"&lt;="&amp;($C68-1),Статистика!$C$7:$C$1006,IF($D68="","&lt;&gt;§",$D68),Статистика!$D$7:$D$1006,IF($E68="","&lt;&gt;§",$E68)))</f>
        <v/>
      </c>
      <c r="V68" s="52" t="str">
        <f aca="false">IF($C68="","",SUMIFS(Статистика!$E$7:$E$1006,Статистика!$B$7:$B$1006,"&gt;="&amp;($C68+1),Статистика!$B$7:$B$1006,"&lt;="&amp;($C68+$D$5),Статистика!$C$7:$C$1006,IF($D68="","&lt;&gt;§",$D68),Статистика!$D$7:$D$1006,IF($E68="","&lt;&gt;§",$E68)))</f>
        <v/>
      </c>
      <c r="W68" s="52" t="str">
        <f aca="false">IF($C68="","",SUMIFS(Статистика!$H$7:$H$1006,Статистика!$B$7:$B$1006,"&gt;="&amp;($C68+1),Статистика!$B$7:$B$1006,"&lt;="&amp;($C68+$D$5),Статистика!$C$7:$C$1006,IF($D68="","&lt;&gt;§",$D68),Статистика!$D$7:$D$1006,IF($E68="","&lt;&gt;§",$E68)))</f>
        <v/>
      </c>
      <c r="X68" s="52" t="str">
        <f aca="false">IF($C68="","",SUMIFS(Статистика!$T$7:$T$1006,Статистика!$B$7:$B$1006,"&gt;="&amp;($C68+1),Статистика!$B$7:$B$1006,"&lt;="&amp;($C68+$D$5),Статистика!$C$7:$C$1006,IF($D68="","&lt;&gt;§",$D68),Статистика!$D$7:$D$1006,IF($E68="","&lt;&gt;§",$E68)))</f>
        <v/>
      </c>
      <c r="Y68" s="1"/>
      <c r="Z68" s="1"/>
      <c r="AA68" s="1"/>
      <c r="AB68" s="1"/>
      <c r="AC68" s="1"/>
      <c r="AD68" s="1"/>
    </row>
    <row r="69" customFormat="false" ht="30" hidden="false" customHeight="true" outlineLevel="0" collapsed="false">
      <c r="A69" s="1"/>
      <c r="B69" s="49" t="str">
        <f aca="false">IF($C69="","",ROW()-8)</f>
        <v/>
      </c>
      <c r="C69" s="35"/>
      <c r="D69" s="8"/>
      <c r="E69" s="26"/>
      <c r="F69" s="26"/>
      <c r="G69" s="50"/>
      <c r="H69" s="50"/>
      <c r="I69" s="30" t="str">
        <f aca="false">IF($C69="","",IFERROR(S69/T69,"—"))</f>
        <v/>
      </c>
      <c r="J69" s="30" t="str">
        <f aca="false">IF($C69="","",IFERROR(V69/W69,"—"))</f>
        <v/>
      </c>
      <c r="K69" s="41" t="str">
        <f aca="false">IF($C69="","",IFERROR(J69/I69-1,""))</f>
        <v/>
      </c>
      <c r="L69" s="41" t="str">
        <f aca="false">IF($C69="","",IFERROR((U69-S69)/S69,"—"))</f>
        <v/>
      </c>
      <c r="M69" s="41" t="str">
        <f aca="false">IF($C69="","",IFERROR((X69-V69)/V69,"—"))</f>
        <v/>
      </c>
      <c r="N69" s="39" t="str">
        <f aca="false">IF($C69="","",T69/$D$5)</f>
        <v/>
      </c>
      <c r="O69" s="39" t="str">
        <f aca="false">IF($C69="","",W69/$D$5)</f>
        <v/>
      </c>
      <c r="P69" s="51" t="str">
        <f aca="false">IF($C69="","",IF(MAX(Статистика!$B$7:$B$1006)&lt;$C69+$D$5,"Чекаємо даних",IF(S69=0,"Новий (без бази)",IF(OR(T69=0,W69=0),"Мало даних",IF(K69&lt;=-$F$5,"Покращило",IF(K69&gt;=$F$5,"Погіршило","Без змін"))))))</f>
        <v/>
      </c>
      <c r="Q69" s="50"/>
      <c r="R69" s="1"/>
      <c r="S69" s="52" t="str">
        <f aca="false">IF($C69="","",SUMIFS(Статистика!$E$7:$E$1006,Статистика!$B$7:$B$1006,"&gt;="&amp;($C69-$D$5),Статистика!$B$7:$B$1006,"&lt;="&amp;($C69-1),Статистика!$C$7:$C$1006,IF($D69="","&lt;&gt;§",$D69),Статистика!$D$7:$D$1006,IF($E69="","&lt;&gt;§",$E69)))</f>
        <v/>
      </c>
      <c r="T69" s="52" t="str">
        <f aca="false">IF($C69="","",SUMIFS(Статистика!$H$7:$H$1006,Статистика!$B$7:$B$1006,"&gt;="&amp;($C69-$D$5),Статистика!$B$7:$B$1006,"&lt;="&amp;($C69-1),Статистика!$C$7:$C$1006,IF($D69="","&lt;&gt;§",$D69),Статистика!$D$7:$D$1006,IF($E69="","&lt;&gt;§",$E69)))</f>
        <v/>
      </c>
      <c r="U69" s="52" t="str">
        <f aca="false">IF($C69="","",SUMIFS(Статистика!$T$7:$T$1006,Статистика!$B$7:$B$1006,"&gt;="&amp;($C69-$D$5),Статистика!$B$7:$B$1006,"&lt;="&amp;($C69-1),Статистика!$C$7:$C$1006,IF($D69="","&lt;&gt;§",$D69),Статистика!$D$7:$D$1006,IF($E69="","&lt;&gt;§",$E69)))</f>
        <v/>
      </c>
      <c r="V69" s="52" t="str">
        <f aca="false">IF($C69="","",SUMIFS(Статистика!$E$7:$E$1006,Статистика!$B$7:$B$1006,"&gt;="&amp;($C69+1),Статистика!$B$7:$B$1006,"&lt;="&amp;($C69+$D$5),Статистика!$C$7:$C$1006,IF($D69="","&lt;&gt;§",$D69),Статистика!$D$7:$D$1006,IF($E69="","&lt;&gt;§",$E69)))</f>
        <v/>
      </c>
      <c r="W69" s="52" t="str">
        <f aca="false">IF($C69="","",SUMIFS(Статистика!$H$7:$H$1006,Статистика!$B$7:$B$1006,"&gt;="&amp;($C69+1),Статистика!$B$7:$B$1006,"&lt;="&amp;($C69+$D$5),Статистика!$C$7:$C$1006,IF($D69="","&lt;&gt;§",$D69),Статистика!$D$7:$D$1006,IF($E69="","&lt;&gt;§",$E69)))</f>
        <v/>
      </c>
      <c r="X69" s="52" t="str">
        <f aca="false">IF($C69="","",SUMIFS(Статистика!$T$7:$T$1006,Статистика!$B$7:$B$1006,"&gt;="&amp;($C69+1),Статистика!$B$7:$B$1006,"&lt;="&amp;($C69+$D$5),Статистика!$C$7:$C$1006,IF($D69="","&lt;&gt;§",$D69),Статистика!$D$7:$D$1006,IF($E69="","&lt;&gt;§",$E69)))</f>
        <v/>
      </c>
      <c r="Y69" s="1"/>
      <c r="Z69" s="1"/>
      <c r="AA69" s="1"/>
      <c r="AB69" s="1"/>
      <c r="AC69" s="1"/>
      <c r="AD69" s="1"/>
    </row>
    <row r="70" customFormat="false" ht="30" hidden="false" customHeight="true" outlineLevel="0" collapsed="false">
      <c r="A70" s="1"/>
      <c r="B70" s="49" t="str">
        <f aca="false">IF($C70="","",ROW()-8)</f>
        <v/>
      </c>
      <c r="C70" s="35"/>
      <c r="D70" s="8"/>
      <c r="E70" s="26"/>
      <c r="F70" s="26"/>
      <c r="G70" s="50"/>
      <c r="H70" s="50"/>
      <c r="I70" s="30" t="str">
        <f aca="false">IF($C70="","",IFERROR(S70/T70,"—"))</f>
        <v/>
      </c>
      <c r="J70" s="30" t="str">
        <f aca="false">IF($C70="","",IFERROR(V70/W70,"—"))</f>
        <v/>
      </c>
      <c r="K70" s="41" t="str">
        <f aca="false">IF($C70="","",IFERROR(J70/I70-1,""))</f>
        <v/>
      </c>
      <c r="L70" s="41" t="str">
        <f aca="false">IF($C70="","",IFERROR((U70-S70)/S70,"—"))</f>
        <v/>
      </c>
      <c r="M70" s="41" t="str">
        <f aca="false">IF($C70="","",IFERROR((X70-V70)/V70,"—"))</f>
        <v/>
      </c>
      <c r="N70" s="39" t="str">
        <f aca="false">IF($C70="","",T70/$D$5)</f>
        <v/>
      </c>
      <c r="O70" s="39" t="str">
        <f aca="false">IF($C70="","",W70/$D$5)</f>
        <v/>
      </c>
      <c r="P70" s="51" t="str">
        <f aca="false">IF($C70="","",IF(MAX(Статистика!$B$7:$B$1006)&lt;$C70+$D$5,"Чекаємо даних",IF(S70=0,"Новий (без бази)",IF(OR(T70=0,W70=0),"Мало даних",IF(K70&lt;=-$F$5,"Покращило",IF(K70&gt;=$F$5,"Погіршило","Без змін"))))))</f>
        <v/>
      </c>
      <c r="Q70" s="50"/>
      <c r="R70" s="1"/>
      <c r="S70" s="52" t="str">
        <f aca="false">IF($C70="","",SUMIFS(Статистика!$E$7:$E$1006,Статистика!$B$7:$B$1006,"&gt;="&amp;($C70-$D$5),Статистика!$B$7:$B$1006,"&lt;="&amp;($C70-1),Статистика!$C$7:$C$1006,IF($D70="","&lt;&gt;§",$D70),Статистика!$D$7:$D$1006,IF($E70="","&lt;&gt;§",$E70)))</f>
        <v/>
      </c>
      <c r="T70" s="52" t="str">
        <f aca="false">IF($C70="","",SUMIFS(Статистика!$H$7:$H$1006,Статистика!$B$7:$B$1006,"&gt;="&amp;($C70-$D$5),Статистика!$B$7:$B$1006,"&lt;="&amp;($C70-1),Статистика!$C$7:$C$1006,IF($D70="","&lt;&gt;§",$D70),Статистика!$D$7:$D$1006,IF($E70="","&lt;&gt;§",$E70)))</f>
        <v/>
      </c>
      <c r="U70" s="52" t="str">
        <f aca="false">IF($C70="","",SUMIFS(Статистика!$T$7:$T$1006,Статистика!$B$7:$B$1006,"&gt;="&amp;($C70-$D$5),Статистика!$B$7:$B$1006,"&lt;="&amp;($C70-1),Статистика!$C$7:$C$1006,IF($D70="","&lt;&gt;§",$D70),Статистика!$D$7:$D$1006,IF($E70="","&lt;&gt;§",$E70)))</f>
        <v/>
      </c>
      <c r="V70" s="52" t="str">
        <f aca="false">IF($C70="","",SUMIFS(Статистика!$E$7:$E$1006,Статистика!$B$7:$B$1006,"&gt;="&amp;($C70+1),Статистика!$B$7:$B$1006,"&lt;="&amp;($C70+$D$5),Статистика!$C$7:$C$1006,IF($D70="","&lt;&gt;§",$D70),Статистика!$D$7:$D$1006,IF($E70="","&lt;&gt;§",$E70)))</f>
        <v/>
      </c>
      <c r="W70" s="52" t="str">
        <f aca="false">IF($C70="","",SUMIFS(Статистика!$H$7:$H$1006,Статистика!$B$7:$B$1006,"&gt;="&amp;($C70+1),Статистика!$B$7:$B$1006,"&lt;="&amp;($C70+$D$5),Статистика!$C$7:$C$1006,IF($D70="","&lt;&gt;§",$D70),Статистика!$D$7:$D$1006,IF($E70="","&lt;&gt;§",$E70)))</f>
        <v/>
      </c>
      <c r="X70" s="52" t="str">
        <f aca="false">IF($C70="","",SUMIFS(Статистика!$T$7:$T$1006,Статистика!$B$7:$B$1006,"&gt;="&amp;($C70+1),Статистика!$B$7:$B$1006,"&lt;="&amp;($C70+$D$5),Статистика!$C$7:$C$1006,IF($D70="","&lt;&gt;§",$D70),Статистика!$D$7:$D$1006,IF($E70="","&lt;&gt;§",$E70)))</f>
        <v/>
      </c>
      <c r="Y70" s="1"/>
      <c r="Z70" s="1"/>
      <c r="AA70" s="1"/>
      <c r="AB70" s="1"/>
      <c r="AC70" s="1"/>
      <c r="AD70" s="1"/>
    </row>
    <row r="71" customFormat="false" ht="30" hidden="false" customHeight="true" outlineLevel="0" collapsed="false">
      <c r="A71" s="1"/>
      <c r="B71" s="49" t="str">
        <f aca="false">IF($C71="","",ROW()-8)</f>
        <v/>
      </c>
      <c r="C71" s="35"/>
      <c r="D71" s="8"/>
      <c r="E71" s="26"/>
      <c r="F71" s="26"/>
      <c r="G71" s="50"/>
      <c r="H71" s="50"/>
      <c r="I71" s="30" t="str">
        <f aca="false">IF($C71="","",IFERROR(S71/T71,"—"))</f>
        <v/>
      </c>
      <c r="J71" s="30" t="str">
        <f aca="false">IF($C71="","",IFERROR(V71/W71,"—"))</f>
        <v/>
      </c>
      <c r="K71" s="41" t="str">
        <f aca="false">IF($C71="","",IFERROR(J71/I71-1,""))</f>
        <v/>
      </c>
      <c r="L71" s="41" t="str">
        <f aca="false">IF($C71="","",IFERROR((U71-S71)/S71,"—"))</f>
        <v/>
      </c>
      <c r="M71" s="41" t="str">
        <f aca="false">IF($C71="","",IFERROR((X71-V71)/V71,"—"))</f>
        <v/>
      </c>
      <c r="N71" s="39" t="str">
        <f aca="false">IF($C71="","",T71/$D$5)</f>
        <v/>
      </c>
      <c r="O71" s="39" t="str">
        <f aca="false">IF($C71="","",W71/$D$5)</f>
        <v/>
      </c>
      <c r="P71" s="51" t="str">
        <f aca="false">IF($C71="","",IF(MAX(Статистика!$B$7:$B$1006)&lt;$C71+$D$5,"Чекаємо даних",IF(S71=0,"Новий (без бази)",IF(OR(T71=0,W71=0),"Мало даних",IF(K71&lt;=-$F$5,"Покращило",IF(K71&gt;=$F$5,"Погіршило","Без змін"))))))</f>
        <v/>
      </c>
      <c r="Q71" s="50"/>
      <c r="R71" s="1"/>
      <c r="S71" s="52" t="str">
        <f aca="false">IF($C71="","",SUMIFS(Статистика!$E$7:$E$1006,Статистика!$B$7:$B$1006,"&gt;="&amp;($C71-$D$5),Статистика!$B$7:$B$1006,"&lt;="&amp;($C71-1),Статистика!$C$7:$C$1006,IF($D71="","&lt;&gt;§",$D71),Статистика!$D$7:$D$1006,IF($E71="","&lt;&gt;§",$E71)))</f>
        <v/>
      </c>
      <c r="T71" s="52" t="str">
        <f aca="false">IF($C71="","",SUMIFS(Статистика!$H$7:$H$1006,Статистика!$B$7:$B$1006,"&gt;="&amp;($C71-$D$5),Статистика!$B$7:$B$1006,"&lt;="&amp;($C71-1),Статистика!$C$7:$C$1006,IF($D71="","&lt;&gt;§",$D71),Статистика!$D$7:$D$1006,IF($E71="","&lt;&gt;§",$E71)))</f>
        <v/>
      </c>
      <c r="U71" s="52" t="str">
        <f aca="false">IF($C71="","",SUMIFS(Статистика!$T$7:$T$1006,Статистика!$B$7:$B$1006,"&gt;="&amp;($C71-$D$5),Статистика!$B$7:$B$1006,"&lt;="&amp;($C71-1),Статистика!$C$7:$C$1006,IF($D71="","&lt;&gt;§",$D71),Статистика!$D$7:$D$1006,IF($E71="","&lt;&gt;§",$E71)))</f>
        <v/>
      </c>
      <c r="V71" s="52" t="str">
        <f aca="false">IF($C71="","",SUMIFS(Статистика!$E$7:$E$1006,Статистика!$B$7:$B$1006,"&gt;="&amp;($C71+1),Статистика!$B$7:$B$1006,"&lt;="&amp;($C71+$D$5),Статистика!$C$7:$C$1006,IF($D71="","&lt;&gt;§",$D71),Статистика!$D$7:$D$1006,IF($E71="","&lt;&gt;§",$E71)))</f>
        <v/>
      </c>
      <c r="W71" s="52" t="str">
        <f aca="false">IF($C71="","",SUMIFS(Статистика!$H$7:$H$1006,Статистика!$B$7:$B$1006,"&gt;="&amp;($C71+1),Статистика!$B$7:$B$1006,"&lt;="&amp;($C71+$D$5),Статистика!$C$7:$C$1006,IF($D71="","&lt;&gt;§",$D71),Статистика!$D$7:$D$1006,IF($E71="","&lt;&gt;§",$E71)))</f>
        <v/>
      </c>
      <c r="X71" s="52" t="str">
        <f aca="false">IF($C71="","",SUMIFS(Статистика!$T$7:$T$1006,Статистика!$B$7:$B$1006,"&gt;="&amp;($C71+1),Статистика!$B$7:$B$1006,"&lt;="&amp;($C71+$D$5),Статистика!$C$7:$C$1006,IF($D71="","&lt;&gt;§",$D71),Статистика!$D$7:$D$1006,IF($E71="","&lt;&gt;§",$E71)))</f>
        <v/>
      </c>
      <c r="Y71" s="1"/>
      <c r="Z71" s="1"/>
      <c r="AA71" s="1"/>
      <c r="AB71" s="1"/>
      <c r="AC71" s="1"/>
      <c r="AD71" s="1"/>
    </row>
    <row r="72" customFormat="false" ht="30" hidden="false" customHeight="true" outlineLevel="0" collapsed="false">
      <c r="A72" s="1"/>
      <c r="B72" s="49" t="str">
        <f aca="false">IF($C72="","",ROW()-8)</f>
        <v/>
      </c>
      <c r="C72" s="35"/>
      <c r="D72" s="8"/>
      <c r="E72" s="26"/>
      <c r="F72" s="26"/>
      <c r="G72" s="50"/>
      <c r="H72" s="50"/>
      <c r="I72" s="30" t="str">
        <f aca="false">IF($C72="","",IFERROR(S72/T72,"—"))</f>
        <v/>
      </c>
      <c r="J72" s="30" t="str">
        <f aca="false">IF($C72="","",IFERROR(V72/W72,"—"))</f>
        <v/>
      </c>
      <c r="K72" s="41" t="str">
        <f aca="false">IF($C72="","",IFERROR(J72/I72-1,""))</f>
        <v/>
      </c>
      <c r="L72" s="41" t="str">
        <f aca="false">IF($C72="","",IFERROR((U72-S72)/S72,"—"))</f>
        <v/>
      </c>
      <c r="M72" s="41" t="str">
        <f aca="false">IF($C72="","",IFERROR((X72-V72)/V72,"—"))</f>
        <v/>
      </c>
      <c r="N72" s="39" t="str">
        <f aca="false">IF($C72="","",T72/$D$5)</f>
        <v/>
      </c>
      <c r="O72" s="39" t="str">
        <f aca="false">IF($C72="","",W72/$D$5)</f>
        <v/>
      </c>
      <c r="P72" s="51" t="str">
        <f aca="false">IF($C72="","",IF(MAX(Статистика!$B$7:$B$1006)&lt;$C72+$D$5,"Чекаємо даних",IF(S72=0,"Новий (без бази)",IF(OR(T72=0,W72=0),"Мало даних",IF(K72&lt;=-$F$5,"Покращило",IF(K72&gt;=$F$5,"Погіршило","Без змін"))))))</f>
        <v/>
      </c>
      <c r="Q72" s="50"/>
      <c r="R72" s="1"/>
      <c r="S72" s="52" t="str">
        <f aca="false">IF($C72="","",SUMIFS(Статистика!$E$7:$E$1006,Статистика!$B$7:$B$1006,"&gt;="&amp;($C72-$D$5),Статистика!$B$7:$B$1006,"&lt;="&amp;($C72-1),Статистика!$C$7:$C$1006,IF($D72="","&lt;&gt;§",$D72),Статистика!$D$7:$D$1006,IF($E72="","&lt;&gt;§",$E72)))</f>
        <v/>
      </c>
      <c r="T72" s="52" t="str">
        <f aca="false">IF($C72="","",SUMIFS(Статистика!$H$7:$H$1006,Статистика!$B$7:$B$1006,"&gt;="&amp;($C72-$D$5),Статистика!$B$7:$B$1006,"&lt;="&amp;($C72-1),Статистика!$C$7:$C$1006,IF($D72="","&lt;&gt;§",$D72),Статистика!$D$7:$D$1006,IF($E72="","&lt;&gt;§",$E72)))</f>
        <v/>
      </c>
      <c r="U72" s="52" t="str">
        <f aca="false">IF($C72="","",SUMIFS(Статистика!$T$7:$T$1006,Статистика!$B$7:$B$1006,"&gt;="&amp;($C72-$D$5),Статистика!$B$7:$B$1006,"&lt;="&amp;($C72-1),Статистика!$C$7:$C$1006,IF($D72="","&lt;&gt;§",$D72),Статистика!$D$7:$D$1006,IF($E72="","&lt;&gt;§",$E72)))</f>
        <v/>
      </c>
      <c r="V72" s="52" t="str">
        <f aca="false">IF($C72="","",SUMIFS(Статистика!$E$7:$E$1006,Статистика!$B$7:$B$1006,"&gt;="&amp;($C72+1),Статистика!$B$7:$B$1006,"&lt;="&amp;($C72+$D$5),Статистика!$C$7:$C$1006,IF($D72="","&lt;&gt;§",$D72),Статистика!$D$7:$D$1006,IF($E72="","&lt;&gt;§",$E72)))</f>
        <v/>
      </c>
      <c r="W72" s="52" t="str">
        <f aca="false">IF($C72="","",SUMIFS(Статистика!$H$7:$H$1006,Статистика!$B$7:$B$1006,"&gt;="&amp;($C72+1),Статистика!$B$7:$B$1006,"&lt;="&amp;($C72+$D$5),Статистика!$C$7:$C$1006,IF($D72="","&lt;&gt;§",$D72),Статистика!$D$7:$D$1006,IF($E72="","&lt;&gt;§",$E72)))</f>
        <v/>
      </c>
      <c r="X72" s="52" t="str">
        <f aca="false">IF($C72="","",SUMIFS(Статистика!$T$7:$T$1006,Статистика!$B$7:$B$1006,"&gt;="&amp;($C72+1),Статистика!$B$7:$B$1006,"&lt;="&amp;($C72+$D$5),Статистика!$C$7:$C$1006,IF($D72="","&lt;&gt;§",$D72),Статистика!$D$7:$D$1006,IF($E72="","&lt;&gt;§",$E72)))</f>
        <v/>
      </c>
      <c r="Y72" s="1"/>
      <c r="Z72" s="1"/>
      <c r="AA72" s="1"/>
      <c r="AB72" s="1"/>
      <c r="AC72" s="1"/>
      <c r="AD72" s="1"/>
    </row>
    <row r="73" customFormat="false" ht="30" hidden="false" customHeight="true" outlineLevel="0" collapsed="false">
      <c r="A73" s="1"/>
      <c r="B73" s="49" t="str">
        <f aca="false">IF($C73="","",ROW()-8)</f>
        <v/>
      </c>
      <c r="C73" s="35"/>
      <c r="D73" s="8"/>
      <c r="E73" s="26"/>
      <c r="F73" s="26"/>
      <c r="G73" s="50"/>
      <c r="H73" s="50"/>
      <c r="I73" s="30" t="str">
        <f aca="false">IF($C73="","",IFERROR(S73/T73,"—"))</f>
        <v/>
      </c>
      <c r="J73" s="30" t="str">
        <f aca="false">IF($C73="","",IFERROR(V73/W73,"—"))</f>
        <v/>
      </c>
      <c r="K73" s="41" t="str">
        <f aca="false">IF($C73="","",IFERROR(J73/I73-1,""))</f>
        <v/>
      </c>
      <c r="L73" s="41" t="str">
        <f aca="false">IF($C73="","",IFERROR((U73-S73)/S73,"—"))</f>
        <v/>
      </c>
      <c r="M73" s="41" t="str">
        <f aca="false">IF($C73="","",IFERROR((X73-V73)/V73,"—"))</f>
        <v/>
      </c>
      <c r="N73" s="39" t="str">
        <f aca="false">IF($C73="","",T73/$D$5)</f>
        <v/>
      </c>
      <c r="O73" s="39" t="str">
        <f aca="false">IF($C73="","",W73/$D$5)</f>
        <v/>
      </c>
      <c r="P73" s="51" t="str">
        <f aca="false">IF($C73="","",IF(MAX(Статистика!$B$7:$B$1006)&lt;$C73+$D$5,"Чекаємо даних",IF(S73=0,"Новий (без бази)",IF(OR(T73=0,W73=0),"Мало даних",IF(K73&lt;=-$F$5,"Покращило",IF(K73&gt;=$F$5,"Погіршило","Без змін"))))))</f>
        <v/>
      </c>
      <c r="Q73" s="50"/>
      <c r="R73" s="1"/>
      <c r="S73" s="52" t="str">
        <f aca="false">IF($C73="","",SUMIFS(Статистика!$E$7:$E$1006,Статистика!$B$7:$B$1006,"&gt;="&amp;($C73-$D$5),Статистика!$B$7:$B$1006,"&lt;="&amp;($C73-1),Статистика!$C$7:$C$1006,IF($D73="","&lt;&gt;§",$D73),Статистика!$D$7:$D$1006,IF($E73="","&lt;&gt;§",$E73)))</f>
        <v/>
      </c>
      <c r="T73" s="52" t="str">
        <f aca="false">IF($C73="","",SUMIFS(Статистика!$H$7:$H$1006,Статистика!$B$7:$B$1006,"&gt;="&amp;($C73-$D$5),Статистика!$B$7:$B$1006,"&lt;="&amp;($C73-1),Статистика!$C$7:$C$1006,IF($D73="","&lt;&gt;§",$D73),Статистика!$D$7:$D$1006,IF($E73="","&lt;&gt;§",$E73)))</f>
        <v/>
      </c>
      <c r="U73" s="52" t="str">
        <f aca="false">IF($C73="","",SUMIFS(Статистика!$T$7:$T$1006,Статистика!$B$7:$B$1006,"&gt;="&amp;($C73-$D$5),Статистика!$B$7:$B$1006,"&lt;="&amp;($C73-1),Статистика!$C$7:$C$1006,IF($D73="","&lt;&gt;§",$D73),Статистика!$D$7:$D$1006,IF($E73="","&lt;&gt;§",$E73)))</f>
        <v/>
      </c>
      <c r="V73" s="52" t="str">
        <f aca="false">IF($C73="","",SUMIFS(Статистика!$E$7:$E$1006,Статистика!$B$7:$B$1006,"&gt;="&amp;($C73+1),Статистика!$B$7:$B$1006,"&lt;="&amp;($C73+$D$5),Статистика!$C$7:$C$1006,IF($D73="","&lt;&gt;§",$D73),Статистика!$D$7:$D$1006,IF($E73="","&lt;&gt;§",$E73)))</f>
        <v/>
      </c>
      <c r="W73" s="52" t="str">
        <f aca="false">IF($C73="","",SUMIFS(Статистика!$H$7:$H$1006,Статистика!$B$7:$B$1006,"&gt;="&amp;($C73+1),Статистика!$B$7:$B$1006,"&lt;="&amp;($C73+$D$5),Статистика!$C$7:$C$1006,IF($D73="","&lt;&gt;§",$D73),Статистика!$D$7:$D$1006,IF($E73="","&lt;&gt;§",$E73)))</f>
        <v/>
      </c>
      <c r="X73" s="52" t="str">
        <f aca="false">IF($C73="","",SUMIFS(Статистика!$T$7:$T$1006,Статистика!$B$7:$B$1006,"&gt;="&amp;($C73+1),Статистика!$B$7:$B$1006,"&lt;="&amp;($C73+$D$5),Статистика!$C$7:$C$1006,IF($D73="","&lt;&gt;§",$D73),Статистика!$D$7:$D$1006,IF($E73="","&lt;&gt;§",$E73)))</f>
        <v/>
      </c>
      <c r="Y73" s="1"/>
      <c r="Z73" s="1"/>
      <c r="AA73" s="1"/>
      <c r="AB73" s="1"/>
      <c r="AC73" s="1"/>
      <c r="AD73" s="1"/>
    </row>
    <row r="74" customFormat="false" ht="30" hidden="false" customHeight="true" outlineLevel="0" collapsed="false">
      <c r="A74" s="1"/>
      <c r="B74" s="49" t="str">
        <f aca="false">IF($C74="","",ROW()-8)</f>
        <v/>
      </c>
      <c r="C74" s="35"/>
      <c r="D74" s="8"/>
      <c r="E74" s="26"/>
      <c r="F74" s="26"/>
      <c r="G74" s="50"/>
      <c r="H74" s="50"/>
      <c r="I74" s="30" t="str">
        <f aca="false">IF($C74="","",IFERROR(S74/T74,"—"))</f>
        <v/>
      </c>
      <c r="J74" s="30" t="str">
        <f aca="false">IF($C74="","",IFERROR(V74/W74,"—"))</f>
        <v/>
      </c>
      <c r="K74" s="41" t="str">
        <f aca="false">IF($C74="","",IFERROR(J74/I74-1,""))</f>
        <v/>
      </c>
      <c r="L74" s="41" t="str">
        <f aca="false">IF($C74="","",IFERROR((U74-S74)/S74,"—"))</f>
        <v/>
      </c>
      <c r="M74" s="41" t="str">
        <f aca="false">IF($C74="","",IFERROR((X74-V74)/V74,"—"))</f>
        <v/>
      </c>
      <c r="N74" s="39" t="str">
        <f aca="false">IF($C74="","",T74/$D$5)</f>
        <v/>
      </c>
      <c r="O74" s="39" t="str">
        <f aca="false">IF($C74="","",W74/$D$5)</f>
        <v/>
      </c>
      <c r="P74" s="51" t="str">
        <f aca="false">IF($C74="","",IF(MAX(Статистика!$B$7:$B$1006)&lt;$C74+$D$5,"Чекаємо даних",IF(S74=0,"Новий (без бази)",IF(OR(T74=0,W74=0),"Мало даних",IF(K74&lt;=-$F$5,"Покращило",IF(K74&gt;=$F$5,"Погіршило","Без змін"))))))</f>
        <v/>
      </c>
      <c r="Q74" s="50"/>
      <c r="R74" s="1"/>
      <c r="S74" s="52" t="str">
        <f aca="false">IF($C74="","",SUMIFS(Статистика!$E$7:$E$1006,Статистика!$B$7:$B$1006,"&gt;="&amp;($C74-$D$5),Статистика!$B$7:$B$1006,"&lt;="&amp;($C74-1),Статистика!$C$7:$C$1006,IF($D74="","&lt;&gt;§",$D74),Статистика!$D$7:$D$1006,IF($E74="","&lt;&gt;§",$E74)))</f>
        <v/>
      </c>
      <c r="T74" s="52" t="str">
        <f aca="false">IF($C74="","",SUMIFS(Статистика!$H$7:$H$1006,Статистика!$B$7:$B$1006,"&gt;="&amp;($C74-$D$5),Статистика!$B$7:$B$1006,"&lt;="&amp;($C74-1),Статистика!$C$7:$C$1006,IF($D74="","&lt;&gt;§",$D74),Статистика!$D$7:$D$1006,IF($E74="","&lt;&gt;§",$E74)))</f>
        <v/>
      </c>
      <c r="U74" s="52" t="str">
        <f aca="false">IF($C74="","",SUMIFS(Статистика!$T$7:$T$1006,Статистика!$B$7:$B$1006,"&gt;="&amp;($C74-$D$5),Статистика!$B$7:$B$1006,"&lt;="&amp;($C74-1),Статистика!$C$7:$C$1006,IF($D74="","&lt;&gt;§",$D74),Статистика!$D$7:$D$1006,IF($E74="","&lt;&gt;§",$E74)))</f>
        <v/>
      </c>
      <c r="V74" s="52" t="str">
        <f aca="false">IF($C74="","",SUMIFS(Статистика!$E$7:$E$1006,Статистика!$B$7:$B$1006,"&gt;="&amp;($C74+1),Статистика!$B$7:$B$1006,"&lt;="&amp;($C74+$D$5),Статистика!$C$7:$C$1006,IF($D74="","&lt;&gt;§",$D74),Статистика!$D$7:$D$1006,IF($E74="","&lt;&gt;§",$E74)))</f>
        <v/>
      </c>
      <c r="W74" s="52" t="str">
        <f aca="false">IF($C74="","",SUMIFS(Статистика!$H$7:$H$1006,Статистика!$B$7:$B$1006,"&gt;="&amp;($C74+1),Статистика!$B$7:$B$1006,"&lt;="&amp;($C74+$D$5),Статистика!$C$7:$C$1006,IF($D74="","&lt;&gt;§",$D74),Статистика!$D$7:$D$1006,IF($E74="","&lt;&gt;§",$E74)))</f>
        <v/>
      </c>
      <c r="X74" s="52" t="str">
        <f aca="false">IF($C74="","",SUMIFS(Статистика!$T$7:$T$1006,Статистика!$B$7:$B$1006,"&gt;="&amp;($C74+1),Статистика!$B$7:$B$1006,"&lt;="&amp;($C74+$D$5),Статистика!$C$7:$C$1006,IF($D74="","&lt;&gt;§",$D74),Статистика!$D$7:$D$1006,IF($E74="","&lt;&gt;§",$E74)))</f>
        <v/>
      </c>
      <c r="Y74" s="1"/>
      <c r="Z74" s="1"/>
      <c r="AA74" s="1"/>
      <c r="AB74" s="1"/>
      <c r="AC74" s="1"/>
      <c r="AD74" s="1"/>
    </row>
    <row r="75" customFormat="false" ht="30" hidden="false" customHeight="true" outlineLevel="0" collapsed="false">
      <c r="A75" s="1"/>
      <c r="B75" s="49" t="str">
        <f aca="false">IF($C75="","",ROW()-8)</f>
        <v/>
      </c>
      <c r="C75" s="35"/>
      <c r="D75" s="8"/>
      <c r="E75" s="26"/>
      <c r="F75" s="26"/>
      <c r="G75" s="50"/>
      <c r="H75" s="50"/>
      <c r="I75" s="30" t="str">
        <f aca="false">IF($C75="","",IFERROR(S75/T75,"—"))</f>
        <v/>
      </c>
      <c r="J75" s="30" t="str">
        <f aca="false">IF($C75="","",IFERROR(V75/W75,"—"))</f>
        <v/>
      </c>
      <c r="K75" s="41" t="str">
        <f aca="false">IF($C75="","",IFERROR(J75/I75-1,""))</f>
        <v/>
      </c>
      <c r="L75" s="41" t="str">
        <f aca="false">IF($C75="","",IFERROR((U75-S75)/S75,"—"))</f>
        <v/>
      </c>
      <c r="M75" s="41" t="str">
        <f aca="false">IF($C75="","",IFERROR((X75-V75)/V75,"—"))</f>
        <v/>
      </c>
      <c r="N75" s="39" t="str">
        <f aca="false">IF($C75="","",T75/$D$5)</f>
        <v/>
      </c>
      <c r="O75" s="39" t="str">
        <f aca="false">IF($C75="","",W75/$D$5)</f>
        <v/>
      </c>
      <c r="P75" s="51" t="str">
        <f aca="false">IF($C75="","",IF(MAX(Статистика!$B$7:$B$1006)&lt;$C75+$D$5,"Чекаємо даних",IF(S75=0,"Новий (без бази)",IF(OR(T75=0,W75=0),"Мало даних",IF(K75&lt;=-$F$5,"Покращило",IF(K75&gt;=$F$5,"Погіршило","Без змін"))))))</f>
        <v/>
      </c>
      <c r="Q75" s="50"/>
      <c r="R75" s="1"/>
      <c r="S75" s="52" t="str">
        <f aca="false">IF($C75="","",SUMIFS(Статистика!$E$7:$E$1006,Статистика!$B$7:$B$1006,"&gt;="&amp;($C75-$D$5),Статистика!$B$7:$B$1006,"&lt;="&amp;($C75-1),Статистика!$C$7:$C$1006,IF($D75="","&lt;&gt;§",$D75),Статистика!$D$7:$D$1006,IF($E75="","&lt;&gt;§",$E75)))</f>
        <v/>
      </c>
      <c r="T75" s="52" t="str">
        <f aca="false">IF($C75="","",SUMIFS(Статистика!$H$7:$H$1006,Статистика!$B$7:$B$1006,"&gt;="&amp;($C75-$D$5),Статистика!$B$7:$B$1006,"&lt;="&amp;($C75-1),Статистика!$C$7:$C$1006,IF($D75="","&lt;&gt;§",$D75),Статистика!$D$7:$D$1006,IF($E75="","&lt;&gt;§",$E75)))</f>
        <v/>
      </c>
      <c r="U75" s="52" t="str">
        <f aca="false">IF($C75="","",SUMIFS(Статистика!$T$7:$T$1006,Статистика!$B$7:$B$1006,"&gt;="&amp;($C75-$D$5),Статистика!$B$7:$B$1006,"&lt;="&amp;($C75-1),Статистика!$C$7:$C$1006,IF($D75="","&lt;&gt;§",$D75),Статистика!$D$7:$D$1006,IF($E75="","&lt;&gt;§",$E75)))</f>
        <v/>
      </c>
      <c r="V75" s="52" t="str">
        <f aca="false">IF($C75="","",SUMIFS(Статистика!$E$7:$E$1006,Статистика!$B$7:$B$1006,"&gt;="&amp;($C75+1),Статистика!$B$7:$B$1006,"&lt;="&amp;($C75+$D$5),Статистика!$C$7:$C$1006,IF($D75="","&lt;&gt;§",$D75),Статистика!$D$7:$D$1006,IF($E75="","&lt;&gt;§",$E75)))</f>
        <v/>
      </c>
      <c r="W75" s="52" t="str">
        <f aca="false">IF($C75="","",SUMIFS(Статистика!$H$7:$H$1006,Статистика!$B$7:$B$1006,"&gt;="&amp;($C75+1),Статистика!$B$7:$B$1006,"&lt;="&amp;($C75+$D$5),Статистика!$C$7:$C$1006,IF($D75="","&lt;&gt;§",$D75),Статистика!$D$7:$D$1006,IF($E75="","&lt;&gt;§",$E75)))</f>
        <v/>
      </c>
      <c r="X75" s="52" t="str">
        <f aca="false">IF($C75="","",SUMIFS(Статистика!$T$7:$T$1006,Статистика!$B$7:$B$1006,"&gt;="&amp;($C75+1),Статистика!$B$7:$B$1006,"&lt;="&amp;($C75+$D$5),Статистика!$C$7:$C$1006,IF($D75="","&lt;&gt;§",$D75),Статистика!$D$7:$D$1006,IF($E75="","&lt;&gt;§",$E75)))</f>
        <v/>
      </c>
      <c r="Y75" s="1"/>
      <c r="Z75" s="1"/>
      <c r="AA75" s="1"/>
      <c r="AB75" s="1"/>
      <c r="AC75" s="1"/>
      <c r="AD75" s="1"/>
    </row>
    <row r="76" customFormat="false" ht="30" hidden="false" customHeight="true" outlineLevel="0" collapsed="false">
      <c r="A76" s="1"/>
      <c r="B76" s="49" t="str">
        <f aca="false">IF($C76="","",ROW()-8)</f>
        <v/>
      </c>
      <c r="C76" s="35"/>
      <c r="D76" s="8"/>
      <c r="E76" s="26"/>
      <c r="F76" s="26"/>
      <c r="G76" s="50"/>
      <c r="H76" s="50"/>
      <c r="I76" s="30" t="str">
        <f aca="false">IF($C76="","",IFERROR(S76/T76,"—"))</f>
        <v/>
      </c>
      <c r="J76" s="30" t="str">
        <f aca="false">IF($C76="","",IFERROR(V76/W76,"—"))</f>
        <v/>
      </c>
      <c r="K76" s="41" t="str">
        <f aca="false">IF($C76="","",IFERROR(J76/I76-1,""))</f>
        <v/>
      </c>
      <c r="L76" s="41" t="str">
        <f aca="false">IF($C76="","",IFERROR((U76-S76)/S76,"—"))</f>
        <v/>
      </c>
      <c r="M76" s="41" t="str">
        <f aca="false">IF($C76="","",IFERROR((X76-V76)/V76,"—"))</f>
        <v/>
      </c>
      <c r="N76" s="39" t="str">
        <f aca="false">IF($C76="","",T76/$D$5)</f>
        <v/>
      </c>
      <c r="O76" s="39" t="str">
        <f aca="false">IF($C76="","",W76/$D$5)</f>
        <v/>
      </c>
      <c r="P76" s="51" t="str">
        <f aca="false">IF($C76="","",IF(MAX(Статистика!$B$7:$B$1006)&lt;$C76+$D$5,"Чекаємо даних",IF(S76=0,"Новий (без бази)",IF(OR(T76=0,W76=0),"Мало даних",IF(K76&lt;=-$F$5,"Покращило",IF(K76&gt;=$F$5,"Погіршило","Без змін"))))))</f>
        <v/>
      </c>
      <c r="Q76" s="50"/>
      <c r="R76" s="1"/>
      <c r="S76" s="52" t="str">
        <f aca="false">IF($C76="","",SUMIFS(Статистика!$E$7:$E$1006,Статистика!$B$7:$B$1006,"&gt;="&amp;($C76-$D$5),Статистика!$B$7:$B$1006,"&lt;="&amp;($C76-1),Статистика!$C$7:$C$1006,IF($D76="","&lt;&gt;§",$D76),Статистика!$D$7:$D$1006,IF($E76="","&lt;&gt;§",$E76)))</f>
        <v/>
      </c>
      <c r="T76" s="52" t="str">
        <f aca="false">IF($C76="","",SUMIFS(Статистика!$H$7:$H$1006,Статистика!$B$7:$B$1006,"&gt;="&amp;($C76-$D$5),Статистика!$B$7:$B$1006,"&lt;="&amp;($C76-1),Статистика!$C$7:$C$1006,IF($D76="","&lt;&gt;§",$D76),Статистика!$D$7:$D$1006,IF($E76="","&lt;&gt;§",$E76)))</f>
        <v/>
      </c>
      <c r="U76" s="52" t="str">
        <f aca="false">IF($C76="","",SUMIFS(Статистика!$T$7:$T$1006,Статистика!$B$7:$B$1006,"&gt;="&amp;($C76-$D$5),Статистика!$B$7:$B$1006,"&lt;="&amp;($C76-1),Статистика!$C$7:$C$1006,IF($D76="","&lt;&gt;§",$D76),Статистика!$D$7:$D$1006,IF($E76="","&lt;&gt;§",$E76)))</f>
        <v/>
      </c>
      <c r="V76" s="52" t="str">
        <f aca="false">IF($C76="","",SUMIFS(Статистика!$E$7:$E$1006,Статистика!$B$7:$B$1006,"&gt;="&amp;($C76+1),Статистика!$B$7:$B$1006,"&lt;="&amp;($C76+$D$5),Статистика!$C$7:$C$1006,IF($D76="","&lt;&gt;§",$D76),Статистика!$D$7:$D$1006,IF($E76="","&lt;&gt;§",$E76)))</f>
        <v/>
      </c>
      <c r="W76" s="52" t="str">
        <f aca="false">IF($C76="","",SUMIFS(Статистика!$H$7:$H$1006,Статистика!$B$7:$B$1006,"&gt;="&amp;($C76+1),Статистика!$B$7:$B$1006,"&lt;="&amp;($C76+$D$5),Статистика!$C$7:$C$1006,IF($D76="","&lt;&gt;§",$D76),Статистика!$D$7:$D$1006,IF($E76="","&lt;&gt;§",$E76)))</f>
        <v/>
      </c>
      <c r="X76" s="52" t="str">
        <f aca="false">IF($C76="","",SUMIFS(Статистика!$T$7:$T$1006,Статистика!$B$7:$B$1006,"&gt;="&amp;($C76+1),Статистика!$B$7:$B$1006,"&lt;="&amp;($C76+$D$5),Статистика!$C$7:$C$1006,IF($D76="","&lt;&gt;§",$D76),Статистика!$D$7:$D$1006,IF($E76="","&lt;&gt;§",$E76)))</f>
        <v/>
      </c>
      <c r="Y76" s="1"/>
      <c r="Z76" s="1"/>
      <c r="AA76" s="1"/>
      <c r="AB76" s="1"/>
      <c r="AC76" s="1"/>
      <c r="AD76" s="1"/>
    </row>
    <row r="77" customFormat="false" ht="30" hidden="false" customHeight="true" outlineLevel="0" collapsed="false">
      <c r="A77" s="1"/>
      <c r="B77" s="49" t="str">
        <f aca="false">IF($C77="","",ROW()-8)</f>
        <v/>
      </c>
      <c r="C77" s="35"/>
      <c r="D77" s="8"/>
      <c r="E77" s="26"/>
      <c r="F77" s="26"/>
      <c r="G77" s="50"/>
      <c r="H77" s="50"/>
      <c r="I77" s="30" t="str">
        <f aca="false">IF($C77="","",IFERROR(S77/T77,"—"))</f>
        <v/>
      </c>
      <c r="J77" s="30" t="str">
        <f aca="false">IF($C77="","",IFERROR(V77/W77,"—"))</f>
        <v/>
      </c>
      <c r="K77" s="41" t="str">
        <f aca="false">IF($C77="","",IFERROR(J77/I77-1,""))</f>
        <v/>
      </c>
      <c r="L77" s="41" t="str">
        <f aca="false">IF($C77="","",IFERROR((U77-S77)/S77,"—"))</f>
        <v/>
      </c>
      <c r="M77" s="41" t="str">
        <f aca="false">IF($C77="","",IFERROR((X77-V77)/V77,"—"))</f>
        <v/>
      </c>
      <c r="N77" s="39" t="str">
        <f aca="false">IF($C77="","",T77/$D$5)</f>
        <v/>
      </c>
      <c r="O77" s="39" t="str">
        <f aca="false">IF($C77="","",W77/$D$5)</f>
        <v/>
      </c>
      <c r="P77" s="51" t="str">
        <f aca="false">IF($C77="","",IF(MAX(Статистика!$B$7:$B$1006)&lt;$C77+$D$5,"Чекаємо даних",IF(S77=0,"Новий (без бази)",IF(OR(T77=0,W77=0),"Мало даних",IF(K77&lt;=-$F$5,"Покращило",IF(K77&gt;=$F$5,"Погіршило","Без змін"))))))</f>
        <v/>
      </c>
      <c r="Q77" s="50"/>
      <c r="R77" s="1"/>
      <c r="S77" s="52" t="str">
        <f aca="false">IF($C77="","",SUMIFS(Статистика!$E$7:$E$1006,Статистика!$B$7:$B$1006,"&gt;="&amp;($C77-$D$5),Статистика!$B$7:$B$1006,"&lt;="&amp;($C77-1),Статистика!$C$7:$C$1006,IF($D77="","&lt;&gt;§",$D77),Статистика!$D$7:$D$1006,IF($E77="","&lt;&gt;§",$E77)))</f>
        <v/>
      </c>
      <c r="T77" s="52" t="str">
        <f aca="false">IF($C77="","",SUMIFS(Статистика!$H$7:$H$1006,Статистика!$B$7:$B$1006,"&gt;="&amp;($C77-$D$5),Статистика!$B$7:$B$1006,"&lt;="&amp;($C77-1),Статистика!$C$7:$C$1006,IF($D77="","&lt;&gt;§",$D77),Статистика!$D$7:$D$1006,IF($E77="","&lt;&gt;§",$E77)))</f>
        <v/>
      </c>
      <c r="U77" s="52" t="str">
        <f aca="false">IF($C77="","",SUMIFS(Статистика!$T$7:$T$1006,Статистика!$B$7:$B$1006,"&gt;="&amp;($C77-$D$5),Статистика!$B$7:$B$1006,"&lt;="&amp;($C77-1),Статистика!$C$7:$C$1006,IF($D77="","&lt;&gt;§",$D77),Статистика!$D$7:$D$1006,IF($E77="","&lt;&gt;§",$E77)))</f>
        <v/>
      </c>
      <c r="V77" s="52" t="str">
        <f aca="false">IF($C77="","",SUMIFS(Статистика!$E$7:$E$1006,Статистика!$B$7:$B$1006,"&gt;="&amp;($C77+1),Статистика!$B$7:$B$1006,"&lt;="&amp;($C77+$D$5),Статистика!$C$7:$C$1006,IF($D77="","&lt;&gt;§",$D77),Статистика!$D$7:$D$1006,IF($E77="","&lt;&gt;§",$E77)))</f>
        <v/>
      </c>
      <c r="W77" s="52" t="str">
        <f aca="false">IF($C77="","",SUMIFS(Статистика!$H$7:$H$1006,Статистика!$B$7:$B$1006,"&gt;="&amp;($C77+1),Статистика!$B$7:$B$1006,"&lt;="&amp;($C77+$D$5),Статистика!$C$7:$C$1006,IF($D77="","&lt;&gt;§",$D77),Статистика!$D$7:$D$1006,IF($E77="","&lt;&gt;§",$E77)))</f>
        <v/>
      </c>
      <c r="X77" s="52" t="str">
        <f aca="false">IF($C77="","",SUMIFS(Статистика!$T$7:$T$1006,Статистика!$B$7:$B$1006,"&gt;="&amp;($C77+1),Статистика!$B$7:$B$1006,"&lt;="&amp;($C77+$D$5),Статистика!$C$7:$C$1006,IF($D77="","&lt;&gt;§",$D77),Статистика!$D$7:$D$1006,IF($E77="","&lt;&gt;§",$E77)))</f>
        <v/>
      </c>
      <c r="Y77" s="1"/>
      <c r="Z77" s="1"/>
      <c r="AA77" s="1"/>
      <c r="AB77" s="1"/>
      <c r="AC77" s="1"/>
      <c r="AD77" s="1"/>
    </row>
    <row r="78" customFormat="false" ht="30" hidden="false" customHeight="true" outlineLevel="0" collapsed="false">
      <c r="A78" s="1"/>
      <c r="B78" s="49" t="str">
        <f aca="false">IF($C78="","",ROW()-8)</f>
        <v/>
      </c>
      <c r="C78" s="35"/>
      <c r="D78" s="8"/>
      <c r="E78" s="26"/>
      <c r="F78" s="26"/>
      <c r="G78" s="50"/>
      <c r="H78" s="50"/>
      <c r="I78" s="30" t="str">
        <f aca="false">IF($C78="","",IFERROR(S78/T78,"—"))</f>
        <v/>
      </c>
      <c r="J78" s="30" t="str">
        <f aca="false">IF($C78="","",IFERROR(V78/W78,"—"))</f>
        <v/>
      </c>
      <c r="K78" s="41" t="str">
        <f aca="false">IF($C78="","",IFERROR(J78/I78-1,""))</f>
        <v/>
      </c>
      <c r="L78" s="41" t="str">
        <f aca="false">IF($C78="","",IFERROR((U78-S78)/S78,"—"))</f>
        <v/>
      </c>
      <c r="M78" s="41" t="str">
        <f aca="false">IF($C78="","",IFERROR((X78-V78)/V78,"—"))</f>
        <v/>
      </c>
      <c r="N78" s="39" t="str">
        <f aca="false">IF($C78="","",T78/$D$5)</f>
        <v/>
      </c>
      <c r="O78" s="39" t="str">
        <f aca="false">IF($C78="","",W78/$D$5)</f>
        <v/>
      </c>
      <c r="P78" s="51" t="str">
        <f aca="false">IF($C78="","",IF(MAX(Статистика!$B$7:$B$1006)&lt;$C78+$D$5,"Чекаємо даних",IF(S78=0,"Новий (без бази)",IF(OR(T78=0,W78=0),"Мало даних",IF(K78&lt;=-$F$5,"Покращило",IF(K78&gt;=$F$5,"Погіршило","Без змін"))))))</f>
        <v/>
      </c>
      <c r="Q78" s="50"/>
      <c r="R78" s="1"/>
      <c r="S78" s="52" t="str">
        <f aca="false">IF($C78="","",SUMIFS(Статистика!$E$7:$E$1006,Статистика!$B$7:$B$1006,"&gt;="&amp;($C78-$D$5),Статистика!$B$7:$B$1006,"&lt;="&amp;($C78-1),Статистика!$C$7:$C$1006,IF($D78="","&lt;&gt;§",$D78),Статистика!$D$7:$D$1006,IF($E78="","&lt;&gt;§",$E78)))</f>
        <v/>
      </c>
      <c r="T78" s="52" t="str">
        <f aca="false">IF($C78="","",SUMIFS(Статистика!$H$7:$H$1006,Статистика!$B$7:$B$1006,"&gt;="&amp;($C78-$D$5),Статистика!$B$7:$B$1006,"&lt;="&amp;($C78-1),Статистика!$C$7:$C$1006,IF($D78="","&lt;&gt;§",$D78),Статистика!$D$7:$D$1006,IF($E78="","&lt;&gt;§",$E78)))</f>
        <v/>
      </c>
      <c r="U78" s="52" t="str">
        <f aca="false">IF($C78="","",SUMIFS(Статистика!$T$7:$T$1006,Статистика!$B$7:$B$1006,"&gt;="&amp;($C78-$D$5),Статистика!$B$7:$B$1006,"&lt;="&amp;($C78-1),Статистика!$C$7:$C$1006,IF($D78="","&lt;&gt;§",$D78),Статистика!$D$7:$D$1006,IF($E78="","&lt;&gt;§",$E78)))</f>
        <v/>
      </c>
      <c r="V78" s="52" t="str">
        <f aca="false">IF($C78="","",SUMIFS(Статистика!$E$7:$E$1006,Статистика!$B$7:$B$1006,"&gt;="&amp;($C78+1),Статистика!$B$7:$B$1006,"&lt;="&amp;($C78+$D$5),Статистика!$C$7:$C$1006,IF($D78="","&lt;&gt;§",$D78),Статистика!$D$7:$D$1006,IF($E78="","&lt;&gt;§",$E78)))</f>
        <v/>
      </c>
      <c r="W78" s="52" t="str">
        <f aca="false">IF($C78="","",SUMIFS(Статистика!$H$7:$H$1006,Статистика!$B$7:$B$1006,"&gt;="&amp;($C78+1),Статистика!$B$7:$B$1006,"&lt;="&amp;($C78+$D$5),Статистика!$C$7:$C$1006,IF($D78="","&lt;&gt;§",$D78),Статистика!$D$7:$D$1006,IF($E78="","&lt;&gt;§",$E78)))</f>
        <v/>
      </c>
      <c r="X78" s="52" t="str">
        <f aca="false">IF($C78="","",SUMIFS(Статистика!$T$7:$T$1006,Статистика!$B$7:$B$1006,"&gt;="&amp;($C78+1),Статистика!$B$7:$B$1006,"&lt;="&amp;($C78+$D$5),Статистика!$C$7:$C$1006,IF($D78="","&lt;&gt;§",$D78),Статистика!$D$7:$D$1006,IF($E78="","&lt;&gt;§",$E78)))</f>
        <v/>
      </c>
      <c r="Y78" s="1"/>
      <c r="Z78" s="1"/>
      <c r="AA78" s="1"/>
      <c r="AB78" s="1"/>
      <c r="AC78" s="1"/>
      <c r="AD78" s="1"/>
    </row>
    <row r="79" customFormat="false" ht="30" hidden="false" customHeight="true" outlineLevel="0" collapsed="false">
      <c r="A79" s="1"/>
      <c r="B79" s="49" t="str">
        <f aca="false">IF($C79="","",ROW()-8)</f>
        <v/>
      </c>
      <c r="C79" s="35"/>
      <c r="D79" s="8"/>
      <c r="E79" s="26"/>
      <c r="F79" s="26"/>
      <c r="G79" s="50"/>
      <c r="H79" s="50"/>
      <c r="I79" s="30" t="str">
        <f aca="false">IF($C79="","",IFERROR(S79/T79,"—"))</f>
        <v/>
      </c>
      <c r="J79" s="30" t="str">
        <f aca="false">IF($C79="","",IFERROR(V79/W79,"—"))</f>
        <v/>
      </c>
      <c r="K79" s="41" t="str">
        <f aca="false">IF($C79="","",IFERROR(J79/I79-1,""))</f>
        <v/>
      </c>
      <c r="L79" s="41" t="str">
        <f aca="false">IF($C79="","",IFERROR((U79-S79)/S79,"—"))</f>
        <v/>
      </c>
      <c r="M79" s="41" t="str">
        <f aca="false">IF($C79="","",IFERROR((X79-V79)/V79,"—"))</f>
        <v/>
      </c>
      <c r="N79" s="39" t="str">
        <f aca="false">IF($C79="","",T79/$D$5)</f>
        <v/>
      </c>
      <c r="O79" s="39" t="str">
        <f aca="false">IF($C79="","",W79/$D$5)</f>
        <v/>
      </c>
      <c r="P79" s="51" t="str">
        <f aca="false">IF($C79="","",IF(MAX(Статистика!$B$7:$B$1006)&lt;$C79+$D$5,"Чекаємо даних",IF(S79=0,"Новий (без бази)",IF(OR(T79=0,W79=0),"Мало даних",IF(K79&lt;=-$F$5,"Покращило",IF(K79&gt;=$F$5,"Погіршило","Без змін"))))))</f>
        <v/>
      </c>
      <c r="Q79" s="50"/>
      <c r="R79" s="1"/>
      <c r="S79" s="52" t="str">
        <f aca="false">IF($C79="","",SUMIFS(Статистика!$E$7:$E$1006,Статистика!$B$7:$B$1006,"&gt;="&amp;($C79-$D$5),Статистика!$B$7:$B$1006,"&lt;="&amp;($C79-1),Статистика!$C$7:$C$1006,IF($D79="","&lt;&gt;§",$D79),Статистика!$D$7:$D$1006,IF($E79="","&lt;&gt;§",$E79)))</f>
        <v/>
      </c>
      <c r="T79" s="52" t="str">
        <f aca="false">IF($C79="","",SUMIFS(Статистика!$H$7:$H$1006,Статистика!$B$7:$B$1006,"&gt;="&amp;($C79-$D$5),Статистика!$B$7:$B$1006,"&lt;="&amp;($C79-1),Статистика!$C$7:$C$1006,IF($D79="","&lt;&gt;§",$D79),Статистика!$D$7:$D$1006,IF($E79="","&lt;&gt;§",$E79)))</f>
        <v/>
      </c>
      <c r="U79" s="52" t="str">
        <f aca="false">IF($C79="","",SUMIFS(Статистика!$T$7:$T$1006,Статистика!$B$7:$B$1006,"&gt;="&amp;($C79-$D$5),Статистика!$B$7:$B$1006,"&lt;="&amp;($C79-1),Статистика!$C$7:$C$1006,IF($D79="","&lt;&gt;§",$D79),Статистика!$D$7:$D$1006,IF($E79="","&lt;&gt;§",$E79)))</f>
        <v/>
      </c>
      <c r="V79" s="52" t="str">
        <f aca="false">IF($C79="","",SUMIFS(Статистика!$E$7:$E$1006,Статистика!$B$7:$B$1006,"&gt;="&amp;($C79+1),Статистика!$B$7:$B$1006,"&lt;="&amp;($C79+$D$5),Статистика!$C$7:$C$1006,IF($D79="","&lt;&gt;§",$D79),Статистика!$D$7:$D$1006,IF($E79="","&lt;&gt;§",$E79)))</f>
        <v/>
      </c>
      <c r="W79" s="52" t="str">
        <f aca="false">IF($C79="","",SUMIFS(Статистика!$H$7:$H$1006,Статистика!$B$7:$B$1006,"&gt;="&amp;($C79+1),Статистика!$B$7:$B$1006,"&lt;="&amp;($C79+$D$5),Статистика!$C$7:$C$1006,IF($D79="","&lt;&gt;§",$D79),Статистика!$D$7:$D$1006,IF($E79="","&lt;&gt;§",$E79)))</f>
        <v/>
      </c>
      <c r="X79" s="52" t="str">
        <f aca="false">IF($C79="","",SUMIFS(Статистика!$T$7:$T$1006,Статистика!$B$7:$B$1006,"&gt;="&amp;($C79+1),Статистика!$B$7:$B$1006,"&lt;="&amp;($C79+$D$5),Статистика!$C$7:$C$1006,IF($D79="","&lt;&gt;§",$D79),Статистика!$D$7:$D$1006,IF($E79="","&lt;&gt;§",$E79)))</f>
        <v/>
      </c>
      <c r="Y79" s="1"/>
      <c r="Z79" s="1"/>
      <c r="AA79" s="1"/>
      <c r="AB79" s="1"/>
      <c r="AC79" s="1"/>
      <c r="AD79" s="1"/>
    </row>
    <row r="80" customFormat="false" ht="30" hidden="false" customHeight="true" outlineLevel="0" collapsed="false">
      <c r="A80" s="1"/>
      <c r="B80" s="49" t="str">
        <f aca="false">IF($C80="","",ROW()-8)</f>
        <v/>
      </c>
      <c r="C80" s="35"/>
      <c r="D80" s="8"/>
      <c r="E80" s="26"/>
      <c r="F80" s="26"/>
      <c r="G80" s="50"/>
      <c r="H80" s="50"/>
      <c r="I80" s="30" t="str">
        <f aca="false">IF($C80="","",IFERROR(S80/T80,"—"))</f>
        <v/>
      </c>
      <c r="J80" s="30" t="str">
        <f aca="false">IF($C80="","",IFERROR(V80/W80,"—"))</f>
        <v/>
      </c>
      <c r="K80" s="41" t="str">
        <f aca="false">IF($C80="","",IFERROR(J80/I80-1,""))</f>
        <v/>
      </c>
      <c r="L80" s="41" t="str">
        <f aca="false">IF($C80="","",IFERROR((U80-S80)/S80,"—"))</f>
        <v/>
      </c>
      <c r="M80" s="41" t="str">
        <f aca="false">IF($C80="","",IFERROR((X80-V80)/V80,"—"))</f>
        <v/>
      </c>
      <c r="N80" s="39" t="str">
        <f aca="false">IF($C80="","",T80/$D$5)</f>
        <v/>
      </c>
      <c r="O80" s="39" t="str">
        <f aca="false">IF($C80="","",W80/$D$5)</f>
        <v/>
      </c>
      <c r="P80" s="51" t="str">
        <f aca="false">IF($C80="","",IF(MAX(Статистика!$B$7:$B$1006)&lt;$C80+$D$5,"Чекаємо даних",IF(S80=0,"Новий (без бази)",IF(OR(T80=0,W80=0),"Мало даних",IF(K80&lt;=-$F$5,"Покращило",IF(K80&gt;=$F$5,"Погіршило","Без змін"))))))</f>
        <v/>
      </c>
      <c r="Q80" s="50"/>
      <c r="R80" s="1"/>
      <c r="S80" s="52" t="str">
        <f aca="false">IF($C80="","",SUMIFS(Статистика!$E$7:$E$1006,Статистика!$B$7:$B$1006,"&gt;="&amp;($C80-$D$5),Статистика!$B$7:$B$1006,"&lt;="&amp;($C80-1),Статистика!$C$7:$C$1006,IF($D80="","&lt;&gt;§",$D80),Статистика!$D$7:$D$1006,IF($E80="","&lt;&gt;§",$E80)))</f>
        <v/>
      </c>
      <c r="T80" s="52" t="str">
        <f aca="false">IF($C80="","",SUMIFS(Статистика!$H$7:$H$1006,Статистика!$B$7:$B$1006,"&gt;="&amp;($C80-$D$5),Статистика!$B$7:$B$1006,"&lt;="&amp;($C80-1),Статистика!$C$7:$C$1006,IF($D80="","&lt;&gt;§",$D80),Статистика!$D$7:$D$1006,IF($E80="","&lt;&gt;§",$E80)))</f>
        <v/>
      </c>
      <c r="U80" s="52" t="str">
        <f aca="false">IF($C80="","",SUMIFS(Статистика!$T$7:$T$1006,Статистика!$B$7:$B$1006,"&gt;="&amp;($C80-$D$5),Статистика!$B$7:$B$1006,"&lt;="&amp;($C80-1),Статистика!$C$7:$C$1006,IF($D80="","&lt;&gt;§",$D80),Статистика!$D$7:$D$1006,IF($E80="","&lt;&gt;§",$E80)))</f>
        <v/>
      </c>
      <c r="V80" s="52" t="str">
        <f aca="false">IF($C80="","",SUMIFS(Статистика!$E$7:$E$1006,Статистика!$B$7:$B$1006,"&gt;="&amp;($C80+1),Статистика!$B$7:$B$1006,"&lt;="&amp;($C80+$D$5),Статистика!$C$7:$C$1006,IF($D80="","&lt;&gt;§",$D80),Статистика!$D$7:$D$1006,IF($E80="","&lt;&gt;§",$E80)))</f>
        <v/>
      </c>
      <c r="W80" s="52" t="str">
        <f aca="false">IF($C80="","",SUMIFS(Статистика!$H$7:$H$1006,Статистика!$B$7:$B$1006,"&gt;="&amp;($C80+1),Статистика!$B$7:$B$1006,"&lt;="&amp;($C80+$D$5),Статистика!$C$7:$C$1006,IF($D80="","&lt;&gt;§",$D80),Статистика!$D$7:$D$1006,IF($E80="","&lt;&gt;§",$E80)))</f>
        <v/>
      </c>
      <c r="X80" s="52" t="str">
        <f aca="false">IF($C80="","",SUMIFS(Статистика!$T$7:$T$1006,Статистика!$B$7:$B$1006,"&gt;="&amp;($C80+1),Статистика!$B$7:$B$1006,"&lt;="&amp;($C80+$D$5),Статистика!$C$7:$C$1006,IF($D80="","&lt;&gt;§",$D80),Статистика!$D$7:$D$1006,IF($E80="","&lt;&gt;§",$E80)))</f>
        <v/>
      </c>
      <c r="Y80" s="1"/>
      <c r="Z80" s="1"/>
      <c r="AA80" s="1"/>
      <c r="AB80" s="1"/>
      <c r="AC80" s="1"/>
      <c r="AD80" s="1"/>
    </row>
    <row r="81" customFormat="false" ht="30" hidden="false" customHeight="true" outlineLevel="0" collapsed="false">
      <c r="A81" s="1"/>
      <c r="B81" s="49" t="str">
        <f aca="false">IF($C81="","",ROW()-8)</f>
        <v/>
      </c>
      <c r="C81" s="35"/>
      <c r="D81" s="8"/>
      <c r="E81" s="26"/>
      <c r="F81" s="26"/>
      <c r="G81" s="50"/>
      <c r="H81" s="50"/>
      <c r="I81" s="30" t="str">
        <f aca="false">IF($C81="","",IFERROR(S81/T81,"—"))</f>
        <v/>
      </c>
      <c r="J81" s="30" t="str">
        <f aca="false">IF($C81="","",IFERROR(V81/W81,"—"))</f>
        <v/>
      </c>
      <c r="K81" s="41" t="str">
        <f aca="false">IF($C81="","",IFERROR(J81/I81-1,""))</f>
        <v/>
      </c>
      <c r="L81" s="41" t="str">
        <f aca="false">IF($C81="","",IFERROR((U81-S81)/S81,"—"))</f>
        <v/>
      </c>
      <c r="M81" s="41" t="str">
        <f aca="false">IF($C81="","",IFERROR((X81-V81)/V81,"—"))</f>
        <v/>
      </c>
      <c r="N81" s="39" t="str">
        <f aca="false">IF($C81="","",T81/$D$5)</f>
        <v/>
      </c>
      <c r="O81" s="39" t="str">
        <f aca="false">IF($C81="","",W81/$D$5)</f>
        <v/>
      </c>
      <c r="P81" s="51" t="str">
        <f aca="false">IF($C81="","",IF(MAX(Статистика!$B$7:$B$1006)&lt;$C81+$D$5,"Чекаємо даних",IF(S81=0,"Новий (без бази)",IF(OR(T81=0,W81=0),"Мало даних",IF(K81&lt;=-$F$5,"Покращило",IF(K81&gt;=$F$5,"Погіршило","Без змін"))))))</f>
        <v/>
      </c>
      <c r="Q81" s="50"/>
      <c r="R81" s="1"/>
      <c r="S81" s="52" t="str">
        <f aca="false">IF($C81="","",SUMIFS(Статистика!$E$7:$E$1006,Статистика!$B$7:$B$1006,"&gt;="&amp;($C81-$D$5),Статистика!$B$7:$B$1006,"&lt;="&amp;($C81-1),Статистика!$C$7:$C$1006,IF($D81="","&lt;&gt;§",$D81),Статистика!$D$7:$D$1006,IF($E81="","&lt;&gt;§",$E81)))</f>
        <v/>
      </c>
      <c r="T81" s="52" t="str">
        <f aca="false">IF($C81="","",SUMIFS(Статистика!$H$7:$H$1006,Статистика!$B$7:$B$1006,"&gt;="&amp;($C81-$D$5),Статистика!$B$7:$B$1006,"&lt;="&amp;($C81-1),Статистика!$C$7:$C$1006,IF($D81="","&lt;&gt;§",$D81),Статистика!$D$7:$D$1006,IF($E81="","&lt;&gt;§",$E81)))</f>
        <v/>
      </c>
      <c r="U81" s="52" t="str">
        <f aca="false">IF($C81="","",SUMIFS(Статистика!$T$7:$T$1006,Статистика!$B$7:$B$1006,"&gt;="&amp;($C81-$D$5),Статистика!$B$7:$B$1006,"&lt;="&amp;($C81-1),Статистика!$C$7:$C$1006,IF($D81="","&lt;&gt;§",$D81),Статистика!$D$7:$D$1006,IF($E81="","&lt;&gt;§",$E81)))</f>
        <v/>
      </c>
      <c r="V81" s="52" t="str">
        <f aca="false">IF($C81="","",SUMIFS(Статистика!$E$7:$E$1006,Статистика!$B$7:$B$1006,"&gt;="&amp;($C81+1),Статистика!$B$7:$B$1006,"&lt;="&amp;($C81+$D$5),Статистика!$C$7:$C$1006,IF($D81="","&lt;&gt;§",$D81),Статистика!$D$7:$D$1006,IF($E81="","&lt;&gt;§",$E81)))</f>
        <v/>
      </c>
      <c r="W81" s="52" t="str">
        <f aca="false">IF($C81="","",SUMIFS(Статистика!$H$7:$H$1006,Статистика!$B$7:$B$1006,"&gt;="&amp;($C81+1),Статистика!$B$7:$B$1006,"&lt;="&amp;($C81+$D$5),Статистика!$C$7:$C$1006,IF($D81="","&lt;&gt;§",$D81),Статистика!$D$7:$D$1006,IF($E81="","&lt;&gt;§",$E81)))</f>
        <v/>
      </c>
      <c r="X81" s="52" t="str">
        <f aca="false">IF($C81="","",SUMIFS(Статистика!$T$7:$T$1006,Статистика!$B$7:$B$1006,"&gt;="&amp;($C81+1),Статистика!$B$7:$B$1006,"&lt;="&amp;($C81+$D$5),Статистика!$C$7:$C$1006,IF($D81="","&lt;&gt;§",$D81),Статистика!$D$7:$D$1006,IF($E81="","&lt;&gt;§",$E81)))</f>
        <v/>
      </c>
      <c r="Y81" s="1"/>
      <c r="Z81" s="1"/>
      <c r="AA81" s="1"/>
      <c r="AB81" s="1"/>
      <c r="AC81" s="1"/>
      <c r="AD81" s="1"/>
    </row>
    <row r="82" customFormat="false" ht="30" hidden="false" customHeight="true" outlineLevel="0" collapsed="false">
      <c r="A82" s="1"/>
      <c r="B82" s="49" t="str">
        <f aca="false">IF($C82="","",ROW()-8)</f>
        <v/>
      </c>
      <c r="C82" s="35"/>
      <c r="D82" s="8"/>
      <c r="E82" s="26"/>
      <c r="F82" s="26"/>
      <c r="G82" s="50"/>
      <c r="H82" s="50"/>
      <c r="I82" s="30" t="str">
        <f aca="false">IF($C82="","",IFERROR(S82/T82,"—"))</f>
        <v/>
      </c>
      <c r="J82" s="30" t="str">
        <f aca="false">IF($C82="","",IFERROR(V82/W82,"—"))</f>
        <v/>
      </c>
      <c r="K82" s="41" t="str">
        <f aca="false">IF($C82="","",IFERROR(J82/I82-1,""))</f>
        <v/>
      </c>
      <c r="L82" s="41" t="str">
        <f aca="false">IF($C82="","",IFERROR((U82-S82)/S82,"—"))</f>
        <v/>
      </c>
      <c r="M82" s="41" t="str">
        <f aca="false">IF($C82="","",IFERROR((X82-V82)/V82,"—"))</f>
        <v/>
      </c>
      <c r="N82" s="39" t="str">
        <f aca="false">IF($C82="","",T82/$D$5)</f>
        <v/>
      </c>
      <c r="O82" s="39" t="str">
        <f aca="false">IF($C82="","",W82/$D$5)</f>
        <v/>
      </c>
      <c r="P82" s="51" t="str">
        <f aca="false">IF($C82="","",IF(MAX(Статистика!$B$7:$B$1006)&lt;$C82+$D$5,"Чекаємо даних",IF(S82=0,"Новий (без бази)",IF(OR(T82=0,W82=0),"Мало даних",IF(K82&lt;=-$F$5,"Покращило",IF(K82&gt;=$F$5,"Погіршило","Без змін"))))))</f>
        <v/>
      </c>
      <c r="Q82" s="50"/>
      <c r="R82" s="1"/>
      <c r="S82" s="52" t="str">
        <f aca="false">IF($C82="","",SUMIFS(Статистика!$E$7:$E$1006,Статистика!$B$7:$B$1006,"&gt;="&amp;($C82-$D$5),Статистика!$B$7:$B$1006,"&lt;="&amp;($C82-1),Статистика!$C$7:$C$1006,IF($D82="","&lt;&gt;§",$D82),Статистика!$D$7:$D$1006,IF($E82="","&lt;&gt;§",$E82)))</f>
        <v/>
      </c>
      <c r="T82" s="52" t="str">
        <f aca="false">IF($C82="","",SUMIFS(Статистика!$H$7:$H$1006,Статистика!$B$7:$B$1006,"&gt;="&amp;($C82-$D$5),Статистика!$B$7:$B$1006,"&lt;="&amp;($C82-1),Статистика!$C$7:$C$1006,IF($D82="","&lt;&gt;§",$D82),Статистика!$D$7:$D$1006,IF($E82="","&lt;&gt;§",$E82)))</f>
        <v/>
      </c>
      <c r="U82" s="52" t="str">
        <f aca="false">IF($C82="","",SUMIFS(Статистика!$T$7:$T$1006,Статистика!$B$7:$B$1006,"&gt;="&amp;($C82-$D$5),Статистика!$B$7:$B$1006,"&lt;="&amp;($C82-1),Статистика!$C$7:$C$1006,IF($D82="","&lt;&gt;§",$D82),Статистика!$D$7:$D$1006,IF($E82="","&lt;&gt;§",$E82)))</f>
        <v/>
      </c>
      <c r="V82" s="52" t="str">
        <f aca="false">IF($C82="","",SUMIFS(Статистика!$E$7:$E$1006,Статистика!$B$7:$B$1006,"&gt;="&amp;($C82+1),Статистика!$B$7:$B$1006,"&lt;="&amp;($C82+$D$5),Статистика!$C$7:$C$1006,IF($D82="","&lt;&gt;§",$D82),Статистика!$D$7:$D$1006,IF($E82="","&lt;&gt;§",$E82)))</f>
        <v/>
      </c>
      <c r="W82" s="52" t="str">
        <f aca="false">IF($C82="","",SUMIFS(Статистика!$H$7:$H$1006,Статистика!$B$7:$B$1006,"&gt;="&amp;($C82+1),Статистика!$B$7:$B$1006,"&lt;="&amp;($C82+$D$5),Статистика!$C$7:$C$1006,IF($D82="","&lt;&gt;§",$D82),Статистика!$D$7:$D$1006,IF($E82="","&lt;&gt;§",$E82)))</f>
        <v/>
      </c>
      <c r="X82" s="52" t="str">
        <f aca="false">IF($C82="","",SUMIFS(Статистика!$T$7:$T$1006,Статистика!$B$7:$B$1006,"&gt;="&amp;($C82+1),Статистика!$B$7:$B$1006,"&lt;="&amp;($C82+$D$5),Статистика!$C$7:$C$1006,IF($D82="","&lt;&gt;§",$D82),Статистика!$D$7:$D$1006,IF($E82="","&lt;&gt;§",$E82)))</f>
        <v/>
      </c>
      <c r="Y82" s="1"/>
      <c r="Z82" s="1"/>
      <c r="AA82" s="1"/>
      <c r="AB82" s="1"/>
      <c r="AC82" s="1"/>
      <c r="AD82" s="1"/>
    </row>
    <row r="83" customFormat="false" ht="30" hidden="false" customHeight="true" outlineLevel="0" collapsed="false">
      <c r="A83" s="1"/>
      <c r="B83" s="49" t="str">
        <f aca="false">IF($C83="","",ROW()-8)</f>
        <v/>
      </c>
      <c r="C83" s="35"/>
      <c r="D83" s="8"/>
      <c r="E83" s="26"/>
      <c r="F83" s="26"/>
      <c r="G83" s="50"/>
      <c r="H83" s="50"/>
      <c r="I83" s="30" t="str">
        <f aca="false">IF($C83="","",IFERROR(S83/T83,"—"))</f>
        <v/>
      </c>
      <c r="J83" s="30" t="str">
        <f aca="false">IF($C83="","",IFERROR(V83/W83,"—"))</f>
        <v/>
      </c>
      <c r="K83" s="41" t="str">
        <f aca="false">IF($C83="","",IFERROR(J83/I83-1,""))</f>
        <v/>
      </c>
      <c r="L83" s="41" t="str">
        <f aca="false">IF($C83="","",IFERROR((U83-S83)/S83,"—"))</f>
        <v/>
      </c>
      <c r="M83" s="41" t="str">
        <f aca="false">IF($C83="","",IFERROR((X83-V83)/V83,"—"))</f>
        <v/>
      </c>
      <c r="N83" s="39" t="str">
        <f aca="false">IF($C83="","",T83/$D$5)</f>
        <v/>
      </c>
      <c r="O83" s="39" t="str">
        <f aca="false">IF($C83="","",W83/$D$5)</f>
        <v/>
      </c>
      <c r="P83" s="51" t="str">
        <f aca="false">IF($C83="","",IF(MAX(Статистика!$B$7:$B$1006)&lt;$C83+$D$5,"Чекаємо даних",IF(S83=0,"Новий (без бази)",IF(OR(T83=0,W83=0),"Мало даних",IF(K83&lt;=-$F$5,"Покращило",IF(K83&gt;=$F$5,"Погіршило","Без змін"))))))</f>
        <v/>
      </c>
      <c r="Q83" s="50"/>
      <c r="R83" s="1"/>
      <c r="S83" s="52" t="str">
        <f aca="false">IF($C83="","",SUMIFS(Статистика!$E$7:$E$1006,Статистика!$B$7:$B$1006,"&gt;="&amp;($C83-$D$5),Статистика!$B$7:$B$1006,"&lt;="&amp;($C83-1),Статистика!$C$7:$C$1006,IF($D83="","&lt;&gt;§",$D83),Статистика!$D$7:$D$1006,IF($E83="","&lt;&gt;§",$E83)))</f>
        <v/>
      </c>
      <c r="T83" s="52" t="str">
        <f aca="false">IF($C83="","",SUMIFS(Статистика!$H$7:$H$1006,Статистика!$B$7:$B$1006,"&gt;="&amp;($C83-$D$5),Статистика!$B$7:$B$1006,"&lt;="&amp;($C83-1),Статистика!$C$7:$C$1006,IF($D83="","&lt;&gt;§",$D83),Статистика!$D$7:$D$1006,IF($E83="","&lt;&gt;§",$E83)))</f>
        <v/>
      </c>
      <c r="U83" s="52" t="str">
        <f aca="false">IF($C83="","",SUMIFS(Статистика!$T$7:$T$1006,Статистика!$B$7:$B$1006,"&gt;="&amp;($C83-$D$5),Статистика!$B$7:$B$1006,"&lt;="&amp;($C83-1),Статистика!$C$7:$C$1006,IF($D83="","&lt;&gt;§",$D83),Статистика!$D$7:$D$1006,IF($E83="","&lt;&gt;§",$E83)))</f>
        <v/>
      </c>
      <c r="V83" s="52" t="str">
        <f aca="false">IF($C83="","",SUMIFS(Статистика!$E$7:$E$1006,Статистика!$B$7:$B$1006,"&gt;="&amp;($C83+1),Статистика!$B$7:$B$1006,"&lt;="&amp;($C83+$D$5),Статистика!$C$7:$C$1006,IF($D83="","&lt;&gt;§",$D83),Статистика!$D$7:$D$1006,IF($E83="","&lt;&gt;§",$E83)))</f>
        <v/>
      </c>
      <c r="W83" s="52" t="str">
        <f aca="false">IF($C83="","",SUMIFS(Статистика!$H$7:$H$1006,Статистика!$B$7:$B$1006,"&gt;="&amp;($C83+1),Статистика!$B$7:$B$1006,"&lt;="&amp;($C83+$D$5),Статистика!$C$7:$C$1006,IF($D83="","&lt;&gt;§",$D83),Статистика!$D$7:$D$1006,IF($E83="","&lt;&gt;§",$E83)))</f>
        <v/>
      </c>
      <c r="X83" s="52" t="str">
        <f aca="false">IF($C83="","",SUMIFS(Статистика!$T$7:$T$1006,Статистика!$B$7:$B$1006,"&gt;="&amp;($C83+1),Статистика!$B$7:$B$1006,"&lt;="&amp;($C83+$D$5),Статистика!$C$7:$C$1006,IF($D83="","&lt;&gt;§",$D83),Статистика!$D$7:$D$1006,IF($E83="","&lt;&gt;§",$E83)))</f>
        <v/>
      </c>
      <c r="Y83" s="1"/>
      <c r="Z83" s="1"/>
      <c r="AA83" s="1"/>
      <c r="AB83" s="1"/>
      <c r="AC83" s="1"/>
      <c r="AD83" s="1"/>
    </row>
    <row r="84" customFormat="false" ht="30" hidden="false" customHeight="true" outlineLevel="0" collapsed="false">
      <c r="A84" s="1"/>
      <c r="B84" s="49" t="str">
        <f aca="false">IF($C84="","",ROW()-8)</f>
        <v/>
      </c>
      <c r="C84" s="35"/>
      <c r="D84" s="8"/>
      <c r="E84" s="26"/>
      <c r="F84" s="26"/>
      <c r="G84" s="50"/>
      <c r="H84" s="50"/>
      <c r="I84" s="30" t="str">
        <f aca="false">IF($C84="","",IFERROR(S84/T84,"—"))</f>
        <v/>
      </c>
      <c r="J84" s="30" t="str">
        <f aca="false">IF($C84="","",IFERROR(V84/W84,"—"))</f>
        <v/>
      </c>
      <c r="K84" s="41" t="str">
        <f aca="false">IF($C84="","",IFERROR(J84/I84-1,""))</f>
        <v/>
      </c>
      <c r="L84" s="41" t="str">
        <f aca="false">IF($C84="","",IFERROR((U84-S84)/S84,"—"))</f>
        <v/>
      </c>
      <c r="M84" s="41" t="str">
        <f aca="false">IF($C84="","",IFERROR((X84-V84)/V84,"—"))</f>
        <v/>
      </c>
      <c r="N84" s="39" t="str">
        <f aca="false">IF($C84="","",T84/$D$5)</f>
        <v/>
      </c>
      <c r="O84" s="39" t="str">
        <f aca="false">IF($C84="","",W84/$D$5)</f>
        <v/>
      </c>
      <c r="P84" s="51" t="str">
        <f aca="false">IF($C84="","",IF(MAX(Статистика!$B$7:$B$1006)&lt;$C84+$D$5,"Чекаємо даних",IF(S84=0,"Новий (без бази)",IF(OR(T84=0,W84=0),"Мало даних",IF(K84&lt;=-$F$5,"Покращило",IF(K84&gt;=$F$5,"Погіршило","Без змін"))))))</f>
        <v/>
      </c>
      <c r="Q84" s="50"/>
      <c r="R84" s="1"/>
      <c r="S84" s="52" t="str">
        <f aca="false">IF($C84="","",SUMIFS(Статистика!$E$7:$E$1006,Статистика!$B$7:$B$1006,"&gt;="&amp;($C84-$D$5),Статистика!$B$7:$B$1006,"&lt;="&amp;($C84-1),Статистика!$C$7:$C$1006,IF($D84="","&lt;&gt;§",$D84),Статистика!$D$7:$D$1006,IF($E84="","&lt;&gt;§",$E84)))</f>
        <v/>
      </c>
      <c r="T84" s="52" t="str">
        <f aca="false">IF($C84="","",SUMIFS(Статистика!$H$7:$H$1006,Статистика!$B$7:$B$1006,"&gt;="&amp;($C84-$D$5),Статистика!$B$7:$B$1006,"&lt;="&amp;($C84-1),Статистика!$C$7:$C$1006,IF($D84="","&lt;&gt;§",$D84),Статистика!$D$7:$D$1006,IF($E84="","&lt;&gt;§",$E84)))</f>
        <v/>
      </c>
      <c r="U84" s="52" t="str">
        <f aca="false">IF($C84="","",SUMIFS(Статистика!$T$7:$T$1006,Статистика!$B$7:$B$1006,"&gt;="&amp;($C84-$D$5),Статистика!$B$7:$B$1006,"&lt;="&amp;($C84-1),Статистика!$C$7:$C$1006,IF($D84="","&lt;&gt;§",$D84),Статистика!$D$7:$D$1006,IF($E84="","&lt;&gt;§",$E84)))</f>
        <v/>
      </c>
      <c r="V84" s="52" t="str">
        <f aca="false">IF($C84="","",SUMIFS(Статистика!$E$7:$E$1006,Статистика!$B$7:$B$1006,"&gt;="&amp;($C84+1),Статистика!$B$7:$B$1006,"&lt;="&amp;($C84+$D$5),Статистика!$C$7:$C$1006,IF($D84="","&lt;&gt;§",$D84),Статистика!$D$7:$D$1006,IF($E84="","&lt;&gt;§",$E84)))</f>
        <v/>
      </c>
      <c r="W84" s="52" t="str">
        <f aca="false">IF($C84="","",SUMIFS(Статистика!$H$7:$H$1006,Статистика!$B$7:$B$1006,"&gt;="&amp;($C84+1),Статистика!$B$7:$B$1006,"&lt;="&amp;($C84+$D$5),Статистика!$C$7:$C$1006,IF($D84="","&lt;&gt;§",$D84),Статистика!$D$7:$D$1006,IF($E84="","&lt;&gt;§",$E84)))</f>
        <v/>
      </c>
      <c r="X84" s="52" t="str">
        <f aca="false">IF($C84="","",SUMIFS(Статистика!$T$7:$T$1006,Статистика!$B$7:$B$1006,"&gt;="&amp;($C84+1),Статистика!$B$7:$B$1006,"&lt;="&amp;($C84+$D$5),Статистика!$C$7:$C$1006,IF($D84="","&lt;&gt;§",$D84),Статистика!$D$7:$D$1006,IF($E84="","&lt;&gt;§",$E84)))</f>
        <v/>
      </c>
      <c r="Y84" s="1"/>
      <c r="Z84" s="1"/>
      <c r="AA84" s="1"/>
      <c r="AB84" s="1"/>
      <c r="AC84" s="1"/>
      <c r="AD84" s="1"/>
    </row>
    <row r="85" customFormat="false" ht="30" hidden="false" customHeight="true" outlineLevel="0" collapsed="false">
      <c r="A85" s="1"/>
      <c r="B85" s="49" t="str">
        <f aca="false">IF($C85="","",ROW()-8)</f>
        <v/>
      </c>
      <c r="C85" s="35"/>
      <c r="D85" s="8"/>
      <c r="E85" s="26"/>
      <c r="F85" s="26"/>
      <c r="G85" s="50"/>
      <c r="H85" s="50"/>
      <c r="I85" s="30" t="str">
        <f aca="false">IF($C85="","",IFERROR(S85/T85,"—"))</f>
        <v/>
      </c>
      <c r="J85" s="30" t="str">
        <f aca="false">IF($C85="","",IFERROR(V85/W85,"—"))</f>
        <v/>
      </c>
      <c r="K85" s="41" t="str">
        <f aca="false">IF($C85="","",IFERROR(J85/I85-1,""))</f>
        <v/>
      </c>
      <c r="L85" s="41" t="str">
        <f aca="false">IF($C85="","",IFERROR((U85-S85)/S85,"—"))</f>
        <v/>
      </c>
      <c r="M85" s="41" t="str">
        <f aca="false">IF($C85="","",IFERROR((X85-V85)/V85,"—"))</f>
        <v/>
      </c>
      <c r="N85" s="39" t="str">
        <f aca="false">IF($C85="","",T85/$D$5)</f>
        <v/>
      </c>
      <c r="O85" s="39" t="str">
        <f aca="false">IF($C85="","",W85/$D$5)</f>
        <v/>
      </c>
      <c r="P85" s="51" t="str">
        <f aca="false">IF($C85="","",IF(MAX(Статистика!$B$7:$B$1006)&lt;$C85+$D$5,"Чекаємо даних",IF(S85=0,"Новий (без бази)",IF(OR(T85=0,W85=0),"Мало даних",IF(K85&lt;=-$F$5,"Покращило",IF(K85&gt;=$F$5,"Погіршило","Без змін"))))))</f>
        <v/>
      </c>
      <c r="Q85" s="50"/>
      <c r="R85" s="1"/>
      <c r="S85" s="52" t="str">
        <f aca="false">IF($C85="","",SUMIFS(Статистика!$E$7:$E$1006,Статистика!$B$7:$B$1006,"&gt;="&amp;($C85-$D$5),Статистика!$B$7:$B$1006,"&lt;="&amp;($C85-1),Статистика!$C$7:$C$1006,IF($D85="","&lt;&gt;§",$D85),Статистика!$D$7:$D$1006,IF($E85="","&lt;&gt;§",$E85)))</f>
        <v/>
      </c>
      <c r="T85" s="52" t="str">
        <f aca="false">IF($C85="","",SUMIFS(Статистика!$H$7:$H$1006,Статистика!$B$7:$B$1006,"&gt;="&amp;($C85-$D$5),Статистика!$B$7:$B$1006,"&lt;="&amp;($C85-1),Статистика!$C$7:$C$1006,IF($D85="","&lt;&gt;§",$D85),Статистика!$D$7:$D$1006,IF($E85="","&lt;&gt;§",$E85)))</f>
        <v/>
      </c>
      <c r="U85" s="52" t="str">
        <f aca="false">IF($C85="","",SUMIFS(Статистика!$T$7:$T$1006,Статистика!$B$7:$B$1006,"&gt;="&amp;($C85-$D$5),Статистика!$B$7:$B$1006,"&lt;="&amp;($C85-1),Статистика!$C$7:$C$1006,IF($D85="","&lt;&gt;§",$D85),Статистика!$D$7:$D$1006,IF($E85="","&lt;&gt;§",$E85)))</f>
        <v/>
      </c>
      <c r="V85" s="52" t="str">
        <f aca="false">IF($C85="","",SUMIFS(Статистика!$E$7:$E$1006,Статистика!$B$7:$B$1006,"&gt;="&amp;($C85+1),Статистика!$B$7:$B$1006,"&lt;="&amp;($C85+$D$5),Статистика!$C$7:$C$1006,IF($D85="","&lt;&gt;§",$D85),Статистика!$D$7:$D$1006,IF($E85="","&lt;&gt;§",$E85)))</f>
        <v/>
      </c>
      <c r="W85" s="52" t="str">
        <f aca="false">IF($C85="","",SUMIFS(Статистика!$H$7:$H$1006,Статистика!$B$7:$B$1006,"&gt;="&amp;($C85+1),Статистика!$B$7:$B$1006,"&lt;="&amp;($C85+$D$5),Статистика!$C$7:$C$1006,IF($D85="","&lt;&gt;§",$D85),Статистика!$D$7:$D$1006,IF($E85="","&lt;&gt;§",$E85)))</f>
        <v/>
      </c>
      <c r="X85" s="52" t="str">
        <f aca="false">IF($C85="","",SUMIFS(Статистика!$T$7:$T$1006,Статистика!$B$7:$B$1006,"&gt;="&amp;($C85+1),Статистика!$B$7:$B$1006,"&lt;="&amp;($C85+$D$5),Статистика!$C$7:$C$1006,IF($D85="","&lt;&gt;§",$D85),Статистика!$D$7:$D$1006,IF($E85="","&lt;&gt;§",$E85)))</f>
        <v/>
      </c>
      <c r="Y85" s="1"/>
      <c r="Z85" s="1"/>
      <c r="AA85" s="1"/>
      <c r="AB85" s="1"/>
      <c r="AC85" s="1"/>
      <c r="AD85" s="1"/>
    </row>
    <row r="86" customFormat="false" ht="30" hidden="false" customHeight="true" outlineLevel="0" collapsed="false">
      <c r="A86" s="1"/>
      <c r="B86" s="49" t="str">
        <f aca="false">IF($C86="","",ROW()-8)</f>
        <v/>
      </c>
      <c r="C86" s="35"/>
      <c r="D86" s="8"/>
      <c r="E86" s="26"/>
      <c r="F86" s="26"/>
      <c r="G86" s="50"/>
      <c r="H86" s="50"/>
      <c r="I86" s="30" t="str">
        <f aca="false">IF($C86="","",IFERROR(S86/T86,"—"))</f>
        <v/>
      </c>
      <c r="J86" s="30" t="str">
        <f aca="false">IF($C86="","",IFERROR(V86/W86,"—"))</f>
        <v/>
      </c>
      <c r="K86" s="41" t="str">
        <f aca="false">IF($C86="","",IFERROR(J86/I86-1,""))</f>
        <v/>
      </c>
      <c r="L86" s="41" t="str">
        <f aca="false">IF($C86="","",IFERROR((U86-S86)/S86,"—"))</f>
        <v/>
      </c>
      <c r="M86" s="41" t="str">
        <f aca="false">IF($C86="","",IFERROR((X86-V86)/V86,"—"))</f>
        <v/>
      </c>
      <c r="N86" s="39" t="str">
        <f aca="false">IF($C86="","",T86/$D$5)</f>
        <v/>
      </c>
      <c r="O86" s="39" t="str">
        <f aca="false">IF($C86="","",W86/$D$5)</f>
        <v/>
      </c>
      <c r="P86" s="51" t="str">
        <f aca="false">IF($C86="","",IF(MAX(Статистика!$B$7:$B$1006)&lt;$C86+$D$5,"Чекаємо даних",IF(S86=0,"Новий (без бази)",IF(OR(T86=0,W86=0),"Мало даних",IF(K86&lt;=-$F$5,"Покращило",IF(K86&gt;=$F$5,"Погіршило","Без змін"))))))</f>
        <v/>
      </c>
      <c r="Q86" s="50"/>
      <c r="R86" s="1"/>
      <c r="S86" s="52" t="str">
        <f aca="false">IF($C86="","",SUMIFS(Статистика!$E$7:$E$1006,Статистика!$B$7:$B$1006,"&gt;="&amp;($C86-$D$5),Статистика!$B$7:$B$1006,"&lt;="&amp;($C86-1),Статистика!$C$7:$C$1006,IF($D86="","&lt;&gt;§",$D86),Статистика!$D$7:$D$1006,IF($E86="","&lt;&gt;§",$E86)))</f>
        <v/>
      </c>
      <c r="T86" s="52" t="str">
        <f aca="false">IF($C86="","",SUMIFS(Статистика!$H$7:$H$1006,Статистика!$B$7:$B$1006,"&gt;="&amp;($C86-$D$5),Статистика!$B$7:$B$1006,"&lt;="&amp;($C86-1),Статистика!$C$7:$C$1006,IF($D86="","&lt;&gt;§",$D86),Статистика!$D$7:$D$1006,IF($E86="","&lt;&gt;§",$E86)))</f>
        <v/>
      </c>
      <c r="U86" s="52" t="str">
        <f aca="false">IF($C86="","",SUMIFS(Статистика!$T$7:$T$1006,Статистика!$B$7:$B$1006,"&gt;="&amp;($C86-$D$5),Статистика!$B$7:$B$1006,"&lt;="&amp;($C86-1),Статистика!$C$7:$C$1006,IF($D86="","&lt;&gt;§",$D86),Статистика!$D$7:$D$1006,IF($E86="","&lt;&gt;§",$E86)))</f>
        <v/>
      </c>
      <c r="V86" s="52" t="str">
        <f aca="false">IF($C86="","",SUMIFS(Статистика!$E$7:$E$1006,Статистика!$B$7:$B$1006,"&gt;="&amp;($C86+1),Статистика!$B$7:$B$1006,"&lt;="&amp;($C86+$D$5),Статистика!$C$7:$C$1006,IF($D86="","&lt;&gt;§",$D86),Статистика!$D$7:$D$1006,IF($E86="","&lt;&gt;§",$E86)))</f>
        <v/>
      </c>
      <c r="W86" s="52" t="str">
        <f aca="false">IF($C86="","",SUMIFS(Статистика!$H$7:$H$1006,Статистика!$B$7:$B$1006,"&gt;="&amp;($C86+1),Статистика!$B$7:$B$1006,"&lt;="&amp;($C86+$D$5),Статистика!$C$7:$C$1006,IF($D86="","&lt;&gt;§",$D86),Статистика!$D$7:$D$1006,IF($E86="","&lt;&gt;§",$E86)))</f>
        <v/>
      </c>
      <c r="X86" s="52" t="str">
        <f aca="false">IF($C86="","",SUMIFS(Статистика!$T$7:$T$1006,Статистика!$B$7:$B$1006,"&gt;="&amp;($C86+1),Статистика!$B$7:$B$1006,"&lt;="&amp;($C86+$D$5),Статистика!$C$7:$C$1006,IF($D86="","&lt;&gt;§",$D86),Статистика!$D$7:$D$1006,IF($E86="","&lt;&gt;§",$E86)))</f>
        <v/>
      </c>
      <c r="Y86" s="1"/>
      <c r="Z86" s="1"/>
      <c r="AA86" s="1"/>
      <c r="AB86" s="1"/>
      <c r="AC86" s="1"/>
      <c r="AD86" s="1"/>
    </row>
    <row r="87" customFormat="false" ht="30" hidden="false" customHeight="true" outlineLevel="0" collapsed="false">
      <c r="A87" s="1"/>
      <c r="B87" s="49" t="str">
        <f aca="false">IF($C87="","",ROW()-8)</f>
        <v/>
      </c>
      <c r="C87" s="35"/>
      <c r="D87" s="8"/>
      <c r="E87" s="26"/>
      <c r="F87" s="26"/>
      <c r="G87" s="50"/>
      <c r="H87" s="50"/>
      <c r="I87" s="30" t="str">
        <f aca="false">IF($C87="","",IFERROR(S87/T87,"—"))</f>
        <v/>
      </c>
      <c r="J87" s="30" t="str">
        <f aca="false">IF($C87="","",IFERROR(V87/W87,"—"))</f>
        <v/>
      </c>
      <c r="K87" s="41" t="str">
        <f aca="false">IF($C87="","",IFERROR(J87/I87-1,""))</f>
        <v/>
      </c>
      <c r="L87" s="41" t="str">
        <f aca="false">IF($C87="","",IFERROR((U87-S87)/S87,"—"))</f>
        <v/>
      </c>
      <c r="M87" s="41" t="str">
        <f aca="false">IF($C87="","",IFERROR((X87-V87)/V87,"—"))</f>
        <v/>
      </c>
      <c r="N87" s="39" t="str">
        <f aca="false">IF($C87="","",T87/$D$5)</f>
        <v/>
      </c>
      <c r="O87" s="39" t="str">
        <f aca="false">IF($C87="","",W87/$D$5)</f>
        <v/>
      </c>
      <c r="P87" s="51" t="str">
        <f aca="false">IF($C87="","",IF(MAX(Статистика!$B$7:$B$1006)&lt;$C87+$D$5,"Чекаємо даних",IF(S87=0,"Новий (без бази)",IF(OR(T87=0,W87=0),"Мало даних",IF(K87&lt;=-$F$5,"Покращило",IF(K87&gt;=$F$5,"Погіршило","Без змін"))))))</f>
        <v/>
      </c>
      <c r="Q87" s="50"/>
      <c r="R87" s="1"/>
      <c r="S87" s="52" t="str">
        <f aca="false">IF($C87="","",SUMIFS(Статистика!$E$7:$E$1006,Статистика!$B$7:$B$1006,"&gt;="&amp;($C87-$D$5),Статистика!$B$7:$B$1006,"&lt;="&amp;($C87-1),Статистика!$C$7:$C$1006,IF($D87="","&lt;&gt;§",$D87),Статистика!$D$7:$D$1006,IF($E87="","&lt;&gt;§",$E87)))</f>
        <v/>
      </c>
      <c r="T87" s="52" t="str">
        <f aca="false">IF($C87="","",SUMIFS(Статистика!$H$7:$H$1006,Статистика!$B$7:$B$1006,"&gt;="&amp;($C87-$D$5),Статистика!$B$7:$B$1006,"&lt;="&amp;($C87-1),Статистика!$C$7:$C$1006,IF($D87="","&lt;&gt;§",$D87),Статистика!$D$7:$D$1006,IF($E87="","&lt;&gt;§",$E87)))</f>
        <v/>
      </c>
      <c r="U87" s="52" t="str">
        <f aca="false">IF($C87="","",SUMIFS(Статистика!$T$7:$T$1006,Статистика!$B$7:$B$1006,"&gt;="&amp;($C87-$D$5),Статистика!$B$7:$B$1006,"&lt;="&amp;($C87-1),Статистика!$C$7:$C$1006,IF($D87="","&lt;&gt;§",$D87),Статистика!$D$7:$D$1006,IF($E87="","&lt;&gt;§",$E87)))</f>
        <v/>
      </c>
      <c r="V87" s="52" t="str">
        <f aca="false">IF($C87="","",SUMIFS(Статистика!$E$7:$E$1006,Статистика!$B$7:$B$1006,"&gt;="&amp;($C87+1),Статистика!$B$7:$B$1006,"&lt;="&amp;($C87+$D$5),Статистика!$C$7:$C$1006,IF($D87="","&lt;&gt;§",$D87),Статистика!$D$7:$D$1006,IF($E87="","&lt;&gt;§",$E87)))</f>
        <v/>
      </c>
      <c r="W87" s="52" t="str">
        <f aca="false">IF($C87="","",SUMIFS(Статистика!$H$7:$H$1006,Статистика!$B$7:$B$1006,"&gt;="&amp;($C87+1),Статистика!$B$7:$B$1006,"&lt;="&amp;($C87+$D$5),Статистика!$C$7:$C$1006,IF($D87="","&lt;&gt;§",$D87),Статистика!$D$7:$D$1006,IF($E87="","&lt;&gt;§",$E87)))</f>
        <v/>
      </c>
      <c r="X87" s="52" t="str">
        <f aca="false">IF($C87="","",SUMIFS(Статистика!$T$7:$T$1006,Статистика!$B$7:$B$1006,"&gt;="&amp;($C87+1),Статистика!$B$7:$B$1006,"&lt;="&amp;($C87+$D$5),Статистика!$C$7:$C$1006,IF($D87="","&lt;&gt;§",$D87),Статистика!$D$7:$D$1006,IF($E87="","&lt;&gt;§",$E87)))</f>
        <v/>
      </c>
      <c r="Y87" s="1"/>
      <c r="Z87" s="1"/>
      <c r="AA87" s="1"/>
      <c r="AB87" s="1"/>
      <c r="AC87" s="1"/>
      <c r="AD87" s="1"/>
    </row>
    <row r="88" customFormat="false" ht="30" hidden="false" customHeight="true" outlineLevel="0" collapsed="false">
      <c r="A88" s="1"/>
      <c r="B88" s="49" t="str">
        <f aca="false">IF($C88="","",ROW()-8)</f>
        <v/>
      </c>
      <c r="C88" s="35"/>
      <c r="D88" s="8"/>
      <c r="E88" s="26"/>
      <c r="F88" s="26"/>
      <c r="G88" s="50"/>
      <c r="H88" s="50"/>
      <c r="I88" s="30" t="str">
        <f aca="false">IF($C88="","",IFERROR(S88/T88,"—"))</f>
        <v/>
      </c>
      <c r="J88" s="30" t="str">
        <f aca="false">IF($C88="","",IFERROR(V88/W88,"—"))</f>
        <v/>
      </c>
      <c r="K88" s="41" t="str">
        <f aca="false">IF($C88="","",IFERROR(J88/I88-1,""))</f>
        <v/>
      </c>
      <c r="L88" s="41" t="str">
        <f aca="false">IF($C88="","",IFERROR((U88-S88)/S88,"—"))</f>
        <v/>
      </c>
      <c r="M88" s="41" t="str">
        <f aca="false">IF($C88="","",IFERROR((X88-V88)/V88,"—"))</f>
        <v/>
      </c>
      <c r="N88" s="39" t="str">
        <f aca="false">IF($C88="","",T88/$D$5)</f>
        <v/>
      </c>
      <c r="O88" s="39" t="str">
        <f aca="false">IF($C88="","",W88/$D$5)</f>
        <v/>
      </c>
      <c r="P88" s="51" t="str">
        <f aca="false">IF($C88="","",IF(MAX(Статистика!$B$7:$B$1006)&lt;$C88+$D$5,"Чекаємо даних",IF(S88=0,"Новий (без бази)",IF(OR(T88=0,W88=0),"Мало даних",IF(K88&lt;=-$F$5,"Покращило",IF(K88&gt;=$F$5,"Погіршило","Без змін"))))))</f>
        <v/>
      </c>
      <c r="Q88" s="50"/>
      <c r="R88" s="1"/>
      <c r="S88" s="52" t="str">
        <f aca="false">IF($C88="","",SUMIFS(Статистика!$E$7:$E$1006,Статистика!$B$7:$B$1006,"&gt;="&amp;($C88-$D$5),Статистика!$B$7:$B$1006,"&lt;="&amp;($C88-1),Статистика!$C$7:$C$1006,IF($D88="","&lt;&gt;§",$D88),Статистика!$D$7:$D$1006,IF($E88="","&lt;&gt;§",$E88)))</f>
        <v/>
      </c>
      <c r="T88" s="52" t="str">
        <f aca="false">IF($C88="","",SUMIFS(Статистика!$H$7:$H$1006,Статистика!$B$7:$B$1006,"&gt;="&amp;($C88-$D$5),Статистика!$B$7:$B$1006,"&lt;="&amp;($C88-1),Статистика!$C$7:$C$1006,IF($D88="","&lt;&gt;§",$D88),Статистика!$D$7:$D$1006,IF($E88="","&lt;&gt;§",$E88)))</f>
        <v/>
      </c>
      <c r="U88" s="52" t="str">
        <f aca="false">IF($C88="","",SUMIFS(Статистика!$T$7:$T$1006,Статистика!$B$7:$B$1006,"&gt;="&amp;($C88-$D$5),Статистика!$B$7:$B$1006,"&lt;="&amp;($C88-1),Статистика!$C$7:$C$1006,IF($D88="","&lt;&gt;§",$D88),Статистика!$D$7:$D$1006,IF($E88="","&lt;&gt;§",$E88)))</f>
        <v/>
      </c>
      <c r="V88" s="52" t="str">
        <f aca="false">IF($C88="","",SUMIFS(Статистика!$E$7:$E$1006,Статистика!$B$7:$B$1006,"&gt;="&amp;($C88+1),Статистика!$B$7:$B$1006,"&lt;="&amp;($C88+$D$5),Статистика!$C$7:$C$1006,IF($D88="","&lt;&gt;§",$D88),Статистика!$D$7:$D$1006,IF($E88="","&lt;&gt;§",$E88)))</f>
        <v/>
      </c>
      <c r="W88" s="52" t="str">
        <f aca="false">IF($C88="","",SUMIFS(Статистика!$H$7:$H$1006,Статистика!$B$7:$B$1006,"&gt;="&amp;($C88+1),Статистика!$B$7:$B$1006,"&lt;="&amp;($C88+$D$5),Статистика!$C$7:$C$1006,IF($D88="","&lt;&gt;§",$D88),Статистика!$D$7:$D$1006,IF($E88="","&lt;&gt;§",$E88)))</f>
        <v/>
      </c>
      <c r="X88" s="52" t="str">
        <f aca="false">IF($C88="","",SUMIFS(Статистика!$T$7:$T$1006,Статистика!$B$7:$B$1006,"&gt;="&amp;($C88+1),Статистика!$B$7:$B$1006,"&lt;="&amp;($C88+$D$5),Статистика!$C$7:$C$1006,IF($D88="","&lt;&gt;§",$D88),Статистика!$D$7:$D$1006,IF($E88="","&lt;&gt;§",$E88)))</f>
        <v/>
      </c>
      <c r="Y88" s="1"/>
      <c r="Z88" s="1"/>
      <c r="AA88" s="1"/>
      <c r="AB88" s="1"/>
      <c r="AC88" s="1"/>
      <c r="AD88" s="1"/>
    </row>
    <row r="89" customFormat="false" ht="30" hidden="false" customHeight="true" outlineLevel="0" collapsed="false">
      <c r="A89" s="1"/>
      <c r="B89" s="49" t="str">
        <f aca="false">IF($C89="","",ROW()-8)</f>
        <v/>
      </c>
      <c r="C89" s="35"/>
      <c r="D89" s="8"/>
      <c r="E89" s="26"/>
      <c r="F89" s="26"/>
      <c r="G89" s="50"/>
      <c r="H89" s="50"/>
      <c r="I89" s="30" t="str">
        <f aca="false">IF($C89="","",IFERROR(S89/T89,"—"))</f>
        <v/>
      </c>
      <c r="J89" s="30" t="str">
        <f aca="false">IF($C89="","",IFERROR(V89/W89,"—"))</f>
        <v/>
      </c>
      <c r="K89" s="41" t="str">
        <f aca="false">IF($C89="","",IFERROR(J89/I89-1,""))</f>
        <v/>
      </c>
      <c r="L89" s="41" t="str">
        <f aca="false">IF($C89="","",IFERROR((U89-S89)/S89,"—"))</f>
        <v/>
      </c>
      <c r="M89" s="41" t="str">
        <f aca="false">IF($C89="","",IFERROR((X89-V89)/V89,"—"))</f>
        <v/>
      </c>
      <c r="N89" s="39" t="str">
        <f aca="false">IF($C89="","",T89/$D$5)</f>
        <v/>
      </c>
      <c r="O89" s="39" t="str">
        <f aca="false">IF($C89="","",W89/$D$5)</f>
        <v/>
      </c>
      <c r="P89" s="51" t="str">
        <f aca="false">IF($C89="","",IF(MAX(Статистика!$B$7:$B$1006)&lt;$C89+$D$5,"Чекаємо даних",IF(S89=0,"Новий (без бази)",IF(OR(T89=0,W89=0),"Мало даних",IF(K89&lt;=-$F$5,"Покращило",IF(K89&gt;=$F$5,"Погіршило","Без змін"))))))</f>
        <v/>
      </c>
      <c r="Q89" s="50"/>
      <c r="R89" s="1"/>
      <c r="S89" s="52" t="str">
        <f aca="false">IF($C89="","",SUMIFS(Статистика!$E$7:$E$1006,Статистика!$B$7:$B$1006,"&gt;="&amp;($C89-$D$5),Статистика!$B$7:$B$1006,"&lt;="&amp;($C89-1),Статистика!$C$7:$C$1006,IF($D89="","&lt;&gt;§",$D89),Статистика!$D$7:$D$1006,IF($E89="","&lt;&gt;§",$E89)))</f>
        <v/>
      </c>
      <c r="T89" s="52" t="str">
        <f aca="false">IF($C89="","",SUMIFS(Статистика!$H$7:$H$1006,Статистика!$B$7:$B$1006,"&gt;="&amp;($C89-$D$5),Статистика!$B$7:$B$1006,"&lt;="&amp;($C89-1),Статистика!$C$7:$C$1006,IF($D89="","&lt;&gt;§",$D89),Статистика!$D$7:$D$1006,IF($E89="","&lt;&gt;§",$E89)))</f>
        <v/>
      </c>
      <c r="U89" s="52" t="str">
        <f aca="false">IF($C89="","",SUMIFS(Статистика!$T$7:$T$1006,Статистика!$B$7:$B$1006,"&gt;="&amp;($C89-$D$5),Статистика!$B$7:$B$1006,"&lt;="&amp;($C89-1),Статистика!$C$7:$C$1006,IF($D89="","&lt;&gt;§",$D89),Статистика!$D$7:$D$1006,IF($E89="","&lt;&gt;§",$E89)))</f>
        <v/>
      </c>
      <c r="V89" s="52" t="str">
        <f aca="false">IF($C89="","",SUMIFS(Статистика!$E$7:$E$1006,Статистика!$B$7:$B$1006,"&gt;="&amp;($C89+1),Статистика!$B$7:$B$1006,"&lt;="&amp;($C89+$D$5),Статистика!$C$7:$C$1006,IF($D89="","&lt;&gt;§",$D89),Статистика!$D$7:$D$1006,IF($E89="","&lt;&gt;§",$E89)))</f>
        <v/>
      </c>
      <c r="W89" s="52" t="str">
        <f aca="false">IF($C89="","",SUMIFS(Статистика!$H$7:$H$1006,Статистика!$B$7:$B$1006,"&gt;="&amp;($C89+1),Статистика!$B$7:$B$1006,"&lt;="&amp;($C89+$D$5),Статистика!$C$7:$C$1006,IF($D89="","&lt;&gt;§",$D89),Статистика!$D$7:$D$1006,IF($E89="","&lt;&gt;§",$E89)))</f>
        <v/>
      </c>
      <c r="X89" s="52" t="str">
        <f aca="false">IF($C89="","",SUMIFS(Статистика!$T$7:$T$1006,Статистика!$B$7:$B$1006,"&gt;="&amp;($C89+1),Статистика!$B$7:$B$1006,"&lt;="&amp;($C89+$D$5),Статистика!$C$7:$C$1006,IF($D89="","&lt;&gt;§",$D89),Статистика!$D$7:$D$1006,IF($E89="","&lt;&gt;§",$E89)))</f>
        <v/>
      </c>
      <c r="Y89" s="1"/>
      <c r="Z89" s="1"/>
      <c r="AA89" s="1"/>
      <c r="AB89" s="1"/>
      <c r="AC89" s="1"/>
      <c r="AD89" s="1"/>
    </row>
    <row r="90" customFormat="false" ht="30" hidden="false" customHeight="true" outlineLevel="0" collapsed="false">
      <c r="A90" s="1"/>
      <c r="B90" s="49" t="str">
        <f aca="false">IF($C90="","",ROW()-8)</f>
        <v/>
      </c>
      <c r="C90" s="35"/>
      <c r="D90" s="8"/>
      <c r="E90" s="26"/>
      <c r="F90" s="26"/>
      <c r="G90" s="50"/>
      <c r="H90" s="50"/>
      <c r="I90" s="30" t="str">
        <f aca="false">IF($C90="","",IFERROR(S90/T90,"—"))</f>
        <v/>
      </c>
      <c r="J90" s="30" t="str">
        <f aca="false">IF($C90="","",IFERROR(V90/W90,"—"))</f>
        <v/>
      </c>
      <c r="K90" s="41" t="str">
        <f aca="false">IF($C90="","",IFERROR(J90/I90-1,""))</f>
        <v/>
      </c>
      <c r="L90" s="41" t="str">
        <f aca="false">IF($C90="","",IFERROR((U90-S90)/S90,"—"))</f>
        <v/>
      </c>
      <c r="M90" s="41" t="str">
        <f aca="false">IF($C90="","",IFERROR((X90-V90)/V90,"—"))</f>
        <v/>
      </c>
      <c r="N90" s="39" t="str">
        <f aca="false">IF($C90="","",T90/$D$5)</f>
        <v/>
      </c>
      <c r="O90" s="39" t="str">
        <f aca="false">IF($C90="","",W90/$D$5)</f>
        <v/>
      </c>
      <c r="P90" s="51" t="str">
        <f aca="false">IF($C90="","",IF(MAX(Статистика!$B$7:$B$1006)&lt;$C90+$D$5,"Чекаємо даних",IF(S90=0,"Новий (без бази)",IF(OR(T90=0,W90=0),"Мало даних",IF(K90&lt;=-$F$5,"Покращило",IF(K90&gt;=$F$5,"Погіршило","Без змін"))))))</f>
        <v/>
      </c>
      <c r="Q90" s="50"/>
      <c r="R90" s="1"/>
      <c r="S90" s="52" t="str">
        <f aca="false">IF($C90="","",SUMIFS(Статистика!$E$7:$E$1006,Статистика!$B$7:$B$1006,"&gt;="&amp;($C90-$D$5),Статистика!$B$7:$B$1006,"&lt;="&amp;($C90-1),Статистика!$C$7:$C$1006,IF($D90="","&lt;&gt;§",$D90),Статистика!$D$7:$D$1006,IF($E90="","&lt;&gt;§",$E90)))</f>
        <v/>
      </c>
      <c r="T90" s="52" t="str">
        <f aca="false">IF($C90="","",SUMIFS(Статистика!$H$7:$H$1006,Статистика!$B$7:$B$1006,"&gt;="&amp;($C90-$D$5),Статистика!$B$7:$B$1006,"&lt;="&amp;($C90-1),Статистика!$C$7:$C$1006,IF($D90="","&lt;&gt;§",$D90),Статистика!$D$7:$D$1006,IF($E90="","&lt;&gt;§",$E90)))</f>
        <v/>
      </c>
      <c r="U90" s="52" t="str">
        <f aca="false">IF($C90="","",SUMIFS(Статистика!$T$7:$T$1006,Статистика!$B$7:$B$1006,"&gt;="&amp;($C90-$D$5),Статистика!$B$7:$B$1006,"&lt;="&amp;($C90-1),Статистика!$C$7:$C$1006,IF($D90="","&lt;&gt;§",$D90),Статистика!$D$7:$D$1006,IF($E90="","&lt;&gt;§",$E90)))</f>
        <v/>
      </c>
      <c r="V90" s="52" t="str">
        <f aca="false">IF($C90="","",SUMIFS(Статистика!$E$7:$E$1006,Статистика!$B$7:$B$1006,"&gt;="&amp;($C90+1),Статистика!$B$7:$B$1006,"&lt;="&amp;($C90+$D$5),Статистика!$C$7:$C$1006,IF($D90="","&lt;&gt;§",$D90),Статистика!$D$7:$D$1006,IF($E90="","&lt;&gt;§",$E90)))</f>
        <v/>
      </c>
      <c r="W90" s="52" t="str">
        <f aca="false">IF($C90="","",SUMIFS(Статистика!$H$7:$H$1006,Статистика!$B$7:$B$1006,"&gt;="&amp;($C90+1),Статистика!$B$7:$B$1006,"&lt;="&amp;($C90+$D$5),Статистика!$C$7:$C$1006,IF($D90="","&lt;&gt;§",$D90),Статистика!$D$7:$D$1006,IF($E90="","&lt;&gt;§",$E90)))</f>
        <v/>
      </c>
      <c r="X90" s="52" t="str">
        <f aca="false">IF($C90="","",SUMIFS(Статистика!$T$7:$T$1006,Статистика!$B$7:$B$1006,"&gt;="&amp;($C90+1),Статистика!$B$7:$B$1006,"&lt;="&amp;($C90+$D$5),Статистика!$C$7:$C$1006,IF($D90="","&lt;&gt;§",$D90),Статистика!$D$7:$D$1006,IF($E90="","&lt;&gt;§",$E90)))</f>
        <v/>
      </c>
      <c r="Y90" s="1"/>
      <c r="Z90" s="1"/>
      <c r="AA90" s="1"/>
      <c r="AB90" s="1"/>
      <c r="AC90" s="1"/>
      <c r="AD90" s="1"/>
    </row>
    <row r="91" customFormat="false" ht="30" hidden="false" customHeight="true" outlineLevel="0" collapsed="false">
      <c r="A91" s="1"/>
      <c r="B91" s="49" t="str">
        <f aca="false">IF($C91="","",ROW()-8)</f>
        <v/>
      </c>
      <c r="C91" s="35"/>
      <c r="D91" s="8"/>
      <c r="E91" s="26"/>
      <c r="F91" s="26"/>
      <c r="G91" s="50"/>
      <c r="H91" s="50"/>
      <c r="I91" s="30" t="str">
        <f aca="false">IF($C91="","",IFERROR(S91/T91,"—"))</f>
        <v/>
      </c>
      <c r="J91" s="30" t="str">
        <f aca="false">IF($C91="","",IFERROR(V91/W91,"—"))</f>
        <v/>
      </c>
      <c r="K91" s="41" t="str">
        <f aca="false">IF($C91="","",IFERROR(J91/I91-1,""))</f>
        <v/>
      </c>
      <c r="L91" s="41" t="str">
        <f aca="false">IF($C91="","",IFERROR((U91-S91)/S91,"—"))</f>
        <v/>
      </c>
      <c r="M91" s="41" t="str">
        <f aca="false">IF($C91="","",IFERROR((X91-V91)/V91,"—"))</f>
        <v/>
      </c>
      <c r="N91" s="39" t="str">
        <f aca="false">IF($C91="","",T91/$D$5)</f>
        <v/>
      </c>
      <c r="O91" s="39" t="str">
        <f aca="false">IF($C91="","",W91/$D$5)</f>
        <v/>
      </c>
      <c r="P91" s="51" t="str">
        <f aca="false">IF($C91="","",IF(MAX(Статистика!$B$7:$B$1006)&lt;$C91+$D$5,"Чекаємо даних",IF(S91=0,"Новий (без бази)",IF(OR(T91=0,W91=0),"Мало даних",IF(K91&lt;=-$F$5,"Покращило",IF(K91&gt;=$F$5,"Погіршило","Без змін"))))))</f>
        <v/>
      </c>
      <c r="Q91" s="50"/>
      <c r="R91" s="1"/>
      <c r="S91" s="52" t="str">
        <f aca="false">IF($C91="","",SUMIFS(Статистика!$E$7:$E$1006,Статистика!$B$7:$B$1006,"&gt;="&amp;($C91-$D$5),Статистика!$B$7:$B$1006,"&lt;="&amp;($C91-1),Статистика!$C$7:$C$1006,IF($D91="","&lt;&gt;§",$D91),Статистика!$D$7:$D$1006,IF($E91="","&lt;&gt;§",$E91)))</f>
        <v/>
      </c>
      <c r="T91" s="52" t="str">
        <f aca="false">IF($C91="","",SUMIFS(Статистика!$H$7:$H$1006,Статистика!$B$7:$B$1006,"&gt;="&amp;($C91-$D$5),Статистика!$B$7:$B$1006,"&lt;="&amp;($C91-1),Статистика!$C$7:$C$1006,IF($D91="","&lt;&gt;§",$D91),Статистика!$D$7:$D$1006,IF($E91="","&lt;&gt;§",$E91)))</f>
        <v/>
      </c>
      <c r="U91" s="52" t="str">
        <f aca="false">IF($C91="","",SUMIFS(Статистика!$T$7:$T$1006,Статистика!$B$7:$B$1006,"&gt;="&amp;($C91-$D$5),Статистика!$B$7:$B$1006,"&lt;="&amp;($C91-1),Статистика!$C$7:$C$1006,IF($D91="","&lt;&gt;§",$D91),Статистика!$D$7:$D$1006,IF($E91="","&lt;&gt;§",$E91)))</f>
        <v/>
      </c>
      <c r="V91" s="52" t="str">
        <f aca="false">IF($C91="","",SUMIFS(Статистика!$E$7:$E$1006,Статистика!$B$7:$B$1006,"&gt;="&amp;($C91+1),Статистика!$B$7:$B$1006,"&lt;="&amp;($C91+$D$5),Статистика!$C$7:$C$1006,IF($D91="","&lt;&gt;§",$D91),Статистика!$D$7:$D$1006,IF($E91="","&lt;&gt;§",$E91)))</f>
        <v/>
      </c>
      <c r="W91" s="52" t="str">
        <f aca="false">IF($C91="","",SUMIFS(Статистика!$H$7:$H$1006,Статистика!$B$7:$B$1006,"&gt;="&amp;($C91+1),Статистика!$B$7:$B$1006,"&lt;="&amp;($C91+$D$5),Статистика!$C$7:$C$1006,IF($D91="","&lt;&gt;§",$D91),Статистика!$D$7:$D$1006,IF($E91="","&lt;&gt;§",$E91)))</f>
        <v/>
      </c>
      <c r="X91" s="52" t="str">
        <f aca="false">IF($C91="","",SUMIFS(Статистика!$T$7:$T$1006,Статистика!$B$7:$B$1006,"&gt;="&amp;($C91+1),Статистика!$B$7:$B$1006,"&lt;="&amp;($C91+$D$5),Статистика!$C$7:$C$1006,IF($D91="","&lt;&gt;§",$D91),Статистика!$D$7:$D$1006,IF($E91="","&lt;&gt;§",$E91)))</f>
        <v/>
      </c>
      <c r="Y91" s="1"/>
      <c r="Z91" s="1"/>
      <c r="AA91" s="1"/>
      <c r="AB91" s="1"/>
      <c r="AC91" s="1"/>
      <c r="AD91" s="1"/>
    </row>
    <row r="92" customFormat="false" ht="30" hidden="false" customHeight="true" outlineLevel="0" collapsed="false">
      <c r="A92" s="1"/>
      <c r="B92" s="49" t="str">
        <f aca="false">IF($C92="","",ROW()-8)</f>
        <v/>
      </c>
      <c r="C92" s="35"/>
      <c r="D92" s="8"/>
      <c r="E92" s="26"/>
      <c r="F92" s="26"/>
      <c r="G92" s="50"/>
      <c r="H92" s="50"/>
      <c r="I92" s="30" t="str">
        <f aca="false">IF($C92="","",IFERROR(S92/T92,"—"))</f>
        <v/>
      </c>
      <c r="J92" s="30" t="str">
        <f aca="false">IF($C92="","",IFERROR(V92/W92,"—"))</f>
        <v/>
      </c>
      <c r="K92" s="41" t="str">
        <f aca="false">IF($C92="","",IFERROR(J92/I92-1,""))</f>
        <v/>
      </c>
      <c r="L92" s="41" t="str">
        <f aca="false">IF($C92="","",IFERROR((U92-S92)/S92,"—"))</f>
        <v/>
      </c>
      <c r="M92" s="41" t="str">
        <f aca="false">IF($C92="","",IFERROR((X92-V92)/V92,"—"))</f>
        <v/>
      </c>
      <c r="N92" s="39" t="str">
        <f aca="false">IF($C92="","",T92/$D$5)</f>
        <v/>
      </c>
      <c r="O92" s="39" t="str">
        <f aca="false">IF($C92="","",W92/$D$5)</f>
        <v/>
      </c>
      <c r="P92" s="51" t="str">
        <f aca="false">IF($C92="","",IF(MAX(Статистика!$B$7:$B$1006)&lt;$C92+$D$5,"Чекаємо даних",IF(S92=0,"Новий (без бази)",IF(OR(T92=0,W92=0),"Мало даних",IF(K92&lt;=-$F$5,"Покращило",IF(K92&gt;=$F$5,"Погіршило","Без змін"))))))</f>
        <v/>
      </c>
      <c r="Q92" s="50"/>
      <c r="R92" s="1"/>
      <c r="S92" s="52" t="str">
        <f aca="false">IF($C92="","",SUMIFS(Статистика!$E$7:$E$1006,Статистика!$B$7:$B$1006,"&gt;="&amp;($C92-$D$5),Статистика!$B$7:$B$1006,"&lt;="&amp;($C92-1),Статистика!$C$7:$C$1006,IF($D92="","&lt;&gt;§",$D92),Статистика!$D$7:$D$1006,IF($E92="","&lt;&gt;§",$E92)))</f>
        <v/>
      </c>
      <c r="T92" s="52" t="str">
        <f aca="false">IF($C92="","",SUMIFS(Статистика!$H$7:$H$1006,Статистика!$B$7:$B$1006,"&gt;="&amp;($C92-$D$5),Статистика!$B$7:$B$1006,"&lt;="&amp;($C92-1),Статистика!$C$7:$C$1006,IF($D92="","&lt;&gt;§",$D92),Статистика!$D$7:$D$1006,IF($E92="","&lt;&gt;§",$E92)))</f>
        <v/>
      </c>
      <c r="U92" s="52" t="str">
        <f aca="false">IF($C92="","",SUMIFS(Статистика!$T$7:$T$1006,Статистика!$B$7:$B$1006,"&gt;="&amp;($C92-$D$5),Статистика!$B$7:$B$1006,"&lt;="&amp;($C92-1),Статистика!$C$7:$C$1006,IF($D92="","&lt;&gt;§",$D92),Статистика!$D$7:$D$1006,IF($E92="","&lt;&gt;§",$E92)))</f>
        <v/>
      </c>
      <c r="V92" s="52" t="str">
        <f aca="false">IF($C92="","",SUMIFS(Статистика!$E$7:$E$1006,Статистика!$B$7:$B$1006,"&gt;="&amp;($C92+1),Статистика!$B$7:$B$1006,"&lt;="&amp;($C92+$D$5),Статистика!$C$7:$C$1006,IF($D92="","&lt;&gt;§",$D92),Статистика!$D$7:$D$1006,IF($E92="","&lt;&gt;§",$E92)))</f>
        <v/>
      </c>
      <c r="W92" s="52" t="str">
        <f aca="false">IF($C92="","",SUMIFS(Статистика!$H$7:$H$1006,Статистика!$B$7:$B$1006,"&gt;="&amp;($C92+1),Статистика!$B$7:$B$1006,"&lt;="&amp;($C92+$D$5),Статистика!$C$7:$C$1006,IF($D92="","&lt;&gt;§",$D92),Статистика!$D$7:$D$1006,IF($E92="","&lt;&gt;§",$E92)))</f>
        <v/>
      </c>
      <c r="X92" s="52" t="str">
        <f aca="false">IF($C92="","",SUMIFS(Статистика!$T$7:$T$1006,Статистика!$B$7:$B$1006,"&gt;="&amp;($C92+1),Статистика!$B$7:$B$1006,"&lt;="&amp;($C92+$D$5),Статистика!$C$7:$C$1006,IF($D92="","&lt;&gt;§",$D92),Статистика!$D$7:$D$1006,IF($E92="","&lt;&gt;§",$E92)))</f>
        <v/>
      </c>
      <c r="Y92" s="1"/>
      <c r="Z92" s="1"/>
      <c r="AA92" s="1"/>
      <c r="AB92" s="1"/>
      <c r="AC92" s="1"/>
      <c r="AD92" s="1"/>
    </row>
    <row r="93" customFormat="false" ht="30" hidden="false" customHeight="true" outlineLevel="0" collapsed="false">
      <c r="A93" s="1"/>
      <c r="B93" s="49" t="str">
        <f aca="false">IF($C93="","",ROW()-8)</f>
        <v/>
      </c>
      <c r="C93" s="35"/>
      <c r="D93" s="8"/>
      <c r="E93" s="26"/>
      <c r="F93" s="26"/>
      <c r="G93" s="50"/>
      <c r="H93" s="50"/>
      <c r="I93" s="30" t="str">
        <f aca="false">IF($C93="","",IFERROR(S93/T93,"—"))</f>
        <v/>
      </c>
      <c r="J93" s="30" t="str">
        <f aca="false">IF($C93="","",IFERROR(V93/W93,"—"))</f>
        <v/>
      </c>
      <c r="K93" s="41" t="str">
        <f aca="false">IF($C93="","",IFERROR(J93/I93-1,""))</f>
        <v/>
      </c>
      <c r="L93" s="41" t="str">
        <f aca="false">IF($C93="","",IFERROR((U93-S93)/S93,"—"))</f>
        <v/>
      </c>
      <c r="M93" s="41" t="str">
        <f aca="false">IF($C93="","",IFERROR((X93-V93)/V93,"—"))</f>
        <v/>
      </c>
      <c r="N93" s="39" t="str">
        <f aca="false">IF($C93="","",T93/$D$5)</f>
        <v/>
      </c>
      <c r="O93" s="39" t="str">
        <f aca="false">IF($C93="","",W93/$D$5)</f>
        <v/>
      </c>
      <c r="P93" s="51" t="str">
        <f aca="false">IF($C93="","",IF(MAX(Статистика!$B$7:$B$1006)&lt;$C93+$D$5,"Чекаємо даних",IF(S93=0,"Новий (без бази)",IF(OR(T93=0,W93=0),"Мало даних",IF(K93&lt;=-$F$5,"Покращило",IF(K93&gt;=$F$5,"Погіршило","Без змін"))))))</f>
        <v/>
      </c>
      <c r="Q93" s="50"/>
      <c r="R93" s="1"/>
      <c r="S93" s="52" t="str">
        <f aca="false">IF($C93="","",SUMIFS(Статистика!$E$7:$E$1006,Статистика!$B$7:$B$1006,"&gt;="&amp;($C93-$D$5),Статистика!$B$7:$B$1006,"&lt;="&amp;($C93-1),Статистика!$C$7:$C$1006,IF($D93="","&lt;&gt;§",$D93),Статистика!$D$7:$D$1006,IF($E93="","&lt;&gt;§",$E93)))</f>
        <v/>
      </c>
      <c r="T93" s="52" t="str">
        <f aca="false">IF($C93="","",SUMIFS(Статистика!$H$7:$H$1006,Статистика!$B$7:$B$1006,"&gt;="&amp;($C93-$D$5),Статистика!$B$7:$B$1006,"&lt;="&amp;($C93-1),Статистика!$C$7:$C$1006,IF($D93="","&lt;&gt;§",$D93),Статистика!$D$7:$D$1006,IF($E93="","&lt;&gt;§",$E93)))</f>
        <v/>
      </c>
      <c r="U93" s="52" t="str">
        <f aca="false">IF($C93="","",SUMIFS(Статистика!$T$7:$T$1006,Статистика!$B$7:$B$1006,"&gt;="&amp;($C93-$D$5),Статистика!$B$7:$B$1006,"&lt;="&amp;($C93-1),Статистика!$C$7:$C$1006,IF($D93="","&lt;&gt;§",$D93),Статистика!$D$7:$D$1006,IF($E93="","&lt;&gt;§",$E93)))</f>
        <v/>
      </c>
      <c r="V93" s="52" t="str">
        <f aca="false">IF($C93="","",SUMIFS(Статистика!$E$7:$E$1006,Статистика!$B$7:$B$1006,"&gt;="&amp;($C93+1),Статистика!$B$7:$B$1006,"&lt;="&amp;($C93+$D$5),Статистика!$C$7:$C$1006,IF($D93="","&lt;&gt;§",$D93),Статистика!$D$7:$D$1006,IF($E93="","&lt;&gt;§",$E93)))</f>
        <v/>
      </c>
      <c r="W93" s="52" t="str">
        <f aca="false">IF($C93="","",SUMIFS(Статистика!$H$7:$H$1006,Статистика!$B$7:$B$1006,"&gt;="&amp;($C93+1),Статистика!$B$7:$B$1006,"&lt;="&amp;($C93+$D$5),Статистика!$C$7:$C$1006,IF($D93="","&lt;&gt;§",$D93),Статистика!$D$7:$D$1006,IF($E93="","&lt;&gt;§",$E93)))</f>
        <v/>
      </c>
      <c r="X93" s="52" t="str">
        <f aca="false">IF($C93="","",SUMIFS(Статистика!$T$7:$T$1006,Статистика!$B$7:$B$1006,"&gt;="&amp;($C93+1),Статистика!$B$7:$B$1006,"&lt;="&amp;($C93+$D$5),Статистика!$C$7:$C$1006,IF($D93="","&lt;&gt;§",$D93),Статистика!$D$7:$D$1006,IF($E93="","&lt;&gt;§",$E93)))</f>
        <v/>
      </c>
      <c r="Y93" s="1"/>
      <c r="Z93" s="1"/>
      <c r="AA93" s="1"/>
      <c r="AB93" s="1"/>
      <c r="AC93" s="1"/>
      <c r="AD93" s="1"/>
    </row>
    <row r="94" customFormat="false" ht="30" hidden="false" customHeight="true" outlineLevel="0" collapsed="false">
      <c r="A94" s="1"/>
      <c r="B94" s="49" t="str">
        <f aca="false">IF($C94="","",ROW()-8)</f>
        <v/>
      </c>
      <c r="C94" s="35"/>
      <c r="D94" s="8"/>
      <c r="E94" s="26"/>
      <c r="F94" s="26"/>
      <c r="G94" s="50"/>
      <c r="H94" s="50"/>
      <c r="I94" s="30" t="str">
        <f aca="false">IF($C94="","",IFERROR(S94/T94,"—"))</f>
        <v/>
      </c>
      <c r="J94" s="30" t="str">
        <f aca="false">IF($C94="","",IFERROR(V94/W94,"—"))</f>
        <v/>
      </c>
      <c r="K94" s="41" t="str">
        <f aca="false">IF($C94="","",IFERROR(J94/I94-1,""))</f>
        <v/>
      </c>
      <c r="L94" s="41" t="str">
        <f aca="false">IF($C94="","",IFERROR((U94-S94)/S94,"—"))</f>
        <v/>
      </c>
      <c r="M94" s="41" t="str">
        <f aca="false">IF($C94="","",IFERROR((X94-V94)/V94,"—"))</f>
        <v/>
      </c>
      <c r="N94" s="39" t="str">
        <f aca="false">IF($C94="","",T94/$D$5)</f>
        <v/>
      </c>
      <c r="O94" s="39" t="str">
        <f aca="false">IF($C94="","",W94/$D$5)</f>
        <v/>
      </c>
      <c r="P94" s="51" t="str">
        <f aca="false">IF($C94="","",IF(MAX(Статистика!$B$7:$B$1006)&lt;$C94+$D$5,"Чекаємо даних",IF(S94=0,"Новий (без бази)",IF(OR(T94=0,W94=0),"Мало даних",IF(K94&lt;=-$F$5,"Покращило",IF(K94&gt;=$F$5,"Погіршило","Без змін"))))))</f>
        <v/>
      </c>
      <c r="Q94" s="50"/>
      <c r="R94" s="1"/>
      <c r="S94" s="52" t="str">
        <f aca="false">IF($C94="","",SUMIFS(Статистика!$E$7:$E$1006,Статистика!$B$7:$B$1006,"&gt;="&amp;($C94-$D$5),Статистика!$B$7:$B$1006,"&lt;="&amp;($C94-1),Статистика!$C$7:$C$1006,IF($D94="","&lt;&gt;§",$D94),Статистика!$D$7:$D$1006,IF($E94="","&lt;&gt;§",$E94)))</f>
        <v/>
      </c>
      <c r="T94" s="52" t="str">
        <f aca="false">IF($C94="","",SUMIFS(Статистика!$H$7:$H$1006,Статистика!$B$7:$B$1006,"&gt;="&amp;($C94-$D$5),Статистика!$B$7:$B$1006,"&lt;="&amp;($C94-1),Статистика!$C$7:$C$1006,IF($D94="","&lt;&gt;§",$D94),Статистика!$D$7:$D$1006,IF($E94="","&lt;&gt;§",$E94)))</f>
        <v/>
      </c>
      <c r="U94" s="52" t="str">
        <f aca="false">IF($C94="","",SUMIFS(Статистика!$T$7:$T$1006,Статистика!$B$7:$B$1006,"&gt;="&amp;($C94-$D$5),Статистика!$B$7:$B$1006,"&lt;="&amp;($C94-1),Статистика!$C$7:$C$1006,IF($D94="","&lt;&gt;§",$D94),Статистика!$D$7:$D$1006,IF($E94="","&lt;&gt;§",$E94)))</f>
        <v/>
      </c>
      <c r="V94" s="52" t="str">
        <f aca="false">IF($C94="","",SUMIFS(Статистика!$E$7:$E$1006,Статистика!$B$7:$B$1006,"&gt;="&amp;($C94+1),Статистика!$B$7:$B$1006,"&lt;="&amp;($C94+$D$5),Статистика!$C$7:$C$1006,IF($D94="","&lt;&gt;§",$D94),Статистика!$D$7:$D$1006,IF($E94="","&lt;&gt;§",$E94)))</f>
        <v/>
      </c>
      <c r="W94" s="52" t="str">
        <f aca="false">IF($C94="","",SUMIFS(Статистика!$H$7:$H$1006,Статистика!$B$7:$B$1006,"&gt;="&amp;($C94+1),Статистика!$B$7:$B$1006,"&lt;="&amp;($C94+$D$5),Статистика!$C$7:$C$1006,IF($D94="","&lt;&gt;§",$D94),Статистика!$D$7:$D$1006,IF($E94="","&lt;&gt;§",$E94)))</f>
        <v/>
      </c>
      <c r="X94" s="52" t="str">
        <f aca="false">IF($C94="","",SUMIFS(Статистика!$T$7:$T$1006,Статистика!$B$7:$B$1006,"&gt;="&amp;($C94+1),Статистика!$B$7:$B$1006,"&lt;="&amp;($C94+$D$5),Статистика!$C$7:$C$1006,IF($D94="","&lt;&gt;§",$D94),Статистика!$D$7:$D$1006,IF($E94="","&lt;&gt;§",$E94)))</f>
        <v/>
      </c>
      <c r="Y94" s="1"/>
      <c r="Z94" s="1"/>
      <c r="AA94" s="1"/>
      <c r="AB94" s="1"/>
      <c r="AC94" s="1"/>
      <c r="AD94" s="1"/>
    </row>
    <row r="95" customFormat="false" ht="30" hidden="false" customHeight="true" outlineLevel="0" collapsed="false">
      <c r="A95" s="1"/>
      <c r="B95" s="49" t="str">
        <f aca="false">IF($C95="","",ROW()-8)</f>
        <v/>
      </c>
      <c r="C95" s="35"/>
      <c r="D95" s="8"/>
      <c r="E95" s="26"/>
      <c r="F95" s="26"/>
      <c r="G95" s="50"/>
      <c r="H95" s="50"/>
      <c r="I95" s="30" t="str">
        <f aca="false">IF($C95="","",IFERROR(S95/T95,"—"))</f>
        <v/>
      </c>
      <c r="J95" s="30" t="str">
        <f aca="false">IF($C95="","",IFERROR(V95/W95,"—"))</f>
        <v/>
      </c>
      <c r="K95" s="41" t="str">
        <f aca="false">IF($C95="","",IFERROR(J95/I95-1,""))</f>
        <v/>
      </c>
      <c r="L95" s="41" t="str">
        <f aca="false">IF($C95="","",IFERROR((U95-S95)/S95,"—"))</f>
        <v/>
      </c>
      <c r="M95" s="41" t="str">
        <f aca="false">IF($C95="","",IFERROR((X95-V95)/V95,"—"))</f>
        <v/>
      </c>
      <c r="N95" s="39" t="str">
        <f aca="false">IF($C95="","",T95/$D$5)</f>
        <v/>
      </c>
      <c r="O95" s="39" t="str">
        <f aca="false">IF($C95="","",W95/$D$5)</f>
        <v/>
      </c>
      <c r="P95" s="51" t="str">
        <f aca="false">IF($C95="","",IF(MAX(Статистика!$B$7:$B$1006)&lt;$C95+$D$5,"Чекаємо даних",IF(S95=0,"Новий (без бази)",IF(OR(T95=0,W95=0),"Мало даних",IF(K95&lt;=-$F$5,"Покращило",IF(K95&gt;=$F$5,"Погіршило","Без змін"))))))</f>
        <v/>
      </c>
      <c r="Q95" s="50"/>
      <c r="R95" s="1"/>
      <c r="S95" s="52" t="str">
        <f aca="false">IF($C95="","",SUMIFS(Статистика!$E$7:$E$1006,Статистика!$B$7:$B$1006,"&gt;="&amp;($C95-$D$5),Статистика!$B$7:$B$1006,"&lt;="&amp;($C95-1),Статистика!$C$7:$C$1006,IF($D95="","&lt;&gt;§",$D95),Статистика!$D$7:$D$1006,IF($E95="","&lt;&gt;§",$E95)))</f>
        <v/>
      </c>
      <c r="T95" s="52" t="str">
        <f aca="false">IF($C95="","",SUMIFS(Статистика!$H$7:$H$1006,Статистика!$B$7:$B$1006,"&gt;="&amp;($C95-$D$5),Статистика!$B$7:$B$1006,"&lt;="&amp;($C95-1),Статистика!$C$7:$C$1006,IF($D95="","&lt;&gt;§",$D95),Статистика!$D$7:$D$1006,IF($E95="","&lt;&gt;§",$E95)))</f>
        <v/>
      </c>
      <c r="U95" s="52" t="str">
        <f aca="false">IF($C95="","",SUMIFS(Статистика!$T$7:$T$1006,Статистика!$B$7:$B$1006,"&gt;="&amp;($C95-$D$5),Статистика!$B$7:$B$1006,"&lt;="&amp;($C95-1),Статистика!$C$7:$C$1006,IF($D95="","&lt;&gt;§",$D95),Статистика!$D$7:$D$1006,IF($E95="","&lt;&gt;§",$E95)))</f>
        <v/>
      </c>
      <c r="V95" s="52" t="str">
        <f aca="false">IF($C95="","",SUMIFS(Статистика!$E$7:$E$1006,Статистика!$B$7:$B$1006,"&gt;="&amp;($C95+1),Статистика!$B$7:$B$1006,"&lt;="&amp;($C95+$D$5),Статистика!$C$7:$C$1006,IF($D95="","&lt;&gt;§",$D95),Статистика!$D$7:$D$1006,IF($E95="","&lt;&gt;§",$E95)))</f>
        <v/>
      </c>
      <c r="W95" s="52" t="str">
        <f aca="false">IF($C95="","",SUMIFS(Статистика!$H$7:$H$1006,Статистика!$B$7:$B$1006,"&gt;="&amp;($C95+1),Статистика!$B$7:$B$1006,"&lt;="&amp;($C95+$D$5),Статистика!$C$7:$C$1006,IF($D95="","&lt;&gt;§",$D95),Статистика!$D$7:$D$1006,IF($E95="","&lt;&gt;§",$E95)))</f>
        <v/>
      </c>
      <c r="X95" s="52" t="str">
        <f aca="false">IF($C95="","",SUMIFS(Статистика!$T$7:$T$1006,Статистика!$B$7:$B$1006,"&gt;="&amp;($C95+1),Статистика!$B$7:$B$1006,"&lt;="&amp;($C95+$D$5),Статистика!$C$7:$C$1006,IF($D95="","&lt;&gt;§",$D95),Статистика!$D$7:$D$1006,IF($E95="","&lt;&gt;§",$E95)))</f>
        <v/>
      </c>
      <c r="Y95" s="1"/>
      <c r="Z95" s="1"/>
      <c r="AA95" s="1"/>
      <c r="AB95" s="1"/>
      <c r="AC95" s="1"/>
      <c r="AD95" s="1"/>
    </row>
    <row r="96" customFormat="false" ht="30" hidden="false" customHeight="true" outlineLevel="0" collapsed="false">
      <c r="A96" s="1"/>
      <c r="B96" s="49" t="str">
        <f aca="false">IF($C96="","",ROW()-8)</f>
        <v/>
      </c>
      <c r="C96" s="35"/>
      <c r="D96" s="8"/>
      <c r="E96" s="26"/>
      <c r="F96" s="26"/>
      <c r="G96" s="50"/>
      <c r="H96" s="50"/>
      <c r="I96" s="30" t="str">
        <f aca="false">IF($C96="","",IFERROR(S96/T96,"—"))</f>
        <v/>
      </c>
      <c r="J96" s="30" t="str">
        <f aca="false">IF($C96="","",IFERROR(V96/W96,"—"))</f>
        <v/>
      </c>
      <c r="K96" s="41" t="str">
        <f aca="false">IF($C96="","",IFERROR(J96/I96-1,""))</f>
        <v/>
      </c>
      <c r="L96" s="41" t="str">
        <f aca="false">IF($C96="","",IFERROR((U96-S96)/S96,"—"))</f>
        <v/>
      </c>
      <c r="M96" s="41" t="str">
        <f aca="false">IF($C96="","",IFERROR((X96-V96)/V96,"—"))</f>
        <v/>
      </c>
      <c r="N96" s="39" t="str">
        <f aca="false">IF($C96="","",T96/$D$5)</f>
        <v/>
      </c>
      <c r="O96" s="39" t="str">
        <f aca="false">IF($C96="","",W96/$D$5)</f>
        <v/>
      </c>
      <c r="P96" s="51" t="str">
        <f aca="false">IF($C96="","",IF(MAX(Статистика!$B$7:$B$1006)&lt;$C96+$D$5,"Чекаємо даних",IF(S96=0,"Новий (без бази)",IF(OR(T96=0,W96=0),"Мало даних",IF(K96&lt;=-$F$5,"Покращило",IF(K96&gt;=$F$5,"Погіршило","Без змін"))))))</f>
        <v/>
      </c>
      <c r="Q96" s="50"/>
      <c r="R96" s="1"/>
      <c r="S96" s="52" t="str">
        <f aca="false">IF($C96="","",SUMIFS(Статистика!$E$7:$E$1006,Статистика!$B$7:$B$1006,"&gt;="&amp;($C96-$D$5),Статистика!$B$7:$B$1006,"&lt;="&amp;($C96-1),Статистика!$C$7:$C$1006,IF($D96="","&lt;&gt;§",$D96),Статистика!$D$7:$D$1006,IF($E96="","&lt;&gt;§",$E96)))</f>
        <v/>
      </c>
      <c r="T96" s="52" t="str">
        <f aca="false">IF($C96="","",SUMIFS(Статистика!$H$7:$H$1006,Статистика!$B$7:$B$1006,"&gt;="&amp;($C96-$D$5),Статистика!$B$7:$B$1006,"&lt;="&amp;($C96-1),Статистика!$C$7:$C$1006,IF($D96="","&lt;&gt;§",$D96),Статистика!$D$7:$D$1006,IF($E96="","&lt;&gt;§",$E96)))</f>
        <v/>
      </c>
      <c r="U96" s="52" t="str">
        <f aca="false">IF($C96="","",SUMIFS(Статистика!$T$7:$T$1006,Статистика!$B$7:$B$1006,"&gt;="&amp;($C96-$D$5),Статистика!$B$7:$B$1006,"&lt;="&amp;($C96-1),Статистика!$C$7:$C$1006,IF($D96="","&lt;&gt;§",$D96),Статистика!$D$7:$D$1006,IF($E96="","&lt;&gt;§",$E96)))</f>
        <v/>
      </c>
      <c r="V96" s="52" t="str">
        <f aca="false">IF($C96="","",SUMIFS(Статистика!$E$7:$E$1006,Статистика!$B$7:$B$1006,"&gt;="&amp;($C96+1),Статистика!$B$7:$B$1006,"&lt;="&amp;($C96+$D$5),Статистика!$C$7:$C$1006,IF($D96="","&lt;&gt;§",$D96),Статистика!$D$7:$D$1006,IF($E96="","&lt;&gt;§",$E96)))</f>
        <v/>
      </c>
      <c r="W96" s="52" t="str">
        <f aca="false">IF($C96="","",SUMIFS(Статистика!$H$7:$H$1006,Статистика!$B$7:$B$1006,"&gt;="&amp;($C96+1),Статистика!$B$7:$B$1006,"&lt;="&amp;($C96+$D$5),Статистика!$C$7:$C$1006,IF($D96="","&lt;&gt;§",$D96),Статистика!$D$7:$D$1006,IF($E96="","&lt;&gt;§",$E96)))</f>
        <v/>
      </c>
      <c r="X96" s="52" t="str">
        <f aca="false">IF($C96="","",SUMIFS(Статистика!$T$7:$T$1006,Статистика!$B$7:$B$1006,"&gt;="&amp;($C96+1),Статистика!$B$7:$B$1006,"&lt;="&amp;($C96+$D$5),Статистика!$C$7:$C$1006,IF($D96="","&lt;&gt;§",$D96),Статистика!$D$7:$D$1006,IF($E96="","&lt;&gt;§",$E96)))</f>
        <v/>
      </c>
      <c r="Y96" s="1"/>
      <c r="Z96" s="1"/>
      <c r="AA96" s="1"/>
      <c r="AB96" s="1"/>
      <c r="AC96" s="1"/>
      <c r="AD96" s="1"/>
    </row>
    <row r="97" customFormat="false" ht="30" hidden="false" customHeight="true" outlineLevel="0" collapsed="false">
      <c r="A97" s="1"/>
      <c r="B97" s="49" t="str">
        <f aca="false">IF($C97="","",ROW()-8)</f>
        <v/>
      </c>
      <c r="C97" s="35"/>
      <c r="D97" s="8"/>
      <c r="E97" s="26"/>
      <c r="F97" s="26"/>
      <c r="G97" s="50"/>
      <c r="H97" s="50"/>
      <c r="I97" s="30" t="str">
        <f aca="false">IF($C97="","",IFERROR(S97/T97,"—"))</f>
        <v/>
      </c>
      <c r="J97" s="30" t="str">
        <f aca="false">IF($C97="","",IFERROR(V97/W97,"—"))</f>
        <v/>
      </c>
      <c r="K97" s="41" t="str">
        <f aca="false">IF($C97="","",IFERROR(J97/I97-1,""))</f>
        <v/>
      </c>
      <c r="L97" s="41" t="str">
        <f aca="false">IF($C97="","",IFERROR((U97-S97)/S97,"—"))</f>
        <v/>
      </c>
      <c r="M97" s="41" t="str">
        <f aca="false">IF($C97="","",IFERROR((X97-V97)/V97,"—"))</f>
        <v/>
      </c>
      <c r="N97" s="39" t="str">
        <f aca="false">IF($C97="","",T97/$D$5)</f>
        <v/>
      </c>
      <c r="O97" s="39" t="str">
        <f aca="false">IF($C97="","",W97/$D$5)</f>
        <v/>
      </c>
      <c r="P97" s="51" t="str">
        <f aca="false">IF($C97="","",IF(MAX(Статистика!$B$7:$B$1006)&lt;$C97+$D$5,"Чекаємо даних",IF(S97=0,"Новий (без бази)",IF(OR(T97=0,W97=0),"Мало даних",IF(K97&lt;=-$F$5,"Покращило",IF(K97&gt;=$F$5,"Погіршило","Без змін"))))))</f>
        <v/>
      </c>
      <c r="Q97" s="50"/>
      <c r="R97" s="1"/>
      <c r="S97" s="52" t="str">
        <f aca="false">IF($C97="","",SUMIFS(Статистика!$E$7:$E$1006,Статистика!$B$7:$B$1006,"&gt;="&amp;($C97-$D$5),Статистика!$B$7:$B$1006,"&lt;="&amp;($C97-1),Статистика!$C$7:$C$1006,IF($D97="","&lt;&gt;§",$D97),Статистика!$D$7:$D$1006,IF($E97="","&lt;&gt;§",$E97)))</f>
        <v/>
      </c>
      <c r="T97" s="52" t="str">
        <f aca="false">IF($C97="","",SUMIFS(Статистика!$H$7:$H$1006,Статистика!$B$7:$B$1006,"&gt;="&amp;($C97-$D$5),Статистика!$B$7:$B$1006,"&lt;="&amp;($C97-1),Статистика!$C$7:$C$1006,IF($D97="","&lt;&gt;§",$D97),Статистика!$D$7:$D$1006,IF($E97="","&lt;&gt;§",$E97)))</f>
        <v/>
      </c>
      <c r="U97" s="52" t="str">
        <f aca="false">IF($C97="","",SUMIFS(Статистика!$T$7:$T$1006,Статистика!$B$7:$B$1006,"&gt;="&amp;($C97-$D$5),Статистика!$B$7:$B$1006,"&lt;="&amp;($C97-1),Статистика!$C$7:$C$1006,IF($D97="","&lt;&gt;§",$D97),Статистика!$D$7:$D$1006,IF($E97="","&lt;&gt;§",$E97)))</f>
        <v/>
      </c>
      <c r="V97" s="52" t="str">
        <f aca="false">IF($C97="","",SUMIFS(Статистика!$E$7:$E$1006,Статистика!$B$7:$B$1006,"&gt;="&amp;($C97+1),Статистика!$B$7:$B$1006,"&lt;="&amp;($C97+$D$5),Статистика!$C$7:$C$1006,IF($D97="","&lt;&gt;§",$D97),Статистика!$D$7:$D$1006,IF($E97="","&lt;&gt;§",$E97)))</f>
        <v/>
      </c>
      <c r="W97" s="52" t="str">
        <f aca="false">IF($C97="","",SUMIFS(Статистика!$H$7:$H$1006,Статистика!$B$7:$B$1006,"&gt;="&amp;($C97+1),Статистика!$B$7:$B$1006,"&lt;="&amp;($C97+$D$5),Статистика!$C$7:$C$1006,IF($D97="","&lt;&gt;§",$D97),Статистика!$D$7:$D$1006,IF($E97="","&lt;&gt;§",$E97)))</f>
        <v/>
      </c>
      <c r="X97" s="52" t="str">
        <f aca="false">IF($C97="","",SUMIFS(Статистика!$T$7:$T$1006,Статистика!$B$7:$B$1006,"&gt;="&amp;($C97+1),Статистика!$B$7:$B$1006,"&lt;="&amp;($C97+$D$5),Статистика!$C$7:$C$1006,IF($D97="","&lt;&gt;§",$D97),Статистика!$D$7:$D$1006,IF($E97="","&lt;&gt;§",$E97)))</f>
        <v/>
      </c>
      <c r="Y97" s="1"/>
      <c r="Z97" s="1"/>
      <c r="AA97" s="1"/>
      <c r="AB97" s="1"/>
      <c r="AC97" s="1"/>
      <c r="AD97" s="1"/>
    </row>
    <row r="98" customFormat="false" ht="30" hidden="false" customHeight="true" outlineLevel="0" collapsed="false">
      <c r="A98" s="1"/>
      <c r="B98" s="49" t="str">
        <f aca="false">IF($C98="","",ROW()-8)</f>
        <v/>
      </c>
      <c r="C98" s="35"/>
      <c r="D98" s="8"/>
      <c r="E98" s="26"/>
      <c r="F98" s="26"/>
      <c r="G98" s="50"/>
      <c r="H98" s="50"/>
      <c r="I98" s="30" t="str">
        <f aca="false">IF($C98="","",IFERROR(S98/T98,"—"))</f>
        <v/>
      </c>
      <c r="J98" s="30" t="str">
        <f aca="false">IF($C98="","",IFERROR(V98/W98,"—"))</f>
        <v/>
      </c>
      <c r="K98" s="41" t="str">
        <f aca="false">IF($C98="","",IFERROR(J98/I98-1,""))</f>
        <v/>
      </c>
      <c r="L98" s="41" t="str">
        <f aca="false">IF($C98="","",IFERROR((U98-S98)/S98,"—"))</f>
        <v/>
      </c>
      <c r="M98" s="41" t="str">
        <f aca="false">IF($C98="","",IFERROR((X98-V98)/V98,"—"))</f>
        <v/>
      </c>
      <c r="N98" s="39" t="str">
        <f aca="false">IF($C98="","",T98/$D$5)</f>
        <v/>
      </c>
      <c r="O98" s="39" t="str">
        <f aca="false">IF($C98="","",W98/$D$5)</f>
        <v/>
      </c>
      <c r="P98" s="51" t="str">
        <f aca="false">IF($C98="","",IF(MAX(Статистика!$B$7:$B$1006)&lt;$C98+$D$5,"Чекаємо даних",IF(S98=0,"Новий (без бази)",IF(OR(T98=0,W98=0),"Мало даних",IF(K98&lt;=-$F$5,"Покращило",IF(K98&gt;=$F$5,"Погіршило","Без змін"))))))</f>
        <v/>
      </c>
      <c r="Q98" s="50"/>
      <c r="R98" s="1"/>
      <c r="S98" s="52" t="str">
        <f aca="false">IF($C98="","",SUMIFS(Статистика!$E$7:$E$1006,Статистика!$B$7:$B$1006,"&gt;="&amp;($C98-$D$5),Статистика!$B$7:$B$1006,"&lt;="&amp;($C98-1),Статистика!$C$7:$C$1006,IF($D98="","&lt;&gt;§",$D98),Статистика!$D$7:$D$1006,IF($E98="","&lt;&gt;§",$E98)))</f>
        <v/>
      </c>
      <c r="T98" s="52" t="str">
        <f aca="false">IF($C98="","",SUMIFS(Статистика!$H$7:$H$1006,Статистика!$B$7:$B$1006,"&gt;="&amp;($C98-$D$5),Статистика!$B$7:$B$1006,"&lt;="&amp;($C98-1),Статистика!$C$7:$C$1006,IF($D98="","&lt;&gt;§",$D98),Статистика!$D$7:$D$1006,IF($E98="","&lt;&gt;§",$E98)))</f>
        <v/>
      </c>
      <c r="U98" s="52" t="str">
        <f aca="false">IF($C98="","",SUMIFS(Статистика!$T$7:$T$1006,Статистика!$B$7:$B$1006,"&gt;="&amp;($C98-$D$5),Статистика!$B$7:$B$1006,"&lt;="&amp;($C98-1),Статистика!$C$7:$C$1006,IF($D98="","&lt;&gt;§",$D98),Статистика!$D$7:$D$1006,IF($E98="","&lt;&gt;§",$E98)))</f>
        <v/>
      </c>
      <c r="V98" s="52" t="str">
        <f aca="false">IF($C98="","",SUMIFS(Статистика!$E$7:$E$1006,Статистика!$B$7:$B$1006,"&gt;="&amp;($C98+1),Статистика!$B$7:$B$1006,"&lt;="&amp;($C98+$D$5),Статистика!$C$7:$C$1006,IF($D98="","&lt;&gt;§",$D98),Статистика!$D$7:$D$1006,IF($E98="","&lt;&gt;§",$E98)))</f>
        <v/>
      </c>
      <c r="W98" s="52" t="str">
        <f aca="false">IF($C98="","",SUMIFS(Статистика!$H$7:$H$1006,Статистика!$B$7:$B$1006,"&gt;="&amp;($C98+1),Статистика!$B$7:$B$1006,"&lt;="&amp;($C98+$D$5),Статистика!$C$7:$C$1006,IF($D98="","&lt;&gt;§",$D98),Статистика!$D$7:$D$1006,IF($E98="","&lt;&gt;§",$E98)))</f>
        <v/>
      </c>
      <c r="X98" s="52" t="str">
        <f aca="false">IF($C98="","",SUMIFS(Статистика!$T$7:$T$1006,Статистика!$B$7:$B$1006,"&gt;="&amp;($C98+1),Статистика!$B$7:$B$1006,"&lt;="&amp;($C98+$D$5),Статистика!$C$7:$C$1006,IF($D98="","&lt;&gt;§",$D98),Статистика!$D$7:$D$1006,IF($E98="","&lt;&gt;§",$E98)))</f>
        <v/>
      </c>
      <c r="Y98" s="1"/>
      <c r="Z98" s="1"/>
      <c r="AA98" s="1"/>
      <c r="AB98" s="1"/>
      <c r="AC98" s="1"/>
      <c r="AD98" s="1"/>
    </row>
    <row r="99" customFormat="false" ht="30" hidden="false" customHeight="true" outlineLevel="0" collapsed="false">
      <c r="A99" s="1"/>
      <c r="B99" s="49" t="str">
        <f aca="false">IF($C99="","",ROW()-8)</f>
        <v/>
      </c>
      <c r="C99" s="35"/>
      <c r="D99" s="8"/>
      <c r="E99" s="26"/>
      <c r="F99" s="26"/>
      <c r="G99" s="50"/>
      <c r="H99" s="50"/>
      <c r="I99" s="30" t="str">
        <f aca="false">IF($C99="","",IFERROR(S99/T99,"—"))</f>
        <v/>
      </c>
      <c r="J99" s="30" t="str">
        <f aca="false">IF($C99="","",IFERROR(V99/W99,"—"))</f>
        <v/>
      </c>
      <c r="K99" s="41" t="str">
        <f aca="false">IF($C99="","",IFERROR(J99/I99-1,""))</f>
        <v/>
      </c>
      <c r="L99" s="41" t="str">
        <f aca="false">IF($C99="","",IFERROR((U99-S99)/S99,"—"))</f>
        <v/>
      </c>
      <c r="M99" s="41" t="str">
        <f aca="false">IF($C99="","",IFERROR((X99-V99)/V99,"—"))</f>
        <v/>
      </c>
      <c r="N99" s="39" t="str">
        <f aca="false">IF($C99="","",T99/$D$5)</f>
        <v/>
      </c>
      <c r="O99" s="39" t="str">
        <f aca="false">IF($C99="","",W99/$D$5)</f>
        <v/>
      </c>
      <c r="P99" s="51" t="str">
        <f aca="false">IF($C99="","",IF(MAX(Статистика!$B$7:$B$1006)&lt;$C99+$D$5,"Чекаємо даних",IF(S99=0,"Новий (без бази)",IF(OR(T99=0,W99=0),"Мало даних",IF(K99&lt;=-$F$5,"Покращило",IF(K99&gt;=$F$5,"Погіршило","Без змін"))))))</f>
        <v/>
      </c>
      <c r="Q99" s="50"/>
      <c r="R99" s="1"/>
      <c r="S99" s="52" t="str">
        <f aca="false">IF($C99="","",SUMIFS(Статистика!$E$7:$E$1006,Статистика!$B$7:$B$1006,"&gt;="&amp;($C99-$D$5),Статистика!$B$7:$B$1006,"&lt;="&amp;($C99-1),Статистика!$C$7:$C$1006,IF($D99="","&lt;&gt;§",$D99),Статистика!$D$7:$D$1006,IF($E99="","&lt;&gt;§",$E99)))</f>
        <v/>
      </c>
      <c r="T99" s="52" t="str">
        <f aca="false">IF($C99="","",SUMIFS(Статистика!$H$7:$H$1006,Статистика!$B$7:$B$1006,"&gt;="&amp;($C99-$D$5),Статистика!$B$7:$B$1006,"&lt;="&amp;($C99-1),Статистика!$C$7:$C$1006,IF($D99="","&lt;&gt;§",$D99),Статистика!$D$7:$D$1006,IF($E99="","&lt;&gt;§",$E99)))</f>
        <v/>
      </c>
      <c r="U99" s="52" t="str">
        <f aca="false">IF($C99="","",SUMIFS(Статистика!$T$7:$T$1006,Статистика!$B$7:$B$1006,"&gt;="&amp;($C99-$D$5),Статистика!$B$7:$B$1006,"&lt;="&amp;($C99-1),Статистика!$C$7:$C$1006,IF($D99="","&lt;&gt;§",$D99),Статистика!$D$7:$D$1006,IF($E99="","&lt;&gt;§",$E99)))</f>
        <v/>
      </c>
      <c r="V99" s="52" t="str">
        <f aca="false">IF($C99="","",SUMIFS(Статистика!$E$7:$E$1006,Статистика!$B$7:$B$1006,"&gt;="&amp;($C99+1),Статистика!$B$7:$B$1006,"&lt;="&amp;($C99+$D$5),Статистика!$C$7:$C$1006,IF($D99="","&lt;&gt;§",$D99),Статистика!$D$7:$D$1006,IF($E99="","&lt;&gt;§",$E99)))</f>
        <v/>
      </c>
      <c r="W99" s="52" t="str">
        <f aca="false">IF($C99="","",SUMIFS(Статистика!$H$7:$H$1006,Статистика!$B$7:$B$1006,"&gt;="&amp;($C99+1),Статистика!$B$7:$B$1006,"&lt;="&amp;($C99+$D$5),Статистика!$C$7:$C$1006,IF($D99="","&lt;&gt;§",$D99),Статистика!$D$7:$D$1006,IF($E99="","&lt;&gt;§",$E99)))</f>
        <v/>
      </c>
      <c r="X99" s="52" t="str">
        <f aca="false">IF($C99="","",SUMIFS(Статистика!$T$7:$T$1006,Статистика!$B$7:$B$1006,"&gt;="&amp;($C99+1),Статистика!$B$7:$B$1006,"&lt;="&amp;($C99+$D$5),Статистика!$C$7:$C$1006,IF($D99="","&lt;&gt;§",$D99),Статистика!$D$7:$D$1006,IF($E99="","&lt;&gt;§",$E99)))</f>
        <v/>
      </c>
      <c r="Y99" s="1"/>
      <c r="Z99" s="1"/>
      <c r="AA99" s="1"/>
      <c r="AB99" s="1"/>
      <c r="AC99" s="1"/>
      <c r="AD99" s="1"/>
    </row>
    <row r="100" customFormat="false" ht="30" hidden="false" customHeight="true" outlineLevel="0" collapsed="false">
      <c r="A100" s="1"/>
      <c r="B100" s="49" t="str">
        <f aca="false">IF($C100="","",ROW()-8)</f>
        <v/>
      </c>
      <c r="C100" s="35"/>
      <c r="D100" s="8"/>
      <c r="E100" s="26"/>
      <c r="F100" s="26"/>
      <c r="G100" s="50"/>
      <c r="H100" s="50"/>
      <c r="I100" s="30" t="str">
        <f aca="false">IF($C100="","",IFERROR(S100/T100,"—"))</f>
        <v/>
      </c>
      <c r="J100" s="30" t="str">
        <f aca="false">IF($C100="","",IFERROR(V100/W100,"—"))</f>
        <v/>
      </c>
      <c r="K100" s="41" t="str">
        <f aca="false">IF($C100="","",IFERROR(J100/I100-1,""))</f>
        <v/>
      </c>
      <c r="L100" s="41" t="str">
        <f aca="false">IF($C100="","",IFERROR((U100-S100)/S100,"—"))</f>
        <v/>
      </c>
      <c r="M100" s="41" t="str">
        <f aca="false">IF($C100="","",IFERROR((X100-V100)/V100,"—"))</f>
        <v/>
      </c>
      <c r="N100" s="39" t="str">
        <f aca="false">IF($C100="","",T100/$D$5)</f>
        <v/>
      </c>
      <c r="O100" s="39" t="str">
        <f aca="false">IF($C100="","",W100/$D$5)</f>
        <v/>
      </c>
      <c r="P100" s="51" t="str">
        <f aca="false">IF($C100="","",IF(MAX(Статистика!$B$7:$B$1006)&lt;$C100+$D$5,"Чекаємо даних",IF(S100=0,"Новий (без бази)",IF(OR(T100=0,W100=0),"Мало даних",IF(K100&lt;=-$F$5,"Покращило",IF(K100&gt;=$F$5,"Погіршило","Без змін"))))))</f>
        <v/>
      </c>
      <c r="Q100" s="50"/>
      <c r="R100" s="1"/>
      <c r="S100" s="52" t="str">
        <f aca="false">IF($C100="","",SUMIFS(Статистика!$E$7:$E$1006,Статистика!$B$7:$B$1006,"&gt;="&amp;($C100-$D$5),Статистика!$B$7:$B$1006,"&lt;="&amp;($C100-1),Статистика!$C$7:$C$1006,IF($D100="","&lt;&gt;§",$D100),Статистика!$D$7:$D$1006,IF($E100="","&lt;&gt;§",$E100)))</f>
        <v/>
      </c>
      <c r="T100" s="52" t="str">
        <f aca="false">IF($C100="","",SUMIFS(Статистика!$H$7:$H$1006,Статистика!$B$7:$B$1006,"&gt;="&amp;($C100-$D$5),Статистика!$B$7:$B$1006,"&lt;="&amp;($C100-1),Статистика!$C$7:$C$1006,IF($D100="","&lt;&gt;§",$D100),Статистика!$D$7:$D$1006,IF($E100="","&lt;&gt;§",$E100)))</f>
        <v/>
      </c>
      <c r="U100" s="52" t="str">
        <f aca="false">IF($C100="","",SUMIFS(Статистика!$T$7:$T$1006,Статистика!$B$7:$B$1006,"&gt;="&amp;($C100-$D$5),Статистика!$B$7:$B$1006,"&lt;="&amp;($C100-1),Статистика!$C$7:$C$1006,IF($D100="","&lt;&gt;§",$D100),Статистика!$D$7:$D$1006,IF($E100="","&lt;&gt;§",$E100)))</f>
        <v/>
      </c>
      <c r="V100" s="52" t="str">
        <f aca="false">IF($C100="","",SUMIFS(Статистика!$E$7:$E$1006,Статистика!$B$7:$B$1006,"&gt;="&amp;($C100+1),Статистика!$B$7:$B$1006,"&lt;="&amp;($C100+$D$5),Статистика!$C$7:$C$1006,IF($D100="","&lt;&gt;§",$D100),Статистика!$D$7:$D$1006,IF($E100="","&lt;&gt;§",$E100)))</f>
        <v/>
      </c>
      <c r="W100" s="52" t="str">
        <f aca="false">IF($C100="","",SUMIFS(Статистика!$H$7:$H$1006,Статистика!$B$7:$B$1006,"&gt;="&amp;($C100+1),Статистика!$B$7:$B$1006,"&lt;="&amp;($C100+$D$5),Статистика!$C$7:$C$1006,IF($D100="","&lt;&gt;§",$D100),Статистика!$D$7:$D$1006,IF($E100="","&lt;&gt;§",$E100)))</f>
        <v/>
      </c>
      <c r="X100" s="52" t="str">
        <f aca="false">IF($C100="","",SUMIFS(Статистика!$T$7:$T$1006,Статистика!$B$7:$B$1006,"&gt;="&amp;($C100+1),Статистика!$B$7:$B$1006,"&lt;="&amp;($C100+$D$5),Статистика!$C$7:$C$1006,IF($D100="","&lt;&gt;§",$D100),Статистика!$D$7:$D$1006,IF($E100="","&lt;&gt;§",$E100)))</f>
        <v/>
      </c>
      <c r="Y100" s="1"/>
      <c r="Z100" s="1"/>
      <c r="AA100" s="1"/>
      <c r="AB100" s="1"/>
      <c r="AC100" s="1"/>
      <c r="AD100" s="1"/>
    </row>
    <row r="101" customFormat="false" ht="30" hidden="false" customHeight="true" outlineLevel="0" collapsed="false">
      <c r="A101" s="1"/>
      <c r="B101" s="49" t="str">
        <f aca="false">IF($C101="","",ROW()-8)</f>
        <v/>
      </c>
      <c r="C101" s="35"/>
      <c r="D101" s="8"/>
      <c r="E101" s="26"/>
      <c r="F101" s="26"/>
      <c r="G101" s="50"/>
      <c r="H101" s="50"/>
      <c r="I101" s="30" t="str">
        <f aca="false">IF($C101="","",IFERROR(S101/T101,"—"))</f>
        <v/>
      </c>
      <c r="J101" s="30" t="str">
        <f aca="false">IF($C101="","",IFERROR(V101/W101,"—"))</f>
        <v/>
      </c>
      <c r="K101" s="41" t="str">
        <f aca="false">IF($C101="","",IFERROR(J101/I101-1,""))</f>
        <v/>
      </c>
      <c r="L101" s="41" t="str">
        <f aca="false">IF($C101="","",IFERROR((U101-S101)/S101,"—"))</f>
        <v/>
      </c>
      <c r="M101" s="41" t="str">
        <f aca="false">IF($C101="","",IFERROR((X101-V101)/V101,"—"))</f>
        <v/>
      </c>
      <c r="N101" s="39" t="str">
        <f aca="false">IF($C101="","",T101/$D$5)</f>
        <v/>
      </c>
      <c r="O101" s="39" t="str">
        <f aca="false">IF($C101="","",W101/$D$5)</f>
        <v/>
      </c>
      <c r="P101" s="51" t="str">
        <f aca="false">IF($C101="","",IF(MAX(Статистика!$B$7:$B$1006)&lt;$C101+$D$5,"Чекаємо даних",IF(S101=0,"Новий (без бази)",IF(OR(T101=0,W101=0),"Мало даних",IF(K101&lt;=-$F$5,"Покращило",IF(K101&gt;=$F$5,"Погіршило","Без змін"))))))</f>
        <v/>
      </c>
      <c r="Q101" s="50"/>
      <c r="R101" s="1"/>
      <c r="S101" s="52" t="str">
        <f aca="false">IF($C101="","",SUMIFS(Статистика!$E$7:$E$1006,Статистика!$B$7:$B$1006,"&gt;="&amp;($C101-$D$5),Статистика!$B$7:$B$1006,"&lt;="&amp;($C101-1),Статистика!$C$7:$C$1006,IF($D101="","&lt;&gt;§",$D101),Статистика!$D$7:$D$1006,IF($E101="","&lt;&gt;§",$E101)))</f>
        <v/>
      </c>
      <c r="T101" s="52" t="str">
        <f aca="false">IF($C101="","",SUMIFS(Статистика!$H$7:$H$1006,Статистика!$B$7:$B$1006,"&gt;="&amp;($C101-$D$5),Статистика!$B$7:$B$1006,"&lt;="&amp;($C101-1),Статистика!$C$7:$C$1006,IF($D101="","&lt;&gt;§",$D101),Статистика!$D$7:$D$1006,IF($E101="","&lt;&gt;§",$E101)))</f>
        <v/>
      </c>
      <c r="U101" s="52" t="str">
        <f aca="false">IF($C101="","",SUMIFS(Статистика!$T$7:$T$1006,Статистика!$B$7:$B$1006,"&gt;="&amp;($C101-$D$5),Статистика!$B$7:$B$1006,"&lt;="&amp;($C101-1),Статистика!$C$7:$C$1006,IF($D101="","&lt;&gt;§",$D101),Статистика!$D$7:$D$1006,IF($E101="","&lt;&gt;§",$E101)))</f>
        <v/>
      </c>
      <c r="V101" s="52" t="str">
        <f aca="false">IF($C101="","",SUMIFS(Статистика!$E$7:$E$1006,Статистика!$B$7:$B$1006,"&gt;="&amp;($C101+1),Статистика!$B$7:$B$1006,"&lt;="&amp;($C101+$D$5),Статистика!$C$7:$C$1006,IF($D101="","&lt;&gt;§",$D101),Статистика!$D$7:$D$1006,IF($E101="","&lt;&gt;§",$E101)))</f>
        <v/>
      </c>
      <c r="W101" s="52" t="str">
        <f aca="false">IF($C101="","",SUMIFS(Статистика!$H$7:$H$1006,Статистика!$B$7:$B$1006,"&gt;="&amp;($C101+1),Статистика!$B$7:$B$1006,"&lt;="&amp;($C101+$D$5),Статистика!$C$7:$C$1006,IF($D101="","&lt;&gt;§",$D101),Статистика!$D$7:$D$1006,IF($E101="","&lt;&gt;§",$E101)))</f>
        <v/>
      </c>
      <c r="X101" s="52" t="str">
        <f aca="false">IF($C101="","",SUMIFS(Статистика!$T$7:$T$1006,Статистика!$B$7:$B$1006,"&gt;="&amp;($C101+1),Статистика!$B$7:$B$1006,"&lt;="&amp;($C101+$D$5),Статистика!$C$7:$C$1006,IF($D101="","&lt;&gt;§",$D101),Статистика!$D$7:$D$1006,IF($E101="","&lt;&gt;§",$E101)))</f>
        <v/>
      </c>
      <c r="Y101" s="1"/>
      <c r="Z101" s="1"/>
      <c r="AA101" s="1"/>
      <c r="AB101" s="1"/>
      <c r="AC101" s="1"/>
      <c r="AD101" s="1"/>
    </row>
    <row r="102" customFormat="false" ht="30" hidden="false" customHeight="true" outlineLevel="0" collapsed="false">
      <c r="A102" s="1"/>
      <c r="B102" s="49" t="str">
        <f aca="false">IF($C102="","",ROW()-8)</f>
        <v/>
      </c>
      <c r="C102" s="35"/>
      <c r="D102" s="8"/>
      <c r="E102" s="26"/>
      <c r="F102" s="26"/>
      <c r="G102" s="50"/>
      <c r="H102" s="50"/>
      <c r="I102" s="30" t="str">
        <f aca="false">IF($C102="","",IFERROR(S102/T102,"—"))</f>
        <v/>
      </c>
      <c r="J102" s="30" t="str">
        <f aca="false">IF($C102="","",IFERROR(V102/W102,"—"))</f>
        <v/>
      </c>
      <c r="K102" s="41" t="str">
        <f aca="false">IF($C102="","",IFERROR(J102/I102-1,""))</f>
        <v/>
      </c>
      <c r="L102" s="41" t="str">
        <f aca="false">IF($C102="","",IFERROR((U102-S102)/S102,"—"))</f>
        <v/>
      </c>
      <c r="M102" s="41" t="str">
        <f aca="false">IF($C102="","",IFERROR((X102-V102)/V102,"—"))</f>
        <v/>
      </c>
      <c r="N102" s="39" t="str">
        <f aca="false">IF($C102="","",T102/$D$5)</f>
        <v/>
      </c>
      <c r="O102" s="39" t="str">
        <f aca="false">IF($C102="","",W102/$D$5)</f>
        <v/>
      </c>
      <c r="P102" s="51" t="str">
        <f aca="false">IF($C102="","",IF(MAX(Статистика!$B$7:$B$1006)&lt;$C102+$D$5,"Чекаємо даних",IF(S102=0,"Новий (без бази)",IF(OR(T102=0,W102=0),"Мало даних",IF(K102&lt;=-$F$5,"Покращило",IF(K102&gt;=$F$5,"Погіршило","Без змін"))))))</f>
        <v/>
      </c>
      <c r="Q102" s="50"/>
      <c r="R102" s="1"/>
      <c r="S102" s="52" t="str">
        <f aca="false">IF($C102="","",SUMIFS(Статистика!$E$7:$E$1006,Статистика!$B$7:$B$1006,"&gt;="&amp;($C102-$D$5),Статистика!$B$7:$B$1006,"&lt;="&amp;($C102-1),Статистика!$C$7:$C$1006,IF($D102="","&lt;&gt;§",$D102),Статистика!$D$7:$D$1006,IF($E102="","&lt;&gt;§",$E102)))</f>
        <v/>
      </c>
      <c r="T102" s="52" t="str">
        <f aca="false">IF($C102="","",SUMIFS(Статистика!$H$7:$H$1006,Статистика!$B$7:$B$1006,"&gt;="&amp;($C102-$D$5),Статистика!$B$7:$B$1006,"&lt;="&amp;($C102-1),Статистика!$C$7:$C$1006,IF($D102="","&lt;&gt;§",$D102),Статистика!$D$7:$D$1006,IF($E102="","&lt;&gt;§",$E102)))</f>
        <v/>
      </c>
      <c r="U102" s="52" t="str">
        <f aca="false">IF($C102="","",SUMIFS(Статистика!$T$7:$T$1006,Статистика!$B$7:$B$1006,"&gt;="&amp;($C102-$D$5),Статистика!$B$7:$B$1006,"&lt;="&amp;($C102-1),Статистика!$C$7:$C$1006,IF($D102="","&lt;&gt;§",$D102),Статистика!$D$7:$D$1006,IF($E102="","&lt;&gt;§",$E102)))</f>
        <v/>
      </c>
      <c r="V102" s="52" t="str">
        <f aca="false">IF($C102="","",SUMIFS(Статистика!$E$7:$E$1006,Статистика!$B$7:$B$1006,"&gt;="&amp;($C102+1),Статистика!$B$7:$B$1006,"&lt;="&amp;($C102+$D$5),Статистика!$C$7:$C$1006,IF($D102="","&lt;&gt;§",$D102),Статистика!$D$7:$D$1006,IF($E102="","&lt;&gt;§",$E102)))</f>
        <v/>
      </c>
      <c r="W102" s="52" t="str">
        <f aca="false">IF($C102="","",SUMIFS(Статистика!$H$7:$H$1006,Статистика!$B$7:$B$1006,"&gt;="&amp;($C102+1),Статистика!$B$7:$B$1006,"&lt;="&amp;($C102+$D$5),Статистика!$C$7:$C$1006,IF($D102="","&lt;&gt;§",$D102),Статистика!$D$7:$D$1006,IF($E102="","&lt;&gt;§",$E102)))</f>
        <v/>
      </c>
      <c r="X102" s="52" t="str">
        <f aca="false">IF($C102="","",SUMIFS(Статистика!$T$7:$T$1006,Статистика!$B$7:$B$1006,"&gt;="&amp;($C102+1),Статистика!$B$7:$B$1006,"&lt;="&amp;($C102+$D$5),Статистика!$C$7:$C$1006,IF($D102="","&lt;&gt;§",$D102),Статистика!$D$7:$D$1006,IF($E102="","&lt;&gt;§",$E102)))</f>
        <v/>
      </c>
      <c r="Y102" s="1"/>
      <c r="Z102" s="1"/>
      <c r="AA102" s="1"/>
      <c r="AB102" s="1"/>
      <c r="AC102" s="1"/>
      <c r="AD102" s="1"/>
    </row>
    <row r="103" customFormat="false" ht="30" hidden="false" customHeight="true" outlineLevel="0" collapsed="false">
      <c r="A103" s="1"/>
      <c r="B103" s="49" t="str">
        <f aca="false">IF($C103="","",ROW()-8)</f>
        <v/>
      </c>
      <c r="C103" s="35"/>
      <c r="D103" s="8"/>
      <c r="E103" s="26"/>
      <c r="F103" s="26"/>
      <c r="G103" s="50"/>
      <c r="H103" s="50"/>
      <c r="I103" s="30" t="str">
        <f aca="false">IF($C103="","",IFERROR(S103/T103,"—"))</f>
        <v/>
      </c>
      <c r="J103" s="30" t="str">
        <f aca="false">IF($C103="","",IFERROR(V103/W103,"—"))</f>
        <v/>
      </c>
      <c r="K103" s="41" t="str">
        <f aca="false">IF($C103="","",IFERROR(J103/I103-1,""))</f>
        <v/>
      </c>
      <c r="L103" s="41" t="str">
        <f aca="false">IF($C103="","",IFERROR((U103-S103)/S103,"—"))</f>
        <v/>
      </c>
      <c r="M103" s="41" t="str">
        <f aca="false">IF($C103="","",IFERROR((X103-V103)/V103,"—"))</f>
        <v/>
      </c>
      <c r="N103" s="39" t="str">
        <f aca="false">IF($C103="","",T103/$D$5)</f>
        <v/>
      </c>
      <c r="O103" s="39" t="str">
        <f aca="false">IF($C103="","",W103/$D$5)</f>
        <v/>
      </c>
      <c r="P103" s="51" t="str">
        <f aca="false">IF($C103="","",IF(MAX(Статистика!$B$7:$B$1006)&lt;$C103+$D$5,"Чекаємо даних",IF(S103=0,"Новий (без бази)",IF(OR(T103=0,W103=0),"Мало даних",IF(K103&lt;=-$F$5,"Покращило",IF(K103&gt;=$F$5,"Погіршило","Без змін"))))))</f>
        <v/>
      </c>
      <c r="Q103" s="50"/>
      <c r="R103" s="1"/>
      <c r="S103" s="52" t="str">
        <f aca="false">IF($C103="","",SUMIFS(Статистика!$E$7:$E$1006,Статистика!$B$7:$B$1006,"&gt;="&amp;($C103-$D$5),Статистика!$B$7:$B$1006,"&lt;="&amp;($C103-1),Статистика!$C$7:$C$1006,IF($D103="","&lt;&gt;§",$D103),Статистика!$D$7:$D$1006,IF($E103="","&lt;&gt;§",$E103)))</f>
        <v/>
      </c>
      <c r="T103" s="52" t="str">
        <f aca="false">IF($C103="","",SUMIFS(Статистика!$H$7:$H$1006,Статистика!$B$7:$B$1006,"&gt;="&amp;($C103-$D$5),Статистика!$B$7:$B$1006,"&lt;="&amp;($C103-1),Статистика!$C$7:$C$1006,IF($D103="","&lt;&gt;§",$D103),Статистика!$D$7:$D$1006,IF($E103="","&lt;&gt;§",$E103)))</f>
        <v/>
      </c>
      <c r="U103" s="52" t="str">
        <f aca="false">IF($C103="","",SUMIFS(Статистика!$T$7:$T$1006,Статистика!$B$7:$B$1006,"&gt;="&amp;($C103-$D$5),Статистика!$B$7:$B$1006,"&lt;="&amp;($C103-1),Статистика!$C$7:$C$1006,IF($D103="","&lt;&gt;§",$D103),Статистика!$D$7:$D$1006,IF($E103="","&lt;&gt;§",$E103)))</f>
        <v/>
      </c>
      <c r="V103" s="52" t="str">
        <f aca="false">IF($C103="","",SUMIFS(Статистика!$E$7:$E$1006,Статистика!$B$7:$B$1006,"&gt;="&amp;($C103+1),Статистика!$B$7:$B$1006,"&lt;="&amp;($C103+$D$5),Статистика!$C$7:$C$1006,IF($D103="","&lt;&gt;§",$D103),Статистика!$D$7:$D$1006,IF($E103="","&lt;&gt;§",$E103)))</f>
        <v/>
      </c>
      <c r="W103" s="52" t="str">
        <f aca="false">IF($C103="","",SUMIFS(Статистика!$H$7:$H$1006,Статистика!$B$7:$B$1006,"&gt;="&amp;($C103+1),Статистика!$B$7:$B$1006,"&lt;="&amp;($C103+$D$5),Статистика!$C$7:$C$1006,IF($D103="","&lt;&gt;§",$D103),Статистика!$D$7:$D$1006,IF($E103="","&lt;&gt;§",$E103)))</f>
        <v/>
      </c>
      <c r="X103" s="52" t="str">
        <f aca="false">IF($C103="","",SUMIFS(Статистика!$T$7:$T$1006,Статистика!$B$7:$B$1006,"&gt;="&amp;($C103+1),Статистика!$B$7:$B$1006,"&lt;="&amp;($C103+$D$5),Статистика!$C$7:$C$1006,IF($D103="","&lt;&gt;§",$D103),Статистика!$D$7:$D$1006,IF($E103="","&lt;&gt;§",$E103)))</f>
        <v/>
      </c>
      <c r="Y103" s="1"/>
      <c r="Z103" s="1"/>
      <c r="AA103" s="1"/>
      <c r="AB103" s="1"/>
      <c r="AC103" s="1"/>
      <c r="AD103" s="1"/>
    </row>
    <row r="104" customFormat="false" ht="30" hidden="false" customHeight="true" outlineLevel="0" collapsed="false">
      <c r="A104" s="1"/>
      <c r="B104" s="49" t="str">
        <f aca="false">IF($C104="","",ROW()-8)</f>
        <v/>
      </c>
      <c r="C104" s="35"/>
      <c r="D104" s="8"/>
      <c r="E104" s="26"/>
      <c r="F104" s="26"/>
      <c r="G104" s="50"/>
      <c r="H104" s="50"/>
      <c r="I104" s="30" t="str">
        <f aca="false">IF($C104="","",IFERROR(S104/T104,"—"))</f>
        <v/>
      </c>
      <c r="J104" s="30" t="str">
        <f aca="false">IF($C104="","",IFERROR(V104/W104,"—"))</f>
        <v/>
      </c>
      <c r="K104" s="41" t="str">
        <f aca="false">IF($C104="","",IFERROR(J104/I104-1,""))</f>
        <v/>
      </c>
      <c r="L104" s="41" t="str">
        <f aca="false">IF($C104="","",IFERROR((U104-S104)/S104,"—"))</f>
        <v/>
      </c>
      <c r="M104" s="41" t="str">
        <f aca="false">IF($C104="","",IFERROR((X104-V104)/V104,"—"))</f>
        <v/>
      </c>
      <c r="N104" s="39" t="str">
        <f aca="false">IF($C104="","",T104/$D$5)</f>
        <v/>
      </c>
      <c r="O104" s="39" t="str">
        <f aca="false">IF($C104="","",W104/$D$5)</f>
        <v/>
      </c>
      <c r="P104" s="51" t="str">
        <f aca="false">IF($C104="","",IF(MAX(Статистика!$B$7:$B$1006)&lt;$C104+$D$5,"Чекаємо даних",IF(S104=0,"Новий (без бази)",IF(OR(T104=0,W104=0),"Мало даних",IF(K104&lt;=-$F$5,"Покращило",IF(K104&gt;=$F$5,"Погіршило","Без змін"))))))</f>
        <v/>
      </c>
      <c r="Q104" s="50"/>
      <c r="R104" s="1"/>
      <c r="S104" s="52" t="str">
        <f aca="false">IF($C104="","",SUMIFS(Статистика!$E$7:$E$1006,Статистика!$B$7:$B$1006,"&gt;="&amp;($C104-$D$5),Статистика!$B$7:$B$1006,"&lt;="&amp;($C104-1),Статистика!$C$7:$C$1006,IF($D104="","&lt;&gt;§",$D104),Статистика!$D$7:$D$1006,IF($E104="","&lt;&gt;§",$E104)))</f>
        <v/>
      </c>
      <c r="T104" s="52" t="str">
        <f aca="false">IF($C104="","",SUMIFS(Статистика!$H$7:$H$1006,Статистика!$B$7:$B$1006,"&gt;="&amp;($C104-$D$5),Статистика!$B$7:$B$1006,"&lt;="&amp;($C104-1),Статистика!$C$7:$C$1006,IF($D104="","&lt;&gt;§",$D104),Статистика!$D$7:$D$1006,IF($E104="","&lt;&gt;§",$E104)))</f>
        <v/>
      </c>
      <c r="U104" s="52" t="str">
        <f aca="false">IF($C104="","",SUMIFS(Статистика!$T$7:$T$1006,Статистика!$B$7:$B$1006,"&gt;="&amp;($C104-$D$5),Статистика!$B$7:$B$1006,"&lt;="&amp;($C104-1),Статистика!$C$7:$C$1006,IF($D104="","&lt;&gt;§",$D104),Статистика!$D$7:$D$1006,IF($E104="","&lt;&gt;§",$E104)))</f>
        <v/>
      </c>
      <c r="V104" s="52" t="str">
        <f aca="false">IF($C104="","",SUMIFS(Статистика!$E$7:$E$1006,Статистика!$B$7:$B$1006,"&gt;="&amp;($C104+1),Статистика!$B$7:$B$1006,"&lt;="&amp;($C104+$D$5),Статистика!$C$7:$C$1006,IF($D104="","&lt;&gt;§",$D104),Статистика!$D$7:$D$1006,IF($E104="","&lt;&gt;§",$E104)))</f>
        <v/>
      </c>
      <c r="W104" s="52" t="str">
        <f aca="false">IF($C104="","",SUMIFS(Статистика!$H$7:$H$1006,Статистика!$B$7:$B$1006,"&gt;="&amp;($C104+1),Статистика!$B$7:$B$1006,"&lt;="&amp;($C104+$D$5),Статистика!$C$7:$C$1006,IF($D104="","&lt;&gt;§",$D104),Статистика!$D$7:$D$1006,IF($E104="","&lt;&gt;§",$E104)))</f>
        <v/>
      </c>
      <c r="X104" s="52" t="str">
        <f aca="false">IF($C104="","",SUMIFS(Статистика!$T$7:$T$1006,Статистика!$B$7:$B$1006,"&gt;="&amp;($C104+1),Статистика!$B$7:$B$1006,"&lt;="&amp;($C104+$D$5),Статистика!$C$7:$C$1006,IF($D104="","&lt;&gt;§",$D104),Статистика!$D$7:$D$1006,IF($E104="","&lt;&gt;§",$E104)))</f>
        <v/>
      </c>
      <c r="Y104" s="1"/>
      <c r="Z104" s="1"/>
      <c r="AA104" s="1"/>
      <c r="AB104" s="1"/>
      <c r="AC104" s="1"/>
      <c r="AD104" s="1"/>
    </row>
    <row r="105" customFormat="false" ht="30" hidden="false" customHeight="true" outlineLevel="0" collapsed="false">
      <c r="A105" s="1"/>
      <c r="B105" s="49" t="str">
        <f aca="false">IF($C105="","",ROW()-8)</f>
        <v/>
      </c>
      <c r="C105" s="35"/>
      <c r="D105" s="8"/>
      <c r="E105" s="26"/>
      <c r="F105" s="26"/>
      <c r="G105" s="50"/>
      <c r="H105" s="50"/>
      <c r="I105" s="30" t="str">
        <f aca="false">IF($C105="","",IFERROR(S105/T105,"—"))</f>
        <v/>
      </c>
      <c r="J105" s="30" t="str">
        <f aca="false">IF($C105="","",IFERROR(V105/W105,"—"))</f>
        <v/>
      </c>
      <c r="K105" s="41" t="str">
        <f aca="false">IF($C105="","",IFERROR(J105/I105-1,""))</f>
        <v/>
      </c>
      <c r="L105" s="41" t="str">
        <f aca="false">IF($C105="","",IFERROR((U105-S105)/S105,"—"))</f>
        <v/>
      </c>
      <c r="M105" s="41" t="str">
        <f aca="false">IF($C105="","",IFERROR((X105-V105)/V105,"—"))</f>
        <v/>
      </c>
      <c r="N105" s="39" t="str">
        <f aca="false">IF($C105="","",T105/$D$5)</f>
        <v/>
      </c>
      <c r="O105" s="39" t="str">
        <f aca="false">IF($C105="","",W105/$D$5)</f>
        <v/>
      </c>
      <c r="P105" s="51" t="str">
        <f aca="false">IF($C105="","",IF(MAX(Статистика!$B$7:$B$1006)&lt;$C105+$D$5,"Чекаємо даних",IF(S105=0,"Новий (без бази)",IF(OR(T105=0,W105=0),"Мало даних",IF(K105&lt;=-$F$5,"Покращило",IF(K105&gt;=$F$5,"Погіршило","Без змін"))))))</f>
        <v/>
      </c>
      <c r="Q105" s="50"/>
      <c r="R105" s="1"/>
      <c r="S105" s="52" t="str">
        <f aca="false">IF($C105="","",SUMIFS(Статистика!$E$7:$E$1006,Статистика!$B$7:$B$1006,"&gt;="&amp;($C105-$D$5),Статистика!$B$7:$B$1006,"&lt;="&amp;($C105-1),Статистика!$C$7:$C$1006,IF($D105="","&lt;&gt;§",$D105),Статистика!$D$7:$D$1006,IF($E105="","&lt;&gt;§",$E105)))</f>
        <v/>
      </c>
      <c r="T105" s="52" t="str">
        <f aca="false">IF($C105="","",SUMIFS(Статистика!$H$7:$H$1006,Статистика!$B$7:$B$1006,"&gt;="&amp;($C105-$D$5),Статистика!$B$7:$B$1006,"&lt;="&amp;($C105-1),Статистика!$C$7:$C$1006,IF($D105="","&lt;&gt;§",$D105),Статистика!$D$7:$D$1006,IF($E105="","&lt;&gt;§",$E105)))</f>
        <v/>
      </c>
      <c r="U105" s="52" t="str">
        <f aca="false">IF($C105="","",SUMIFS(Статистика!$T$7:$T$1006,Статистика!$B$7:$B$1006,"&gt;="&amp;($C105-$D$5),Статистика!$B$7:$B$1006,"&lt;="&amp;($C105-1),Статистика!$C$7:$C$1006,IF($D105="","&lt;&gt;§",$D105),Статистика!$D$7:$D$1006,IF($E105="","&lt;&gt;§",$E105)))</f>
        <v/>
      </c>
      <c r="V105" s="52" t="str">
        <f aca="false">IF($C105="","",SUMIFS(Статистика!$E$7:$E$1006,Статистика!$B$7:$B$1006,"&gt;="&amp;($C105+1),Статистика!$B$7:$B$1006,"&lt;="&amp;($C105+$D$5),Статистика!$C$7:$C$1006,IF($D105="","&lt;&gt;§",$D105),Статистика!$D$7:$D$1006,IF($E105="","&lt;&gt;§",$E105)))</f>
        <v/>
      </c>
      <c r="W105" s="52" t="str">
        <f aca="false">IF($C105="","",SUMIFS(Статистика!$H$7:$H$1006,Статистика!$B$7:$B$1006,"&gt;="&amp;($C105+1),Статистика!$B$7:$B$1006,"&lt;="&amp;($C105+$D$5),Статистика!$C$7:$C$1006,IF($D105="","&lt;&gt;§",$D105),Статистика!$D$7:$D$1006,IF($E105="","&lt;&gt;§",$E105)))</f>
        <v/>
      </c>
      <c r="X105" s="52" t="str">
        <f aca="false">IF($C105="","",SUMIFS(Статистика!$T$7:$T$1006,Статистика!$B$7:$B$1006,"&gt;="&amp;($C105+1),Статистика!$B$7:$B$1006,"&lt;="&amp;($C105+$D$5),Статистика!$C$7:$C$1006,IF($D105="","&lt;&gt;§",$D105),Статистика!$D$7:$D$1006,IF($E105="","&lt;&gt;§",$E105)))</f>
        <v/>
      </c>
      <c r="Y105" s="1"/>
      <c r="Z105" s="1"/>
      <c r="AA105" s="1"/>
      <c r="AB105" s="1"/>
      <c r="AC105" s="1"/>
      <c r="AD105" s="1"/>
    </row>
    <row r="106" customFormat="false" ht="30" hidden="false" customHeight="true" outlineLevel="0" collapsed="false">
      <c r="A106" s="1"/>
      <c r="B106" s="49" t="str">
        <f aca="false">IF($C106="","",ROW()-8)</f>
        <v/>
      </c>
      <c r="C106" s="35"/>
      <c r="D106" s="8"/>
      <c r="E106" s="26"/>
      <c r="F106" s="26"/>
      <c r="G106" s="50"/>
      <c r="H106" s="50"/>
      <c r="I106" s="30" t="str">
        <f aca="false">IF($C106="","",IFERROR(S106/T106,"—"))</f>
        <v/>
      </c>
      <c r="J106" s="30" t="str">
        <f aca="false">IF($C106="","",IFERROR(V106/W106,"—"))</f>
        <v/>
      </c>
      <c r="K106" s="41" t="str">
        <f aca="false">IF($C106="","",IFERROR(J106/I106-1,""))</f>
        <v/>
      </c>
      <c r="L106" s="41" t="str">
        <f aca="false">IF($C106="","",IFERROR((U106-S106)/S106,"—"))</f>
        <v/>
      </c>
      <c r="M106" s="41" t="str">
        <f aca="false">IF($C106="","",IFERROR((X106-V106)/V106,"—"))</f>
        <v/>
      </c>
      <c r="N106" s="39" t="str">
        <f aca="false">IF($C106="","",T106/$D$5)</f>
        <v/>
      </c>
      <c r="O106" s="39" t="str">
        <f aca="false">IF($C106="","",W106/$D$5)</f>
        <v/>
      </c>
      <c r="P106" s="51" t="str">
        <f aca="false">IF($C106="","",IF(MAX(Статистика!$B$7:$B$1006)&lt;$C106+$D$5,"Чекаємо даних",IF(S106=0,"Новий (без бази)",IF(OR(T106=0,W106=0),"Мало даних",IF(K106&lt;=-$F$5,"Покращило",IF(K106&gt;=$F$5,"Погіршило","Без змін"))))))</f>
        <v/>
      </c>
      <c r="Q106" s="50"/>
      <c r="R106" s="1"/>
      <c r="S106" s="52" t="str">
        <f aca="false">IF($C106="","",SUMIFS(Статистика!$E$7:$E$1006,Статистика!$B$7:$B$1006,"&gt;="&amp;($C106-$D$5),Статистика!$B$7:$B$1006,"&lt;="&amp;($C106-1),Статистика!$C$7:$C$1006,IF($D106="","&lt;&gt;§",$D106),Статистика!$D$7:$D$1006,IF($E106="","&lt;&gt;§",$E106)))</f>
        <v/>
      </c>
      <c r="T106" s="52" t="str">
        <f aca="false">IF($C106="","",SUMIFS(Статистика!$H$7:$H$1006,Статистика!$B$7:$B$1006,"&gt;="&amp;($C106-$D$5),Статистика!$B$7:$B$1006,"&lt;="&amp;($C106-1),Статистика!$C$7:$C$1006,IF($D106="","&lt;&gt;§",$D106),Статистика!$D$7:$D$1006,IF($E106="","&lt;&gt;§",$E106)))</f>
        <v/>
      </c>
      <c r="U106" s="52" t="str">
        <f aca="false">IF($C106="","",SUMIFS(Статистика!$T$7:$T$1006,Статистика!$B$7:$B$1006,"&gt;="&amp;($C106-$D$5),Статистика!$B$7:$B$1006,"&lt;="&amp;($C106-1),Статистика!$C$7:$C$1006,IF($D106="","&lt;&gt;§",$D106),Статистика!$D$7:$D$1006,IF($E106="","&lt;&gt;§",$E106)))</f>
        <v/>
      </c>
      <c r="V106" s="52" t="str">
        <f aca="false">IF($C106="","",SUMIFS(Статистика!$E$7:$E$1006,Статистика!$B$7:$B$1006,"&gt;="&amp;($C106+1),Статистика!$B$7:$B$1006,"&lt;="&amp;($C106+$D$5),Статистика!$C$7:$C$1006,IF($D106="","&lt;&gt;§",$D106),Статистика!$D$7:$D$1006,IF($E106="","&lt;&gt;§",$E106)))</f>
        <v/>
      </c>
      <c r="W106" s="52" t="str">
        <f aca="false">IF($C106="","",SUMIFS(Статистика!$H$7:$H$1006,Статистика!$B$7:$B$1006,"&gt;="&amp;($C106+1),Статистика!$B$7:$B$1006,"&lt;="&amp;($C106+$D$5),Статистика!$C$7:$C$1006,IF($D106="","&lt;&gt;§",$D106),Статистика!$D$7:$D$1006,IF($E106="","&lt;&gt;§",$E106)))</f>
        <v/>
      </c>
      <c r="X106" s="52" t="str">
        <f aca="false">IF($C106="","",SUMIFS(Статистика!$T$7:$T$1006,Статистика!$B$7:$B$1006,"&gt;="&amp;($C106+1),Статистика!$B$7:$B$1006,"&lt;="&amp;($C106+$D$5),Статистика!$C$7:$C$1006,IF($D106="","&lt;&gt;§",$D106),Статистика!$D$7:$D$1006,IF($E106="","&lt;&gt;§",$E106)))</f>
        <v/>
      </c>
      <c r="Y106" s="1"/>
      <c r="Z106" s="1"/>
      <c r="AA106" s="1"/>
      <c r="AB106" s="1"/>
      <c r="AC106" s="1"/>
      <c r="AD106" s="1"/>
    </row>
    <row r="107" customFormat="false" ht="30" hidden="false" customHeight="true" outlineLevel="0" collapsed="false">
      <c r="A107" s="1"/>
      <c r="B107" s="49" t="str">
        <f aca="false">IF($C107="","",ROW()-8)</f>
        <v/>
      </c>
      <c r="C107" s="35"/>
      <c r="D107" s="8"/>
      <c r="E107" s="26"/>
      <c r="F107" s="26"/>
      <c r="G107" s="50"/>
      <c r="H107" s="50"/>
      <c r="I107" s="30" t="str">
        <f aca="false">IF($C107="","",IFERROR(S107/T107,"—"))</f>
        <v/>
      </c>
      <c r="J107" s="30" t="str">
        <f aca="false">IF($C107="","",IFERROR(V107/W107,"—"))</f>
        <v/>
      </c>
      <c r="K107" s="41" t="str">
        <f aca="false">IF($C107="","",IFERROR(J107/I107-1,""))</f>
        <v/>
      </c>
      <c r="L107" s="41" t="str">
        <f aca="false">IF($C107="","",IFERROR((U107-S107)/S107,"—"))</f>
        <v/>
      </c>
      <c r="M107" s="41" t="str">
        <f aca="false">IF($C107="","",IFERROR((X107-V107)/V107,"—"))</f>
        <v/>
      </c>
      <c r="N107" s="39" t="str">
        <f aca="false">IF($C107="","",T107/$D$5)</f>
        <v/>
      </c>
      <c r="O107" s="39" t="str">
        <f aca="false">IF($C107="","",W107/$D$5)</f>
        <v/>
      </c>
      <c r="P107" s="51" t="str">
        <f aca="false">IF($C107="","",IF(MAX(Статистика!$B$7:$B$1006)&lt;$C107+$D$5,"Чекаємо даних",IF(S107=0,"Новий (без бази)",IF(OR(T107=0,W107=0),"Мало даних",IF(K107&lt;=-$F$5,"Покращило",IF(K107&gt;=$F$5,"Погіршило","Без змін"))))))</f>
        <v/>
      </c>
      <c r="Q107" s="50"/>
      <c r="R107" s="1"/>
      <c r="S107" s="52" t="str">
        <f aca="false">IF($C107="","",SUMIFS(Статистика!$E$7:$E$1006,Статистика!$B$7:$B$1006,"&gt;="&amp;($C107-$D$5),Статистика!$B$7:$B$1006,"&lt;="&amp;($C107-1),Статистика!$C$7:$C$1006,IF($D107="","&lt;&gt;§",$D107),Статистика!$D$7:$D$1006,IF($E107="","&lt;&gt;§",$E107)))</f>
        <v/>
      </c>
      <c r="T107" s="52" t="str">
        <f aca="false">IF($C107="","",SUMIFS(Статистика!$H$7:$H$1006,Статистика!$B$7:$B$1006,"&gt;="&amp;($C107-$D$5),Статистика!$B$7:$B$1006,"&lt;="&amp;($C107-1),Статистика!$C$7:$C$1006,IF($D107="","&lt;&gt;§",$D107),Статистика!$D$7:$D$1006,IF($E107="","&lt;&gt;§",$E107)))</f>
        <v/>
      </c>
      <c r="U107" s="52" t="str">
        <f aca="false">IF($C107="","",SUMIFS(Статистика!$T$7:$T$1006,Статистика!$B$7:$B$1006,"&gt;="&amp;($C107-$D$5),Статистика!$B$7:$B$1006,"&lt;="&amp;($C107-1),Статистика!$C$7:$C$1006,IF($D107="","&lt;&gt;§",$D107),Статистика!$D$7:$D$1006,IF($E107="","&lt;&gt;§",$E107)))</f>
        <v/>
      </c>
      <c r="V107" s="52" t="str">
        <f aca="false">IF($C107="","",SUMIFS(Статистика!$E$7:$E$1006,Статистика!$B$7:$B$1006,"&gt;="&amp;($C107+1),Статистика!$B$7:$B$1006,"&lt;="&amp;($C107+$D$5),Статистика!$C$7:$C$1006,IF($D107="","&lt;&gt;§",$D107),Статистика!$D$7:$D$1006,IF($E107="","&lt;&gt;§",$E107)))</f>
        <v/>
      </c>
      <c r="W107" s="52" t="str">
        <f aca="false">IF($C107="","",SUMIFS(Статистика!$H$7:$H$1006,Статистика!$B$7:$B$1006,"&gt;="&amp;($C107+1),Статистика!$B$7:$B$1006,"&lt;="&amp;($C107+$D$5),Статистика!$C$7:$C$1006,IF($D107="","&lt;&gt;§",$D107),Статистика!$D$7:$D$1006,IF($E107="","&lt;&gt;§",$E107)))</f>
        <v/>
      </c>
      <c r="X107" s="52" t="str">
        <f aca="false">IF($C107="","",SUMIFS(Статистика!$T$7:$T$1006,Статистика!$B$7:$B$1006,"&gt;="&amp;($C107+1),Статистика!$B$7:$B$1006,"&lt;="&amp;($C107+$D$5),Статистика!$C$7:$C$1006,IF($D107="","&lt;&gt;§",$D107),Статистика!$D$7:$D$1006,IF($E107="","&lt;&gt;§",$E107)))</f>
        <v/>
      </c>
      <c r="Y107" s="1"/>
      <c r="Z107" s="1"/>
      <c r="AA107" s="1"/>
      <c r="AB107" s="1"/>
      <c r="AC107" s="1"/>
      <c r="AD107" s="1"/>
    </row>
    <row r="108" customFormat="false" ht="30" hidden="false" customHeight="true" outlineLevel="0" collapsed="false">
      <c r="A108" s="1"/>
      <c r="B108" s="49" t="str">
        <f aca="false">IF($C108="","",ROW()-8)</f>
        <v/>
      </c>
      <c r="C108" s="35"/>
      <c r="D108" s="8"/>
      <c r="E108" s="26"/>
      <c r="F108" s="26"/>
      <c r="G108" s="50"/>
      <c r="H108" s="50"/>
      <c r="I108" s="30" t="str">
        <f aca="false">IF($C108="","",IFERROR(S108/T108,"—"))</f>
        <v/>
      </c>
      <c r="J108" s="30" t="str">
        <f aca="false">IF($C108="","",IFERROR(V108/W108,"—"))</f>
        <v/>
      </c>
      <c r="K108" s="41" t="str">
        <f aca="false">IF($C108="","",IFERROR(J108/I108-1,""))</f>
        <v/>
      </c>
      <c r="L108" s="41" t="str">
        <f aca="false">IF($C108="","",IFERROR((U108-S108)/S108,"—"))</f>
        <v/>
      </c>
      <c r="M108" s="41" t="str">
        <f aca="false">IF($C108="","",IFERROR((X108-V108)/V108,"—"))</f>
        <v/>
      </c>
      <c r="N108" s="39" t="str">
        <f aca="false">IF($C108="","",T108/$D$5)</f>
        <v/>
      </c>
      <c r="O108" s="39" t="str">
        <f aca="false">IF($C108="","",W108/$D$5)</f>
        <v/>
      </c>
      <c r="P108" s="51" t="str">
        <f aca="false">IF($C108="","",IF(MAX(Статистика!$B$7:$B$1006)&lt;$C108+$D$5,"Чекаємо даних",IF(S108=0,"Новий (без бази)",IF(OR(T108=0,W108=0),"Мало даних",IF(K108&lt;=-$F$5,"Покращило",IF(K108&gt;=$F$5,"Погіршило","Без змін"))))))</f>
        <v/>
      </c>
      <c r="Q108" s="50"/>
      <c r="R108" s="1"/>
      <c r="S108" s="52" t="str">
        <f aca="false">IF($C108="","",SUMIFS(Статистика!$E$7:$E$1006,Статистика!$B$7:$B$1006,"&gt;="&amp;($C108-$D$5),Статистика!$B$7:$B$1006,"&lt;="&amp;($C108-1),Статистика!$C$7:$C$1006,IF($D108="","&lt;&gt;§",$D108),Статистика!$D$7:$D$1006,IF($E108="","&lt;&gt;§",$E108)))</f>
        <v/>
      </c>
      <c r="T108" s="52" t="str">
        <f aca="false">IF($C108="","",SUMIFS(Статистика!$H$7:$H$1006,Статистика!$B$7:$B$1006,"&gt;="&amp;($C108-$D$5),Статистика!$B$7:$B$1006,"&lt;="&amp;($C108-1),Статистика!$C$7:$C$1006,IF($D108="","&lt;&gt;§",$D108),Статистика!$D$7:$D$1006,IF($E108="","&lt;&gt;§",$E108)))</f>
        <v/>
      </c>
      <c r="U108" s="52" t="str">
        <f aca="false">IF($C108="","",SUMIFS(Статистика!$T$7:$T$1006,Статистика!$B$7:$B$1006,"&gt;="&amp;($C108-$D$5),Статистика!$B$7:$B$1006,"&lt;="&amp;($C108-1),Статистика!$C$7:$C$1006,IF($D108="","&lt;&gt;§",$D108),Статистика!$D$7:$D$1006,IF($E108="","&lt;&gt;§",$E108)))</f>
        <v/>
      </c>
      <c r="V108" s="52" t="str">
        <f aca="false">IF($C108="","",SUMIFS(Статистика!$E$7:$E$1006,Статистика!$B$7:$B$1006,"&gt;="&amp;($C108+1),Статистика!$B$7:$B$1006,"&lt;="&amp;($C108+$D$5),Статистика!$C$7:$C$1006,IF($D108="","&lt;&gt;§",$D108),Статистика!$D$7:$D$1006,IF($E108="","&lt;&gt;§",$E108)))</f>
        <v/>
      </c>
      <c r="W108" s="52" t="str">
        <f aca="false">IF($C108="","",SUMIFS(Статистика!$H$7:$H$1006,Статистика!$B$7:$B$1006,"&gt;="&amp;($C108+1),Статистика!$B$7:$B$1006,"&lt;="&amp;($C108+$D$5),Статистика!$C$7:$C$1006,IF($D108="","&lt;&gt;§",$D108),Статистика!$D$7:$D$1006,IF($E108="","&lt;&gt;§",$E108)))</f>
        <v/>
      </c>
      <c r="X108" s="52" t="str">
        <f aca="false">IF($C108="","",SUMIFS(Статистика!$T$7:$T$1006,Статистика!$B$7:$B$1006,"&gt;="&amp;($C108+1),Статистика!$B$7:$B$1006,"&lt;="&amp;($C108+$D$5),Статистика!$C$7:$C$1006,IF($D108="","&lt;&gt;§",$D108),Статистика!$D$7:$D$1006,IF($E108="","&lt;&gt;§",$E108)))</f>
        <v/>
      </c>
      <c r="Y108" s="1"/>
      <c r="Z108" s="1"/>
      <c r="AA108" s="1"/>
      <c r="AB108" s="1"/>
      <c r="AC108" s="1"/>
      <c r="AD108" s="1"/>
    </row>
    <row r="109" customFormat="false" ht="30" hidden="false" customHeight="true" outlineLevel="0" collapsed="false">
      <c r="A109" s="1"/>
      <c r="B109" s="49" t="str">
        <f aca="false">IF($C109="","",ROW()-8)</f>
        <v/>
      </c>
      <c r="C109" s="35"/>
      <c r="D109" s="8"/>
      <c r="E109" s="26"/>
      <c r="F109" s="26"/>
      <c r="G109" s="50"/>
      <c r="H109" s="50"/>
      <c r="I109" s="30" t="str">
        <f aca="false">IF($C109="","",IFERROR(S109/T109,"—"))</f>
        <v/>
      </c>
      <c r="J109" s="30" t="str">
        <f aca="false">IF($C109="","",IFERROR(V109/W109,"—"))</f>
        <v/>
      </c>
      <c r="K109" s="41" t="str">
        <f aca="false">IF($C109="","",IFERROR(J109/I109-1,""))</f>
        <v/>
      </c>
      <c r="L109" s="41" t="str">
        <f aca="false">IF($C109="","",IFERROR((U109-S109)/S109,"—"))</f>
        <v/>
      </c>
      <c r="M109" s="41" t="str">
        <f aca="false">IF($C109="","",IFERROR((X109-V109)/V109,"—"))</f>
        <v/>
      </c>
      <c r="N109" s="39" t="str">
        <f aca="false">IF($C109="","",T109/$D$5)</f>
        <v/>
      </c>
      <c r="O109" s="39" t="str">
        <f aca="false">IF($C109="","",W109/$D$5)</f>
        <v/>
      </c>
      <c r="P109" s="51" t="str">
        <f aca="false">IF($C109="","",IF(MAX(Статистика!$B$7:$B$1006)&lt;$C109+$D$5,"Чекаємо даних",IF(S109=0,"Новий (без бази)",IF(OR(T109=0,W109=0),"Мало даних",IF(K109&lt;=-$F$5,"Покращило",IF(K109&gt;=$F$5,"Погіршило","Без змін"))))))</f>
        <v/>
      </c>
      <c r="Q109" s="50"/>
      <c r="R109" s="1"/>
      <c r="S109" s="52" t="str">
        <f aca="false">IF($C109="","",SUMIFS(Статистика!$E$7:$E$1006,Статистика!$B$7:$B$1006,"&gt;="&amp;($C109-$D$5),Статистика!$B$7:$B$1006,"&lt;="&amp;($C109-1),Статистика!$C$7:$C$1006,IF($D109="","&lt;&gt;§",$D109),Статистика!$D$7:$D$1006,IF($E109="","&lt;&gt;§",$E109)))</f>
        <v/>
      </c>
      <c r="T109" s="52" t="str">
        <f aca="false">IF($C109="","",SUMIFS(Статистика!$H$7:$H$1006,Статистика!$B$7:$B$1006,"&gt;="&amp;($C109-$D$5),Статистика!$B$7:$B$1006,"&lt;="&amp;($C109-1),Статистика!$C$7:$C$1006,IF($D109="","&lt;&gt;§",$D109),Статистика!$D$7:$D$1006,IF($E109="","&lt;&gt;§",$E109)))</f>
        <v/>
      </c>
      <c r="U109" s="52" t="str">
        <f aca="false">IF($C109="","",SUMIFS(Статистика!$T$7:$T$1006,Статистика!$B$7:$B$1006,"&gt;="&amp;($C109-$D$5),Статистика!$B$7:$B$1006,"&lt;="&amp;($C109-1),Статистика!$C$7:$C$1006,IF($D109="","&lt;&gt;§",$D109),Статистика!$D$7:$D$1006,IF($E109="","&lt;&gt;§",$E109)))</f>
        <v/>
      </c>
      <c r="V109" s="52" t="str">
        <f aca="false">IF($C109="","",SUMIFS(Статистика!$E$7:$E$1006,Статистика!$B$7:$B$1006,"&gt;="&amp;($C109+1),Статистика!$B$7:$B$1006,"&lt;="&amp;($C109+$D$5),Статистика!$C$7:$C$1006,IF($D109="","&lt;&gt;§",$D109),Статистика!$D$7:$D$1006,IF($E109="","&lt;&gt;§",$E109)))</f>
        <v/>
      </c>
      <c r="W109" s="52" t="str">
        <f aca="false">IF($C109="","",SUMIFS(Статистика!$H$7:$H$1006,Статистика!$B$7:$B$1006,"&gt;="&amp;($C109+1),Статистика!$B$7:$B$1006,"&lt;="&amp;($C109+$D$5),Статистика!$C$7:$C$1006,IF($D109="","&lt;&gt;§",$D109),Статистика!$D$7:$D$1006,IF($E109="","&lt;&gt;§",$E109)))</f>
        <v/>
      </c>
      <c r="X109" s="52" t="str">
        <f aca="false">IF($C109="","",SUMIFS(Статистика!$T$7:$T$1006,Статистика!$B$7:$B$1006,"&gt;="&amp;($C109+1),Статистика!$B$7:$B$1006,"&lt;="&amp;($C109+$D$5),Статистика!$C$7:$C$1006,IF($D109="","&lt;&gt;§",$D109),Статистика!$D$7:$D$1006,IF($E109="","&lt;&gt;§",$E109)))</f>
        <v/>
      </c>
      <c r="Y109" s="1"/>
      <c r="Z109" s="1"/>
      <c r="AA109" s="1"/>
      <c r="AB109" s="1"/>
      <c r="AC109" s="1"/>
      <c r="AD109" s="1"/>
    </row>
    <row r="110" customFormat="false" ht="30" hidden="false" customHeight="true" outlineLevel="0" collapsed="false">
      <c r="A110" s="1"/>
      <c r="B110" s="49" t="str">
        <f aca="false">IF($C110="","",ROW()-8)</f>
        <v/>
      </c>
      <c r="C110" s="35"/>
      <c r="D110" s="8"/>
      <c r="E110" s="26"/>
      <c r="F110" s="26"/>
      <c r="G110" s="50"/>
      <c r="H110" s="50"/>
      <c r="I110" s="30" t="str">
        <f aca="false">IF($C110="","",IFERROR(S110/T110,"—"))</f>
        <v/>
      </c>
      <c r="J110" s="30" t="str">
        <f aca="false">IF($C110="","",IFERROR(V110/W110,"—"))</f>
        <v/>
      </c>
      <c r="K110" s="41" t="str">
        <f aca="false">IF($C110="","",IFERROR(J110/I110-1,""))</f>
        <v/>
      </c>
      <c r="L110" s="41" t="str">
        <f aca="false">IF($C110="","",IFERROR((U110-S110)/S110,"—"))</f>
        <v/>
      </c>
      <c r="M110" s="41" t="str">
        <f aca="false">IF($C110="","",IFERROR((X110-V110)/V110,"—"))</f>
        <v/>
      </c>
      <c r="N110" s="39" t="str">
        <f aca="false">IF($C110="","",T110/$D$5)</f>
        <v/>
      </c>
      <c r="O110" s="39" t="str">
        <f aca="false">IF($C110="","",W110/$D$5)</f>
        <v/>
      </c>
      <c r="P110" s="51" t="str">
        <f aca="false">IF($C110="","",IF(MAX(Статистика!$B$7:$B$1006)&lt;$C110+$D$5,"Чекаємо даних",IF(S110=0,"Новий (без бази)",IF(OR(T110=0,W110=0),"Мало даних",IF(K110&lt;=-$F$5,"Покращило",IF(K110&gt;=$F$5,"Погіршило","Без змін"))))))</f>
        <v/>
      </c>
      <c r="Q110" s="50"/>
      <c r="R110" s="1"/>
      <c r="S110" s="52" t="str">
        <f aca="false">IF($C110="","",SUMIFS(Статистика!$E$7:$E$1006,Статистика!$B$7:$B$1006,"&gt;="&amp;($C110-$D$5),Статистика!$B$7:$B$1006,"&lt;="&amp;($C110-1),Статистика!$C$7:$C$1006,IF($D110="","&lt;&gt;§",$D110),Статистика!$D$7:$D$1006,IF($E110="","&lt;&gt;§",$E110)))</f>
        <v/>
      </c>
      <c r="T110" s="52" t="str">
        <f aca="false">IF($C110="","",SUMIFS(Статистика!$H$7:$H$1006,Статистика!$B$7:$B$1006,"&gt;="&amp;($C110-$D$5),Статистика!$B$7:$B$1006,"&lt;="&amp;($C110-1),Статистика!$C$7:$C$1006,IF($D110="","&lt;&gt;§",$D110),Статистика!$D$7:$D$1006,IF($E110="","&lt;&gt;§",$E110)))</f>
        <v/>
      </c>
      <c r="U110" s="52" t="str">
        <f aca="false">IF($C110="","",SUMIFS(Статистика!$T$7:$T$1006,Статистика!$B$7:$B$1006,"&gt;="&amp;($C110-$D$5),Статистика!$B$7:$B$1006,"&lt;="&amp;($C110-1),Статистика!$C$7:$C$1006,IF($D110="","&lt;&gt;§",$D110),Статистика!$D$7:$D$1006,IF($E110="","&lt;&gt;§",$E110)))</f>
        <v/>
      </c>
      <c r="V110" s="52" t="str">
        <f aca="false">IF($C110="","",SUMIFS(Статистика!$E$7:$E$1006,Статистика!$B$7:$B$1006,"&gt;="&amp;($C110+1),Статистика!$B$7:$B$1006,"&lt;="&amp;($C110+$D$5),Статистика!$C$7:$C$1006,IF($D110="","&lt;&gt;§",$D110),Статистика!$D$7:$D$1006,IF($E110="","&lt;&gt;§",$E110)))</f>
        <v/>
      </c>
      <c r="W110" s="52" t="str">
        <f aca="false">IF($C110="","",SUMIFS(Статистика!$H$7:$H$1006,Статистика!$B$7:$B$1006,"&gt;="&amp;($C110+1),Статистика!$B$7:$B$1006,"&lt;="&amp;($C110+$D$5),Статистика!$C$7:$C$1006,IF($D110="","&lt;&gt;§",$D110),Статистика!$D$7:$D$1006,IF($E110="","&lt;&gt;§",$E110)))</f>
        <v/>
      </c>
      <c r="X110" s="52" t="str">
        <f aca="false">IF($C110="","",SUMIFS(Статистика!$T$7:$T$1006,Статистика!$B$7:$B$1006,"&gt;="&amp;($C110+1),Статистика!$B$7:$B$1006,"&lt;="&amp;($C110+$D$5),Статистика!$C$7:$C$1006,IF($D110="","&lt;&gt;§",$D110),Статистика!$D$7:$D$1006,IF($E110="","&lt;&gt;§",$E110)))</f>
        <v/>
      </c>
      <c r="Y110" s="1"/>
      <c r="Z110" s="1"/>
      <c r="AA110" s="1"/>
      <c r="AB110" s="1"/>
      <c r="AC110" s="1"/>
      <c r="AD110" s="1"/>
    </row>
    <row r="111" customFormat="false" ht="30" hidden="false" customHeight="true" outlineLevel="0" collapsed="false">
      <c r="A111" s="1"/>
      <c r="B111" s="49" t="str">
        <f aca="false">IF($C111="","",ROW()-8)</f>
        <v/>
      </c>
      <c r="C111" s="35"/>
      <c r="D111" s="8"/>
      <c r="E111" s="26"/>
      <c r="F111" s="26"/>
      <c r="G111" s="50"/>
      <c r="H111" s="50"/>
      <c r="I111" s="30" t="str">
        <f aca="false">IF($C111="","",IFERROR(S111/T111,"—"))</f>
        <v/>
      </c>
      <c r="J111" s="30" t="str">
        <f aca="false">IF($C111="","",IFERROR(V111/W111,"—"))</f>
        <v/>
      </c>
      <c r="K111" s="41" t="str">
        <f aca="false">IF($C111="","",IFERROR(J111/I111-1,""))</f>
        <v/>
      </c>
      <c r="L111" s="41" t="str">
        <f aca="false">IF($C111="","",IFERROR((U111-S111)/S111,"—"))</f>
        <v/>
      </c>
      <c r="M111" s="41" t="str">
        <f aca="false">IF($C111="","",IFERROR((X111-V111)/V111,"—"))</f>
        <v/>
      </c>
      <c r="N111" s="39" t="str">
        <f aca="false">IF($C111="","",T111/$D$5)</f>
        <v/>
      </c>
      <c r="O111" s="39" t="str">
        <f aca="false">IF($C111="","",W111/$D$5)</f>
        <v/>
      </c>
      <c r="P111" s="51" t="str">
        <f aca="false">IF($C111="","",IF(MAX(Статистика!$B$7:$B$1006)&lt;$C111+$D$5,"Чекаємо даних",IF(S111=0,"Новий (без бази)",IF(OR(T111=0,W111=0),"Мало даних",IF(K111&lt;=-$F$5,"Покращило",IF(K111&gt;=$F$5,"Погіршило","Без змін"))))))</f>
        <v/>
      </c>
      <c r="Q111" s="50"/>
      <c r="R111" s="1"/>
      <c r="S111" s="52" t="str">
        <f aca="false">IF($C111="","",SUMIFS(Статистика!$E$7:$E$1006,Статистика!$B$7:$B$1006,"&gt;="&amp;($C111-$D$5),Статистика!$B$7:$B$1006,"&lt;="&amp;($C111-1),Статистика!$C$7:$C$1006,IF($D111="","&lt;&gt;§",$D111),Статистика!$D$7:$D$1006,IF($E111="","&lt;&gt;§",$E111)))</f>
        <v/>
      </c>
      <c r="T111" s="52" t="str">
        <f aca="false">IF($C111="","",SUMIFS(Статистика!$H$7:$H$1006,Статистика!$B$7:$B$1006,"&gt;="&amp;($C111-$D$5),Статистика!$B$7:$B$1006,"&lt;="&amp;($C111-1),Статистика!$C$7:$C$1006,IF($D111="","&lt;&gt;§",$D111),Статистика!$D$7:$D$1006,IF($E111="","&lt;&gt;§",$E111)))</f>
        <v/>
      </c>
      <c r="U111" s="52" t="str">
        <f aca="false">IF($C111="","",SUMIFS(Статистика!$T$7:$T$1006,Статистика!$B$7:$B$1006,"&gt;="&amp;($C111-$D$5),Статистика!$B$7:$B$1006,"&lt;="&amp;($C111-1),Статистика!$C$7:$C$1006,IF($D111="","&lt;&gt;§",$D111),Статистика!$D$7:$D$1006,IF($E111="","&lt;&gt;§",$E111)))</f>
        <v/>
      </c>
      <c r="V111" s="52" t="str">
        <f aca="false">IF($C111="","",SUMIFS(Статистика!$E$7:$E$1006,Статистика!$B$7:$B$1006,"&gt;="&amp;($C111+1),Статистика!$B$7:$B$1006,"&lt;="&amp;($C111+$D$5),Статистика!$C$7:$C$1006,IF($D111="","&lt;&gt;§",$D111),Статистика!$D$7:$D$1006,IF($E111="","&lt;&gt;§",$E111)))</f>
        <v/>
      </c>
      <c r="W111" s="52" t="str">
        <f aca="false">IF($C111="","",SUMIFS(Статистика!$H$7:$H$1006,Статистика!$B$7:$B$1006,"&gt;="&amp;($C111+1),Статистика!$B$7:$B$1006,"&lt;="&amp;($C111+$D$5),Статистика!$C$7:$C$1006,IF($D111="","&lt;&gt;§",$D111),Статистика!$D$7:$D$1006,IF($E111="","&lt;&gt;§",$E111)))</f>
        <v/>
      </c>
      <c r="X111" s="52" t="str">
        <f aca="false">IF($C111="","",SUMIFS(Статистика!$T$7:$T$1006,Статистика!$B$7:$B$1006,"&gt;="&amp;($C111+1),Статистика!$B$7:$B$1006,"&lt;="&amp;($C111+$D$5),Статистика!$C$7:$C$1006,IF($D111="","&lt;&gt;§",$D111),Статистика!$D$7:$D$1006,IF($E111="","&lt;&gt;§",$E111)))</f>
        <v/>
      </c>
      <c r="Y111" s="1"/>
      <c r="Z111" s="1"/>
      <c r="AA111" s="1"/>
      <c r="AB111" s="1"/>
      <c r="AC111" s="1"/>
      <c r="AD111" s="1"/>
    </row>
    <row r="112" customFormat="false" ht="30" hidden="false" customHeight="true" outlineLevel="0" collapsed="false">
      <c r="A112" s="1"/>
      <c r="B112" s="49" t="str">
        <f aca="false">IF($C112="","",ROW()-8)</f>
        <v/>
      </c>
      <c r="C112" s="35"/>
      <c r="D112" s="8"/>
      <c r="E112" s="26"/>
      <c r="F112" s="26"/>
      <c r="G112" s="50"/>
      <c r="H112" s="50"/>
      <c r="I112" s="30" t="str">
        <f aca="false">IF($C112="","",IFERROR(S112/T112,"—"))</f>
        <v/>
      </c>
      <c r="J112" s="30" t="str">
        <f aca="false">IF($C112="","",IFERROR(V112/W112,"—"))</f>
        <v/>
      </c>
      <c r="K112" s="41" t="str">
        <f aca="false">IF($C112="","",IFERROR(J112/I112-1,""))</f>
        <v/>
      </c>
      <c r="L112" s="41" t="str">
        <f aca="false">IF($C112="","",IFERROR((U112-S112)/S112,"—"))</f>
        <v/>
      </c>
      <c r="M112" s="41" t="str">
        <f aca="false">IF($C112="","",IFERROR((X112-V112)/V112,"—"))</f>
        <v/>
      </c>
      <c r="N112" s="39" t="str">
        <f aca="false">IF($C112="","",T112/$D$5)</f>
        <v/>
      </c>
      <c r="O112" s="39" t="str">
        <f aca="false">IF($C112="","",W112/$D$5)</f>
        <v/>
      </c>
      <c r="P112" s="51" t="str">
        <f aca="false">IF($C112="","",IF(MAX(Статистика!$B$7:$B$1006)&lt;$C112+$D$5,"Чекаємо даних",IF(S112=0,"Новий (без бази)",IF(OR(T112=0,W112=0),"Мало даних",IF(K112&lt;=-$F$5,"Покращило",IF(K112&gt;=$F$5,"Погіршило","Без змін"))))))</f>
        <v/>
      </c>
      <c r="Q112" s="50"/>
      <c r="R112" s="1"/>
      <c r="S112" s="52" t="str">
        <f aca="false">IF($C112="","",SUMIFS(Статистика!$E$7:$E$1006,Статистика!$B$7:$B$1006,"&gt;="&amp;($C112-$D$5),Статистика!$B$7:$B$1006,"&lt;="&amp;($C112-1),Статистика!$C$7:$C$1006,IF($D112="","&lt;&gt;§",$D112),Статистика!$D$7:$D$1006,IF($E112="","&lt;&gt;§",$E112)))</f>
        <v/>
      </c>
      <c r="T112" s="52" t="str">
        <f aca="false">IF($C112="","",SUMIFS(Статистика!$H$7:$H$1006,Статистика!$B$7:$B$1006,"&gt;="&amp;($C112-$D$5),Статистика!$B$7:$B$1006,"&lt;="&amp;($C112-1),Статистика!$C$7:$C$1006,IF($D112="","&lt;&gt;§",$D112),Статистика!$D$7:$D$1006,IF($E112="","&lt;&gt;§",$E112)))</f>
        <v/>
      </c>
      <c r="U112" s="52" t="str">
        <f aca="false">IF($C112="","",SUMIFS(Статистика!$T$7:$T$1006,Статистика!$B$7:$B$1006,"&gt;="&amp;($C112-$D$5),Статистика!$B$7:$B$1006,"&lt;="&amp;($C112-1),Статистика!$C$7:$C$1006,IF($D112="","&lt;&gt;§",$D112),Статистика!$D$7:$D$1006,IF($E112="","&lt;&gt;§",$E112)))</f>
        <v/>
      </c>
      <c r="V112" s="52" t="str">
        <f aca="false">IF($C112="","",SUMIFS(Статистика!$E$7:$E$1006,Статистика!$B$7:$B$1006,"&gt;="&amp;($C112+1),Статистика!$B$7:$B$1006,"&lt;="&amp;($C112+$D$5),Статистика!$C$7:$C$1006,IF($D112="","&lt;&gt;§",$D112),Статистика!$D$7:$D$1006,IF($E112="","&lt;&gt;§",$E112)))</f>
        <v/>
      </c>
      <c r="W112" s="52" t="str">
        <f aca="false">IF($C112="","",SUMIFS(Статистика!$H$7:$H$1006,Статистика!$B$7:$B$1006,"&gt;="&amp;($C112+1),Статистика!$B$7:$B$1006,"&lt;="&amp;($C112+$D$5),Статистика!$C$7:$C$1006,IF($D112="","&lt;&gt;§",$D112),Статистика!$D$7:$D$1006,IF($E112="","&lt;&gt;§",$E112)))</f>
        <v/>
      </c>
      <c r="X112" s="52" t="str">
        <f aca="false">IF($C112="","",SUMIFS(Статистика!$T$7:$T$1006,Статистика!$B$7:$B$1006,"&gt;="&amp;($C112+1),Статистика!$B$7:$B$1006,"&lt;="&amp;($C112+$D$5),Статистика!$C$7:$C$1006,IF($D112="","&lt;&gt;§",$D112),Статистика!$D$7:$D$1006,IF($E112="","&lt;&gt;§",$E112)))</f>
        <v/>
      </c>
      <c r="Y112" s="1"/>
      <c r="Z112" s="1"/>
      <c r="AA112" s="1"/>
      <c r="AB112" s="1"/>
      <c r="AC112" s="1"/>
      <c r="AD112" s="1"/>
    </row>
    <row r="113" customFormat="false" ht="30" hidden="false" customHeight="true" outlineLevel="0" collapsed="false">
      <c r="A113" s="1"/>
      <c r="B113" s="49" t="str">
        <f aca="false">IF($C113="","",ROW()-8)</f>
        <v/>
      </c>
      <c r="C113" s="35"/>
      <c r="D113" s="8"/>
      <c r="E113" s="26"/>
      <c r="F113" s="26"/>
      <c r="G113" s="50"/>
      <c r="H113" s="50"/>
      <c r="I113" s="30" t="str">
        <f aca="false">IF($C113="","",IFERROR(S113/T113,"—"))</f>
        <v/>
      </c>
      <c r="J113" s="30" t="str">
        <f aca="false">IF($C113="","",IFERROR(V113/W113,"—"))</f>
        <v/>
      </c>
      <c r="K113" s="41" t="str">
        <f aca="false">IF($C113="","",IFERROR(J113/I113-1,""))</f>
        <v/>
      </c>
      <c r="L113" s="41" t="str">
        <f aca="false">IF($C113="","",IFERROR((U113-S113)/S113,"—"))</f>
        <v/>
      </c>
      <c r="M113" s="41" t="str">
        <f aca="false">IF($C113="","",IFERROR((X113-V113)/V113,"—"))</f>
        <v/>
      </c>
      <c r="N113" s="39" t="str">
        <f aca="false">IF($C113="","",T113/$D$5)</f>
        <v/>
      </c>
      <c r="O113" s="39" t="str">
        <f aca="false">IF($C113="","",W113/$D$5)</f>
        <v/>
      </c>
      <c r="P113" s="51" t="str">
        <f aca="false">IF($C113="","",IF(MAX(Статистика!$B$7:$B$1006)&lt;$C113+$D$5,"Чекаємо даних",IF(S113=0,"Новий (без бази)",IF(OR(T113=0,W113=0),"Мало даних",IF(K113&lt;=-$F$5,"Покращило",IF(K113&gt;=$F$5,"Погіршило","Без змін"))))))</f>
        <v/>
      </c>
      <c r="Q113" s="50"/>
      <c r="R113" s="1"/>
      <c r="S113" s="52" t="str">
        <f aca="false">IF($C113="","",SUMIFS(Статистика!$E$7:$E$1006,Статистика!$B$7:$B$1006,"&gt;="&amp;($C113-$D$5),Статистика!$B$7:$B$1006,"&lt;="&amp;($C113-1),Статистика!$C$7:$C$1006,IF($D113="","&lt;&gt;§",$D113),Статистика!$D$7:$D$1006,IF($E113="","&lt;&gt;§",$E113)))</f>
        <v/>
      </c>
      <c r="T113" s="52" t="str">
        <f aca="false">IF($C113="","",SUMIFS(Статистика!$H$7:$H$1006,Статистика!$B$7:$B$1006,"&gt;="&amp;($C113-$D$5),Статистика!$B$7:$B$1006,"&lt;="&amp;($C113-1),Статистика!$C$7:$C$1006,IF($D113="","&lt;&gt;§",$D113),Статистика!$D$7:$D$1006,IF($E113="","&lt;&gt;§",$E113)))</f>
        <v/>
      </c>
      <c r="U113" s="52" t="str">
        <f aca="false">IF($C113="","",SUMIFS(Статистика!$T$7:$T$1006,Статистика!$B$7:$B$1006,"&gt;="&amp;($C113-$D$5),Статистика!$B$7:$B$1006,"&lt;="&amp;($C113-1),Статистика!$C$7:$C$1006,IF($D113="","&lt;&gt;§",$D113),Статистика!$D$7:$D$1006,IF($E113="","&lt;&gt;§",$E113)))</f>
        <v/>
      </c>
      <c r="V113" s="52" t="str">
        <f aca="false">IF($C113="","",SUMIFS(Статистика!$E$7:$E$1006,Статистика!$B$7:$B$1006,"&gt;="&amp;($C113+1),Статистика!$B$7:$B$1006,"&lt;="&amp;($C113+$D$5),Статистика!$C$7:$C$1006,IF($D113="","&lt;&gt;§",$D113),Статистика!$D$7:$D$1006,IF($E113="","&lt;&gt;§",$E113)))</f>
        <v/>
      </c>
      <c r="W113" s="52" t="str">
        <f aca="false">IF($C113="","",SUMIFS(Статистика!$H$7:$H$1006,Статистика!$B$7:$B$1006,"&gt;="&amp;($C113+1),Статистика!$B$7:$B$1006,"&lt;="&amp;($C113+$D$5),Статистика!$C$7:$C$1006,IF($D113="","&lt;&gt;§",$D113),Статистика!$D$7:$D$1006,IF($E113="","&lt;&gt;§",$E113)))</f>
        <v/>
      </c>
      <c r="X113" s="52" t="str">
        <f aca="false">IF($C113="","",SUMIFS(Статистика!$T$7:$T$1006,Статистика!$B$7:$B$1006,"&gt;="&amp;($C113+1),Статистика!$B$7:$B$1006,"&lt;="&amp;($C113+$D$5),Статистика!$C$7:$C$1006,IF($D113="","&lt;&gt;§",$D113),Статистика!$D$7:$D$1006,IF($E113="","&lt;&gt;§",$E113)))</f>
        <v/>
      </c>
      <c r="Y113" s="1"/>
      <c r="Z113" s="1"/>
      <c r="AA113" s="1"/>
      <c r="AB113" s="1"/>
      <c r="AC113" s="1"/>
      <c r="AD113" s="1"/>
    </row>
    <row r="114" customFormat="false" ht="30" hidden="false" customHeight="true" outlineLevel="0" collapsed="false">
      <c r="A114" s="1"/>
      <c r="B114" s="49" t="str">
        <f aca="false">IF($C114="","",ROW()-8)</f>
        <v/>
      </c>
      <c r="C114" s="35"/>
      <c r="D114" s="8"/>
      <c r="E114" s="26"/>
      <c r="F114" s="26"/>
      <c r="G114" s="50"/>
      <c r="H114" s="50"/>
      <c r="I114" s="30" t="str">
        <f aca="false">IF($C114="","",IFERROR(S114/T114,"—"))</f>
        <v/>
      </c>
      <c r="J114" s="30" t="str">
        <f aca="false">IF($C114="","",IFERROR(V114/W114,"—"))</f>
        <v/>
      </c>
      <c r="K114" s="41" t="str">
        <f aca="false">IF($C114="","",IFERROR(J114/I114-1,""))</f>
        <v/>
      </c>
      <c r="L114" s="41" t="str">
        <f aca="false">IF($C114="","",IFERROR((U114-S114)/S114,"—"))</f>
        <v/>
      </c>
      <c r="M114" s="41" t="str">
        <f aca="false">IF($C114="","",IFERROR((X114-V114)/V114,"—"))</f>
        <v/>
      </c>
      <c r="N114" s="39" t="str">
        <f aca="false">IF($C114="","",T114/$D$5)</f>
        <v/>
      </c>
      <c r="O114" s="39" t="str">
        <f aca="false">IF($C114="","",W114/$D$5)</f>
        <v/>
      </c>
      <c r="P114" s="51" t="str">
        <f aca="false">IF($C114="","",IF(MAX(Статистика!$B$7:$B$1006)&lt;$C114+$D$5,"Чекаємо даних",IF(S114=0,"Новий (без бази)",IF(OR(T114=0,W114=0),"Мало даних",IF(K114&lt;=-$F$5,"Покращило",IF(K114&gt;=$F$5,"Погіршило","Без змін"))))))</f>
        <v/>
      </c>
      <c r="Q114" s="50"/>
      <c r="R114" s="1"/>
      <c r="S114" s="52" t="str">
        <f aca="false">IF($C114="","",SUMIFS(Статистика!$E$7:$E$1006,Статистика!$B$7:$B$1006,"&gt;="&amp;($C114-$D$5),Статистика!$B$7:$B$1006,"&lt;="&amp;($C114-1),Статистика!$C$7:$C$1006,IF($D114="","&lt;&gt;§",$D114),Статистика!$D$7:$D$1006,IF($E114="","&lt;&gt;§",$E114)))</f>
        <v/>
      </c>
      <c r="T114" s="52" t="str">
        <f aca="false">IF($C114="","",SUMIFS(Статистика!$H$7:$H$1006,Статистика!$B$7:$B$1006,"&gt;="&amp;($C114-$D$5),Статистика!$B$7:$B$1006,"&lt;="&amp;($C114-1),Статистика!$C$7:$C$1006,IF($D114="","&lt;&gt;§",$D114),Статистика!$D$7:$D$1006,IF($E114="","&lt;&gt;§",$E114)))</f>
        <v/>
      </c>
      <c r="U114" s="52" t="str">
        <f aca="false">IF($C114="","",SUMIFS(Статистика!$T$7:$T$1006,Статистика!$B$7:$B$1006,"&gt;="&amp;($C114-$D$5),Статистика!$B$7:$B$1006,"&lt;="&amp;($C114-1),Статистика!$C$7:$C$1006,IF($D114="","&lt;&gt;§",$D114),Статистика!$D$7:$D$1006,IF($E114="","&lt;&gt;§",$E114)))</f>
        <v/>
      </c>
      <c r="V114" s="52" t="str">
        <f aca="false">IF($C114="","",SUMIFS(Статистика!$E$7:$E$1006,Статистика!$B$7:$B$1006,"&gt;="&amp;($C114+1),Статистика!$B$7:$B$1006,"&lt;="&amp;($C114+$D$5),Статистика!$C$7:$C$1006,IF($D114="","&lt;&gt;§",$D114),Статистика!$D$7:$D$1006,IF($E114="","&lt;&gt;§",$E114)))</f>
        <v/>
      </c>
      <c r="W114" s="52" t="str">
        <f aca="false">IF($C114="","",SUMIFS(Статистика!$H$7:$H$1006,Статистика!$B$7:$B$1006,"&gt;="&amp;($C114+1),Статистика!$B$7:$B$1006,"&lt;="&amp;($C114+$D$5),Статистика!$C$7:$C$1006,IF($D114="","&lt;&gt;§",$D114),Статистика!$D$7:$D$1006,IF($E114="","&lt;&gt;§",$E114)))</f>
        <v/>
      </c>
      <c r="X114" s="52" t="str">
        <f aca="false">IF($C114="","",SUMIFS(Статистика!$T$7:$T$1006,Статистика!$B$7:$B$1006,"&gt;="&amp;($C114+1),Статистика!$B$7:$B$1006,"&lt;="&amp;($C114+$D$5),Статистика!$C$7:$C$1006,IF($D114="","&lt;&gt;§",$D114),Статистика!$D$7:$D$1006,IF($E114="","&lt;&gt;§",$E114)))</f>
        <v/>
      </c>
      <c r="Y114" s="1"/>
      <c r="Z114" s="1"/>
      <c r="AA114" s="1"/>
      <c r="AB114" s="1"/>
      <c r="AC114" s="1"/>
      <c r="AD114" s="1"/>
    </row>
    <row r="115" customFormat="false" ht="30" hidden="false" customHeight="true" outlineLevel="0" collapsed="false">
      <c r="A115" s="1"/>
      <c r="B115" s="49" t="str">
        <f aca="false">IF($C115="","",ROW()-8)</f>
        <v/>
      </c>
      <c r="C115" s="35"/>
      <c r="D115" s="8"/>
      <c r="E115" s="26"/>
      <c r="F115" s="26"/>
      <c r="G115" s="50"/>
      <c r="H115" s="50"/>
      <c r="I115" s="30" t="str">
        <f aca="false">IF($C115="","",IFERROR(S115/T115,"—"))</f>
        <v/>
      </c>
      <c r="J115" s="30" t="str">
        <f aca="false">IF($C115="","",IFERROR(V115/W115,"—"))</f>
        <v/>
      </c>
      <c r="K115" s="41" t="str">
        <f aca="false">IF($C115="","",IFERROR(J115/I115-1,""))</f>
        <v/>
      </c>
      <c r="L115" s="41" t="str">
        <f aca="false">IF($C115="","",IFERROR((U115-S115)/S115,"—"))</f>
        <v/>
      </c>
      <c r="M115" s="41" t="str">
        <f aca="false">IF($C115="","",IFERROR((X115-V115)/V115,"—"))</f>
        <v/>
      </c>
      <c r="N115" s="39" t="str">
        <f aca="false">IF($C115="","",T115/$D$5)</f>
        <v/>
      </c>
      <c r="O115" s="39" t="str">
        <f aca="false">IF($C115="","",W115/$D$5)</f>
        <v/>
      </c>
      <c r="P115" s="51" t="str">
        <f aca="false">IF($C115="","",IF(MAX(Статистика!$B$7:$B$1006)&lt;$C115+$D$5,"Чекаємо даних",IF(S115=0,"Новий (без бази)",IF(OR(T115=0,W115=0),"Мало даних",IF(K115&lt;=-$F$5,"Покращило",IF(K115&gt;=$F$5,"Погіршило","Без змін"))))))</f>
        <v/>
      </c>
      <c r="Q115" s="50"/>
      <c r="R115" s="1"/>
      <c r="S115" s="52" t="str">
        <f aca="false">IF($C115="","",SUMIFS(Статистика!$E$7:$E$1006,Статистика!$B$7:$B$1006,"&gt;="&amp;($C115-$D$5),Статистика!$B$7:$B$1006,"&lt;="&amp;($C115-1),Статистика!$C$7:$C$1006,IF($D115="","&lt;&gt;§",$D115),Статистика!$D$7:$D$1006,IF($E115="","&lt;&gt;§",$E115)))</f>
        <v/>
      </c>
      <c r="T115" s="52" t="str">
        <f aca="false">IF($C115="","",SUMIFS(Статистика!$H$7:$H$1006,Статистика!$B$7:$B$1006,"&gt;="&amp;($C115-$D$5),Статистика!$B$7:$B$1006,"&lt;="&amp;($C115-1),Статистика!$C$7:$C$1006,IF($D115="","&lt;&gt;§",$D115),Статистика!$D$7:$D$1006,IF($E115="","&lt;&gt;§",$E115)))</f>
        <v/>
      </c>
      <c r="U115" s="52" t="str">
        <f aca="false">IF($C115="","",SUMIFS(Статистика!$T$7:$T$1006,Статистика!$B$7:$B$1006,"&gt;="&amp;($C115-$D$5),Статистика!$B$7:$B$1006,"&lt;="&amp;($C115-1),Статистика!$C$7:$C$1006,IF($D115="","&lt;&gt;§",$D115),Статистика!$D$7:$D$1006,IF($E115="","&lt;&gt;§",$E115)))</f>
        <v/>
      </c>
      <c r="V115" s="52" t="str">
        <f aca="false">IF($C115="","",SUMIFS(Статистика!$E$7:$E$1006,Статистика!$B$7:$B$1006,"&gt;="&amp;($C115+1),Статистика!$B$7:$B$1006,"&lt;="&amp;($C115+$D$5),Статистика!$C$7:$C$1006,IF($D115="","&lt;&gt;§",$D115),Статистика!$D$7:$D$1006,IF($E115="","&lt;&gt;§",$E115)))</f>
        <v/>
      </c>
      <c r="W115" s="52" t="str">
        <f aca="false">IF($C115="","",SUMIFS(Статистика!$H$7:$H$1006,Статистика!$B$7:$B$1006,"&gt;="&amp;($C115+1),Статистика!$B$7:$B$1006,"&lt;="&amp;($C115+$D$5),Статистика!$C$7:$C$1006,IF($D115="","&lt;&gt;§",$D115),Статистика!$D$7:$D$1006,IF($E115="","&lt;&gt;§",$E115)))</f>
        <v/>
      </c>
      <c r="X115" s="52" t="str">
        <f aca="false">IF($C115="","",SUMIFS(Статистика!$T$7:$T$1006,Статистика!$B$7:$B$1006,"&gt;="&amp;($C115+1),Статистика!$B$7:$B$1006,"&lt;="&amp;($C115+$D$5),Статистика!$C$7:$C$1006,IF($D115="","&lt;&gt;§",$D115),Статистика!$D$7:$D$1006,IF($E115="","&lt;&gt;§",$E115)))</f>
        <v/>
      </c>
      <c r="Y115" s="1"/>
      <c r="Z115" s="1"/>
      <c r="AA115" s="1"/>
      <c r="AB115" s="1"/>
      <c r="AC115" s="1"/>
      <c r="AD115" s="1"/>
    </row>
    <row r="116" customFormat="false" ht="30" hidden="false" customHeight="true" outlineLevel="0" collapsed="false">
      <c r="A116" s="1"/>
      <c r="B116" s="49" t="str">
        <f aca="false">IF($C116="","",ROW()-8)</f>
        <v/>
      </c>
      <c r="C116" s="35"/>
      <c r="D116" s="8"/>
      <c r="E116" s="26"/>
      <c r="F116" s="26"/>
      <c r="G116" s="50"/>
      <c r="H116" s="50"/>
      <c r="I116" s="30" t="str">
        <f aca="false">IF($C116="","",IFERROR(S116/T116,"—"))</f>
        <v/>
      </c>
      <c r="J116" s="30" t="str">
        <f aca="false">IF($C116="","",IFERROR(V116/W116,"—"))</f>
        <v/>
      </c>
      <c r="K116" s="41" t="str">
        <f aca="false">IF($C116="","",IFERROR(J116/I116-1,""))</f>
        <v/>
      </c>
      <c r="L116" s="41" t="str">
        <f aca="false">IF($C116="","",IFERROR((U116-S116)/S116,"—"))</f>
        <v/>
      </c>
      <c r="M116" s="41" t="str">
        <f aca="false">IF($C116="","",IFERROR((X116-V116)/V116,"—"))</f>
        <v/>
      </c>
      <c r="N116" s="39" t="str">
        <f aca="false">IF($C116="","",T116/$D$5)</f>
        <v/>
      </c>
      <c r="O116" s="39" t="str">
        <f aca="false">IF($C116="","",W116/$D$5)</f>
        <v/>
      </c>
      <c r="P116" s="51" t="str">
        <f aca="false">IF($C116="","",IF(MAX(Статистика!$B$7:$B$1006)&lt;$C116+$D$5,"Чекаємо даних",IF(S116=0,"Новий (без бази)",IF(OR(T116=0,W116=0),"Мало даних",IF(K116&lt;=-$F$5,"Покращило",IF(K116&gt;=$F$5,"Погіршило","Без змін"))))))</f>
        <v/>
      </c>
      <c r="Q116" s="50"/>
      <c r="R116" s="1"/>
      <c r="S116" s="52" t="str">
        <f aca="false">IF($C116="","",SUMIFS(Статистика!$E$7:$E$1006,Статистика!$B$7:$B$1006,"&gt;="&amp;($C116-$D$5),Статистика!$B$7:$B$1006,"&lt;="&amp;($C116-1),Статистика!$C$7:$C$1006,IF($D116="","&lt;&gt;§",$D116),Статистика!$D$7:$D$1006,IF($E116="","&lt;&gt;§",$E116)))</f>
        <v/>
      </c>
      <c r="T116" s="52" t="str">
        <f aca="false">IF($C116="","",SUMIFS(Статистика!$H$7:$H$1006,Статистика!$B$7:$B$1006,"&gt;="&amp;($C116-$D$5),Статистика!$B$7:$B$1006,"&lt;="&amp;($C116-1),Статистика!$C$7:$C$1006,IF($D116="","&lt;&gt;§",$D116),Статистика!$D$7:$D$1006,IF($E116="","&lt;&gt;§",$E116)))</f>
        <v/>
      </c>
      <c r="U116" s="52" t="str">
        <f aca="false">IF($C116="","",SUMIFS(Статистика!$T$7:$T$1006,Статистика!$B$7:$B$1006,"&gt;="&amp;($C116-$D$5),Статистика!$B$7:$B$1006,"&lt;="&amp;($C116-1),Статистика!$C$7:$C$1006,IF($D116="","&lt;&gt;§",$D116),Статистика!$D$7:$D$1006,IF($E116="","&lt;&gt;§",$E116)))</f>
        <v/>
      </c>
      <c r="V116" s="52" t="str">
        <f aca="false">IF($C116="","",SUMIFS(Статистика!$E$7:$E$1006,Статистика!$B$7:$B$1006,"&gt;="&amp;($C116+1),Статистика!$B$7:$B$1006,"&lt;="&amp;($C116+$D$5),Статистика!$C$7:$C$1006,IF($D116="","&lt;&gt;§",$D116),Статистика!$D$7:$D$1006,IF($E116="","&lt;&gt;§",$E116)))</f>
        <v/>
      </c>
      <c r="W116" s="52" t="str">
        <f aca="false">IF($C116="","",SUMIFS(Статистика!$H$7:$H$1006,Статистика!$B$7:$B$1006,"&gt;="&amp;($C116+1),Статистика!$B$7:$B$1006,"&lt;="&amp;($C116+$D$5),Статистика!$C$7:$C$1006,IF($D116="","&lt;&gt;§",$D116),Статистика!$D$7:$D$1006,IF($E116="","&lt;&gt;§",$E116)))</f>
        <v/>
      </c>
      <c r="X116" s="52" t="str">
        <f aca="false">IF($C116="","",SUMIFS(Статистика!$T$7:$T$1006,Статистика!$B$7:$B$1006,"&gt;="&amp;($C116+1),Статистика!$B$7:$B$1006,"&lt;="&amp;($C116+$D$5),Статистика!$C$7:$C$1006,IF($D116="","&lt;&gt;§",$D116),Статистика!$D$7:$D$1006,IF($E116="","&lt;&gt;§",$E116)))</f>
        <v/>
      </c>
      <c r="Y116" s="1"/>
      <c r="Z116" s="1"/>
      <c r="AA116" s="1"/>
      <c r="AB116" s="1"/>
      <c r="AC116" s="1"/>
      <c r="AD116" s="1"/>
    </row>
    <row r="117" customFormat="false" ht="30" hidden="false" customHeight="true" outlineLevel="0" collapsed="false">
      <c r="A117" s="1"/>
      <c r="B117" s="49" t="str">
        <f aca="false">IF($C117="","",ROW()-8)</f>
        <v/>
      </c>
      <c r="C117" s="35"/>
      <c r="D117" s="8"/>
      <c r="E117" s="26"/>
      <c r="F117" s="26"/>
      <c r="G117" s="50"/>
      <c r="H117" s="50"/>
      <c r="I117" s="30" t="str">
        <f aca="false">IF($C117="","",IFERROR(S117/T117,"—"))</f>
        <v/>
      </c>
      <c r="J117" s="30" t="str">
        <f aca="false">IF($C117="","",IFERROR(V117/W117,"—"))</f>
        <v/>
      </c>
      <c r="K117" s="41" t="str">
        <f aca="false">IF($C117="","",IFERROR(J117/I117-1,""))</f>
        <v/>
      </c>
      <c r="L117" s="41" t="str">
        <f aca="false">IF($C117="","",IFERROR((U117-S117)/S117,"—"))</f>
        <v/>
      </c>
      <c r="M117" s="41" t="str">
        <f aca="false">IF($C117="","",IFERROR((X117-V117)/V117,"—"))</f>
        <v/>
      </c>
      <c r="N117" s="39" t="str">
        <f aca="false">IF($C117="","",T117/$D$5)</f>
        <v/>
      </c>
      <c r="O117" s="39" t="str">
        <f aca="false">IF($C117="","",W117/$D$5)</f>
        <v/>
      </c>
      <c r="P117" s="51" t="str">
        <f aca="false">IF($C117="","",IF(MAX(Статистика!$B$7:$B$1006)&lt;$C117+$D$5,"Чекаємо даних",IF(S117=0,"Новий (без бази)",IF(OR(T117=0,W117=0),"Мало даних",IF(K117&lt;=-$F$5,"Покращило",IF(K117&gt;=$F$5,"Погіршило","Без змін"))))))</f>
        <v/>
      </c>
      <c r="Q117" s="50"/>
      <c r="R117" s="1"/>
      <c r="S117" s="52" t="str">
        <f aca="false">IF($C117="","",SUMIFS(Статистика!$E$7:$E$1006,Статистика!$B$7:$B$1006,"&gt;="&amp;($C117-$D$5),Статистика!$B$7:$B$1006,"&lt;="&amp;($C117-1),Статистика!$C$7:$C$1006,IF($D117="","&lt;&gt;§",$D117),Статистика!$D$7:$D$1006,IF($E117="","&lt;&gt;§",$E117)))</f>
        <v/>
      </c>
      <c r="T117" s="52" t="str">
        <f aca="false">IF($C117="","",SUMIFS(Статистика!$H$7:$H$1006,Статистика!$B$7:$B$1006,"&gt;="&amp;($C117-$D$5),Статистика!$B$7:$B$1006,"&lt;="&amp;($C117-1),Статистика!$C$7:$C$1006,IF($D117="","&lt;&gt;§",$D117),Статистика!$D$7:$D$1006,IF($E117="","&lt;&gt;§",$E117)))</f>
        <v/>
      </c>
      <c r="U117" s="52" t="str">
        <f aca="false">IF($C117="","",SUMIFS(Статистика!$T$7:$T$1006,Статистика!$B$7:$B$1006,"&gt;="&amp;($C117-$D$5),Статистика!$B$7:$B$1006,"&lt;="&amp;($C117-1),Статистика!$C$7:$C$1006,IF($D117="","&lt;&gt;§",$D117),Статистика!$D$7:$D$1006,IF($E117="","&lt;&gt;§",$E117)))</f>
        <v/>
      </c>
      <c r="V117" s="52" t="str">
        <f aca="false">IF($C117="","",SUMIFS(Статистика!$E$7:$E$1006,Статистика!$B$7:$B$1006,"&gt;="&amp;($C117+1),Статистика!$B$7:$B$1006,"&lt;="&amp;($C117+$D$5),Статистика!$C$7:$C$1006,IF($D117="","&lt;&gt;§",$D117),Статистика!$D$7:$D$1006,IF($E117="","&lt;&gt;§",$E117)))</f>
        <v/>
      </c>
      <c r="W117" s="52" t="str">
        <f aca="false">IF($C117="","",SUMIFS(Статистика!$H$7:$H$1006,Статистика!$B$7:$B$1006,"&gt;="&amp;($C117+1),Статистика!$B$7:$B$1006,"&lt;="&amp;($C117+$D$5),Статистика!$C$7:$C$1006,IF($D117="","&lt;&gt;§",$D117),Статистика!$D$7:$D$1006,IF($E117="","&lt;&gt;§",$E117)))</f>
        <v/>
      </c>
      <c r="X117" s="52" t="str">
        <f aca="false">IF($C117="","",SUMIFS(Статистика!$T$7:$T$1006,Статистика!$B$7:$B$1006,"&gt;="&amp;($C117+1),Статистика!$B$7:$B$1006,"&lt;="&amp;($C117+$D$5),Статистика!$C$7:$C$1006,IF($D117="","&lt;&gt;§",$D117),Статистика!$D$7:$D$1006,IF($E117="","&lt;&gt;§",$E117)))</f>
        <v/>
      </c>
      <c r="Y117" s="1"/>
      <c r="Z117" s="1"/>
      <c r="AA117" s="1"/>
      <c r="AB117" s="1"/>
      <c r="AC117" s="1"/>
      <c r="AD117" s="1"/>
    </row>
    <row r="118" customFormat="false" ht="30" hidden="false" customHeight="true" outlineLevel="0" collapsed="false">
      <c r="A118" s="1"/>
      <c r="B118" s="49" t="str">
        <f aca="false">IF($C118="","",ROW()-8)</f>
        <v/>
      </c>
      <c r="C118" s="35"/>
      <c r="D118" s="8"/>
      <c r="E118" s="26"/>
      <c r="F118" s="26"/>
      <c r="G118" s="50"/>
      <c r="H118" s="50"/>
      <c r="I118" s="30" t="str">
        <f aca="false">IF($C118="","",IFERROR(S118/T118,"—"))</f>
        <v/>
      </c>
      <c r="J118" s="30" t="str">
        <f aca="false">IF($C118="","",IFERROR(V118/W118,"—"))</f>
        <v/>
      </c>
      <c r="K118" s="41" t="str">
        <f aca="false">IF($C118="","",IFERROR(J118/I118-1,""))</f>
        <v/>
      </c>
      <c r="L118" s="41" t="str">
        <f aca="false">IF($C118="","",IFERROR((U118-S118)/S118,"—"))</f>
        <v/>
      </c>
      <c r="M118" s="41" t="str">
        <f aca="false">IF($C118="","",IFERROR((X118-V118)/V118,"—"))</f>
        <v/>
      </c>
      <c r="N118" s="39" t="str">
        <f aca="false">IF($C118="","",T118/$D$5)</f>
        <v/>
      </c>
      <c r="O118" s="39" t="str">
        <f aca="false">IF($C118="","",W118/$D$5)</f>
        <v/>
      </c>
      <c r="P118" s="51" t="str">
        <f aca="false">IF($C118="","",IF(MAX(Статистика!$B$7:$B$1006)&lt;$C118+$D$5,"Чекаємо даних",IF(S118=0,"Новий (без бази)",IF(OR(T118=0,W118=0),"Мало даних",IF(K118&lt;=-$F$5,"Покращило",IF(K118&gt;=$F$5,"Погіршило","Без змін"))))))</f>
        <v/>
      </c>
      <c r="Q118" s="50"/>
      <c r="R118" s="1"/>
      <c r="S118" s="52" t="str">
        <f aca="false">IF($C118="","",SUMIFS(Статистика!$E$7:$E$1006,Статистика!$B$7:$B$1006,"&gt;="&amp;($C118-$D$5),Статистика!$B$7:$B$1006,"&lt;="&amp;($C118-1),Статистика!$C$7:$C$1006,IF($D118="","&lt;&gt;§",$D118),Статистика!$D$7:$D$1006,IF($E118="","&lt;&gt;§",$E118)))</f>
        <v/>
      </c>
      <c r="T118" s="52" t="str">
        <f aca="false">IF($C118="","",SUMIFS(Статистика!$H$7:$H$1006,Статистика!$B$7:$B$1006,"&gt;="&amp;($C118-$D$5),Статистика!$B$7:$B$1006,"&lt;="&amp;($C118-1),Статистика!$C$7:$C$1006,IF($D118="","&lt;&gt;§",$D118),Статистика!$D$7:$D$1006,IF($E118="","&lt;&gt;§",$E118)))</f>
        <v/>
      </c>
      <c r="U118" s="52" t="str">
        <f aca="false">IF($C118="","",SUMIFS(Статистика!$T$7:$T$1006,Статистика!$B$7:$B$1006,"&gt;="&amp;($C118-$D$5),Статистика!$B$7:$B$1006,"&lt;="&amp;($C118-1),Статистика!$C$7:$C$1006,IF($D118="","&lt;&gt;§",$D118),Статистика!$D$7:$D$1006,IF($E118="","&lt;&gt;§",$E118)))</f>
        <v/>
      </c>
      <c r="V118" s="52" t="str">
        <f aca="false">IF($C118="","",SUMIFS(Статистика!$E$7:$E$1006,Статистика!$B$7:$B$1006,"&gt;="&amp;($C118+1),Статистика!$B$7:$B$1006,"&lt;="&amp;($C118+$D$5),Статистика!$C$7:$C$1006,IF($D118="","&lt;&gt;§",$D118),Статистика!$D$7:$D$1006,IF($E118="","&lt;&gt;§",$E118)))</f>
        <v/>
      </c>
      <c r="W118" s="52" t="str">
        <f aca="false">IF($C118="","",SUMIFS(Статистика!$H$7:$H$1006,Статистика!$B$7:$B$1006,"&gt;="&amp;($C118+1),Статистика!$B$7:$B$1006,"&lt;="&amp;($C118+$D$5),Статистика!$C$7:$C$1006,IF($D118="","&lt;&gt;§",$D118),Статистика!$D$7:$D$1006,IF($E118="","&lt;&gt;§",$E118)))</f>
        <v/>
      </c>
      <c r="X118" s="52" t="str">
        <f aca="false">IF($C118="","",SUMIFS(Статистика!$T$7:$T$1006,Статистика!$B$7:$B$1006,"&gt;="&amp;($C118+1),Статистика!$B$7:$B$1006,"&lt;="&amp;($C118+$D$5),Статистика!$C$7:$C$1006,IF($D118="","&lt;&gt;§",$D118),Статистика!$D$7:$D$1006,IF($E118="","&lt;&gt;§",$E118)))</f>
        <v/>
      </c>
      <c r="Y118" s="1"/>
      <c r="Z118" s="1"/>
      <c r="AA118" s="1"/>
      <c r="AB118" s="1"/>
      <c r="AC118" s="1"/>
      <c r="AD118" s="1"/>
    </row>
    <row r="119" customFormat="false" ht="30" hidden="false" customHeight="true" outlineLevel="0" collapsed="false">
      <c r="A119" s="1"/>
      <c r="B119" s="49" t="str">
        <f aca="false">IF($C119="","",ROW()-8)</f>
        <v/>
      </c>
      <c r="C119" s="35"/>
      <c r="D119" s="8"/>
      <c r="E119" s="26"/>
      <c r="F119" s="26"/>
      <c r="G119" s="50"/>
      <c r="H119" s="50"/>
      <c r="I119" s="30" t="str">
        <f aca="false">IF($C119="","",IFERROR(S119/T119,"—"))</f>
        <v/>
      </c>
      <c r="J119" s="30" t="str">
        <f aca="false">IF($C119="","",IFERROR(V119/W119,"—"))</f>
        <v/>
      </c>
      <c r="K119" s="41" t="str">
        <f aca="false">IF($C119="","",IFERROR(J119/I119-1,""))</f>
        <v/>
      </c>
      <c r="L119" s="41" t="str">
        <f aca="false">IF($C119="","",IFERROR((U119-S119)/S119,"—"))</f>
        <v/>
      </c>
      <c r="M119" s="41" t="str">
        <f aca="false">IF($C119="","",IFERROR((X119-V119)/V119,"—"))</f>
        <v/>
      </c>
      <c r="N119" s="39" t="str">
        <f aca="false">IF($C119="","",T119/$D$5)</f>
        <v/>
      </c>
      <c r="O119" s="39" t="str">
        <f aca="false">IF($C119="","",W119/$D$5)</f>
        <v/>
      </c>
      <c r="P119" s="51" t="str">
        <f aca="false">IF($C119="","",IF(MAX(Статистика!$B$7:$B$1006)&lt;$C119+$D$5,"Чекаємо даних",IF(S119=0,"Новий (без бази)",IF(OR(T119=0,W119=0),"Мало даних",IF(K119&lt;=-$F$5,"Покращило",IF(K119&gt;=$F$5,"Погіршило","Без змін"))))))</f>
        <v/>
      </c>
      <c r="Q119" s="50"/>
      <c r="R119" s="1"/>
      <c r="S119" s="52" t="str">
        <f aca="false">IF($C119="","",SUMIFS(Статистика!$E$7:$E$1006,Статистика!$B$7:$B$1006,"&gt;="&amp;($C119-$D$5),Статистика!$B$7:$B$1006,"&lt;="&amp;($C119-1),Статистика!$C$7:$C$1006,IF($D119="","&lt;&gt;§",$D119),Статистика!$D$7:$D$1006,IF($E119="","&lt;&gt;§",$E119)))</f>
        <v/>
      </c>
      <c r="T119" s="52" t="str">
        <f aca="false">IF($C119="","",SUMIFS(Статистика!$H$7:$H$1006,Статистика!$B$7:$B$1006,"&gt;="&amp;($C119-$D$5),Статистика!$B$7:$B$1006,"&lt;="&amp;($C119-1),Статистика!$C$7:$C$1006,IF($D119="","&lt;&gt;§",$D119),Статистика!$D$7:$D$1006,IF($E119="","&lt;&gt;§",$E119)))</f>
        <v/>
      </c>
      <c r="U119" s="52" t="str">
        <f aca="false">IF($C119="","",SUMIFS(Статистика!$T$7:$T$1006,Статистика!$B$7:$B$1006,"&gt;="&amp;($C119-$D$5),Статистика!$B$7:$B$1006,"&lt;="&amp;($C119-1),Статистика!$C$7:$C$1006,IF($D119="","&lt;&gt;§",$D119),Статистика!$D$7:$D$1006,IF($E119="","&lt;&gt;§",$E119)))</f>
        <v/>
      </c>
      <c r="V119" s="52" t="str">
        <f aca="false">IF($C119="","",SUMIFS(Статистика!$E$7:$E$1006,Статистика!$B$7:$B$1006,"&gt;="&amp;($C119+1),Статистика!$B$7:$B$1006,"&lt;="&amp;($C119+$D$5),Статистика!$C$7:$C$1006,IF($D119="","&lt;&gt;§",$D119),Статистика!$D$7:$D$1006,IF($E119="","&lt;&gt;§",$E119)))</f>
        <v/>
      </c>
      <c r="W119" s="52" t="str">
        <f aca="false">IF($C119="","",SUMIFS(Статистика!$H$7:$H$1006,Статистика!$B$7:$B$1006,"&gt;="&amp;($C119+1),Статистика!$B$7:$B$1006,"&lt;="&amp;($C119+$D$5),Статистика!$C$7:$C$1006,IF($D119="","&lt;&gt;§",$D119),Статистика!$D$7:$D$1006,IF($E119="","&lt;&gt;§",$E119)))</f>
        <v/>
      </c>
      <c r="X119" s="52" t="str">
        <f aca="false">IF($C119="","",SUMIFS(Статистика!$T$7:$T$1006,Статистика!$B$7:$B$1006,"&gt;="&amp;($C119+1),Статистика!$B$7:$B$1006,"&lt;="&amp;($C119+$D$5),Статистика!$C$7:$C$1006,IF($D119="","&lt;&gt;§",$D119),Статистика!$D$7:$D$1006,IF($E119="","&lt;&gt;§",$E119)))</f>
        <v/>
      </c>
      <c r="Y119" s="1"/>
      <c r="Z119" s="1"/>
      <c r="AA119" s="1"/>
      <c r="AB119" s="1"/>
      <c r="AC119" s="1"/>
      <c r="AD119" s="1"/>
    </row>
    <row r="120" customFormat="false" ht="30" hidden="false" customHeight="true" outlineLevel="0" collapsed="false">
      <c r="A120" s="1"/>
      <c r="B120" s="49" t="str">
        <f aca="false">IF($C120="","",ROW()-8)</f>
        <v/>
      </c>
      <c r="C120" s="35"/>
      <c r="D120" s="8"/>
      <c r="E120" s="26"/>
      <c r="F120" s="26"/>
      <c r="G120" s="50"/>
      <c r="H120" s="50"/>
      <c r="I120" s="30" t="str">
        <f aca="false">IF($C120="","",IFERROR(S120/T120,"—"))</f>
        <v/>
      </c>
      <c r="J120" s="30" t="str">
        <f aca="false">IF($C120="","",IFERROR(V120/W120,"—"))</f>
        <v/>
      </c>
      <c r="K120" s="41" t="str">
        <f aca="false">IF($C120="","",IFERROR(J120/I120-1,""))</f>
        <v/>
      </c>
      <c r="L120" s="41" t="str">
        <f aca="false">IF($C120="","",IFERROR((U120-S120)/S120,"—"))</f>
        <v/>
      </c>
      <c r="M120" s="41" t="str">
        <f aca="false">IF($C120="","",IFERROR((X120-V120)/V120,"—"))</f>
        <v/>
      </c>
      <c r="N120" s="39" t="str">
        <f aca="false">IF($C120="","",T120/$D$5)</f>
        <v/>
      </c>
      <c r="O120" s="39" t="str">
        <f aca="false">IF($C120="","",W120/$D$5)</f>
        <v/>
      </c>
      <c r="P120" s="51" t="str">
        <f aca="false">IF($C120="","",IF(MAX(Статистика!$B$7:$B$1006)&lt;$C120+$D$5,"Чекаємо даних",IF(S120=0,"Новий (без бази)",IF(OR(T120=0,W120=0),"Мало даних",IF(K120&lt;=-$F$5,"Покращило",IF(K120&gt;=$F$5,"Погіршило","Без змін"))))))</f>
        <v/>
      </c>
      <c r="Q120" s="50"/>
      <c r="R120" s="1"/>
      <c r="S120" s="52" t="str">
        <f aca="false">IF($C120="","",SUMIFS(Статистика!$E$7:$E$1006,Статистика!$B$7:$B$1006,"&gt;="&amp;($C120-$D$5),Статистика!$B$7:$B$1006,"&lt;="&amp;($C120-1),Статистика!$C$7:$C$1006,IF($D120="","&lt;&gt;§",$D120),Статистика!$D$7:$D$1006,IF($E120="","&lt;&gt;§",$E120)))</f>
        <v/>
      </c>
      <c r="T120" s="52" t="str">
        <f aca="false">IF($C120="","",SUMIFS(Статистика!$H$7:$H$1006,Статистика!$B$7:$B$1006,"&gt;="&amp;($C120-$D$5),Статистика!$B$7:$B$1006,"&lt;="&amp;($C120-1),Статистика!$C$7:$C$1006,IF($D120="","&lt;&gt;§",$D120),Статистика!$D$7:$D$1006,IF($E120="","&lt;&gt;§",$E120)))</f>
        <v/>
      </c>
      <c r="U120" s="52" t="str">
        <f aca="false">IF($C120="","",SUMIFS(Статистика!$T$7:$T$1006,Статистика!$B$7:$B$1006,"&gt;="&amp;($C120-$D$5),Статистика!$B$7:$B$1006,"&lt;="&amp;($C120-1),Статистика!$C$7:$C$1006,IF($D120="","&lt;&gt;§",$D120),Статистика!$D$7:$D$1006,IF($E120="","&lt;&gt;§",$E120)))</f>
        <v/>
      </c>
      <c r="V120" s="52" t="str">
        <f aca="false">IF($C120="","",SUMIFS(Статистика!$E$7:$E$1006,Статистика!$B$7:$B$1006,"&gt;="&amp;($C120+1),Статистика!$B$7:$B$1006,"&lt;="&amp;($C120+$D$5),Статистика!$C$7:$C$1006,IF($D120="","&lt;&gt;§",$D120),Статистика!$D$7:$D$1006,IF($E120="","&lt;&gt;§",$E120)))</f>
        <v/>
      </c>
      <c r="W120" s="52" t="str">
        <f aca="false">IF($C120="","",SUMIFS(Статистика!$H$7:$H$1006,Статистика!$B$7:$B$1006,"&gt;="&amp;($C120+1),Статистика!$B$7:$B$1006,"&lt;="&amp;($C120+$D$5),Статистика!$C$7:$C$1006,IF($D120="","&lt;&gt;§",$D120),Статистика!$D$7:$D$1006,IF($E120="","&lt;&gt;§",$E120)))</f>
        <v/>
      </c>
      <c r="X120" s="52" t="str">
        <f aca="false">IF($C120="","",SUMIFS(Статистика!$T$7:$T$1006,Статистика!$B$7:$B$1006,"&gt;="&amp;($C120+1),Статистика!$B$7:$B$1006,"&lt;="&amp;($C120+$D$5),Статистика!$C$7:$C$1006,IF($D120="","&lt;&gt;§",$D120),Статистика!$D$7:$D$1006,IF($E120="","&lt;&gt;§",$E120)))</f>
        <v/>
      </c>
      <c r="Y120" s="1"/>
      <c r="Z120" s="1"/>
      <c r="AA120" s="1"/>
      <c r="AB120" s="1"/>
      <c r="AC120" s="1"/>
      <c r="AD120" s="1"/>
    </row>
    <row r="121" customFormat="false" ht="30" hidden="false" customHeight="true" outlineLevel="0" collapsed="false">
      <c r="A121" s="1"/>
      <c r="B121" s="49" t="str">
        <f aca="false">IF($C121="","",ROW()-8)</f>
        <v/>
      </c>
      <c r="C121" s="35"/>
      <c r="D121" s="8"/>
      <c r="E121" s="26"/>
      <c r="F121" s="26"/>
      <c r="G121" s="50"/>
      <c r="H121" s="50"/>
      <c r="I121" s="30" t="str">
        <f aca="false">IF($C121="","",IFERROR(S121/T121,"—"))</f>
        <v/>
      </c>
      <c r="J121" s="30" t="str">
        <f aca="false">IF($C121="","",IFERROR(V121/W121,"—"))</f>
        <v/>
      </c>
      <c r="K121" s="41" t="str">
        <f aca="false">IF($C121="","",IFERROR(J121/I121-1,""))</f>
        <v/>
      </c>
      <c r="L121" s="41" t="str">
        <f aca="false">IF($C121="","",IFERROR((U121-S121)/S121,"—"))</f>
        <v/>
      </c>
      <c r="M121" s="41" t="str">
        <f aca="false">IF($C121="","",IFERROR((X121-V121)/V121,"—"))</f>
        <v/>
      </c>
      <c r="N121" s="39" t="str">
        <f aca="false">IF($C121="","",T121/$D$5)</f>
        <v/>
      </c>
      <c r="O121" s="39" t="str">
        <f aca="false">IF($C121="","",W121/$D$5)</f>
        <v/>
      </c>
      <c r="P121" s="51" t="str">
        <f aca="false">IF($C121="","",IF(MAX(Статистика!$B$7:$B$1006)&lt;$C121+$D$5,"Чекаємо даних",IF(S121=0,"Новий (без бази)",IF(OR(T121=0,W121=0),"Мало даних",IF(K121&lt;=-$F$5,"Покращило",IF(K121&gt;=$F$5,"Погіршило","Без змін"))))))</f>
        <v/>
      </c>
      <c r="Q121" s="50"/>
      <c r="R121" s="1"/>
      <c r="S121" s="52" t="str">
        <f aca="false">IF($C121="","",SUMIFS(Статистика!$E$7:$E$1006,Статистика!$B$7:$B$1006,"&gt;="&amp;($C121-$D$5),Статистика!$B$7:$B$1006,"&lt;="&amp;($C121-1),Статистика!$C$7:$C$1006,IF($D121="","&lt;&gt;§",$D121),Статистика!$D$7:$D$1006,IF($E121="","&lt;&gt;§",$E121)))</f>
        <v/>
      </c>
      <c r="T121" s="52" t="str">
        <f aca="false">IF($C121="","",SUMIFS(Статистика!$H$7:$H$1006,Статистика!$B$7:$B$1006,"&gt;="&amp;($C121-$D$5),Статистика!$B$7:$B$1006,"&lt;="&amp;($C121-1),Статистика!$C$7:$C$1006,IF($D121="","&lt;&gt;§",$D121),Статистика!$D$7:$D$1006,IF($E121="","&lt;&gt;§",$E121)))</f>
        <v/>
      </c>
      <c r="U121" s="52" t="str">
        <f aca="false">IF($C121="","",SUMIFS(Статистика!$T$7:$T$1006,Статистика!$B$7:$B$1006,"&gt;="&amp;($C121-$D$5),Статистика!$B$7:$B$1006,"&lt;="&amp;($C121-1),Статистика!$C$7:$C$1006,IF($D121="","&lt;&gt;§",$D121),Статистика!$D$7:$D$1006,IF($E121="","&lt;&gt;§",$E121)))</f>
        <v/>
      </c>
      <c r="V121" s="52" t="str">
        <f aca="false">IF($C121="","",SUMIFS(Статистика!$E$7:$E$1006,Статистика!$B$7:$B$1006,"&gt;="&amp;($C121+1),Статистика!$B$7:$B$1006,"&lt;="&amp;($C121+$D$5),Статистика!$C$7:$C$1006,IF($D121="","&lt;&gt;§",$D121),Статистика!$D$7:$D$1006,IF($E121="","&lt;&gt;§",$E121)))</f>
        <v/>
      </c>
      <c r="W121" s="52" t="str">
        <f aca="false">IF($C121="","",SUMIFS(Статистика!$H$7:$H$1006,Статистика!$B$7:$B$1006,"&gt;="&amp;($C121+1),Статистика!$B$7:$B$1006,"&lt;="&amp;($C121+$D$5),Статистика!$C$7:$C$1006,IF($D121="","&lt;&gt;§",$D121),Статистика!$D$7:$D$1006,IF($E121="","&lt;&gt;§",$E121)))</f>
        <v/>
      </c>
      <c r="X121" s="52" t="str">
        <f aca="false">IF($C121="","",SUMIFS(Статистика!$T$7:$T$1006,Статистика!$B$7:$B$1006,"&gt;="&amp;($C121+1),Статистика!$B$7:$B$1006,"&lt;="&amp;($C121+$D$5),Статистика!$C$7:$C$1006,IF($D121="","&lt;&gt;§",$D121),Статистика!$D$7:$D$1006,IF($E121="","&lt;&gt;§",$E121)))</f>
        <v/>
      </c>
      <c r="Y121" s="1"/>
      <c r="Z121" s="1"/>
      <c r="AA121" s="1"/>
      <c r="AB121" s="1"/>
      <c r="AC121" s="1"/>
      <c r="AD121" s="1"/>
    </row>
    <row r="122" customFormat="false" ht="30" hidden="false" customHeight="true" outlineLevel="0" collapsed="false">
      <c r="A122" s="1"/>
      <c r="B122" s="49" t="str">
        <f aca="false">IF($C122="","",ROW()-8)</f>
        <v/>
      </c>
      <c r="C122" s="35"/>
      <c r="D122" s="8"/>
      <c r="E122" s="26"/>
      <c r="F122" s="26"/>
      <c r="G122" s="50"/>
      <c r="H122" s="50"/>
      <c r="I122" s="30" t="str">
        <f aca="false">IF($C122="","",IFERROR(S122/T122,"—"))</f>
        <v/>
      </c>
      <c r="J122" s="30" t="str">
        <f aca="false">IF($C122="","",IFERROR(V122/W122,"—"))</f>
        <v/>
      </c>
      <c r="K122" s="41" t="str">
        <f aca="false">IF($C122="","",IFERROR(J122/I122-1,""))</f>
        <v/>
      </c>
      <c r="L122" s="41" t="str">
        <f aca="false">IF($C122="","",IFERROR((U122-S122)/S122,"—"))</f>
        <v/>
      </c>
      <c r="M122" s="41" t="str">
        <f aca="false">IF($C122="","",IFERROR((X122-V122)/V122,"—"))</f>
        <v/>
      </c>
      <c r="N122" s="39" t="str">
        <f aca="false">IF($C122="","",T122/$D$5)</f>
        <v/>
      </c>
      <c r="O122" s="39" t="str">
        <f aca="false">IF($C122="","",W122/$D$5)</f>
        <v/>
      </c>
      <c r="P122" s="51" t="str">
        <f aca="false">IF($C122="","",IF(MAX(Статистика!$B$7:$B$1006)&lt;$C122+$D$5,"Чекаємо даних",IF(S122=0,"Новий (без бази)",IF(OR(T122=0,W122=0),"Мало даних",IF(K122&lt;=-$F$5,"Покращило",IF(K122&gt;=$F$5,"Погіршило","Без змін"))))))</f>
        <v/>
      </c>
      <c r="Q122" s="50"/>
      <c r="R122" s="1"/>
      <c r="S122" s="52" t="str">
        <f aca="false">IF($C122="","",SUMIFS(Статистика!$E$7:$E$1006,Статистика!$B$7:$B$1006,"&gt;="&amp;($C122-$D$5),Статистика!$B$7:$B$1006,"&lt;="&amp;($C122-1),Статистика!$C$7:$C$1006,IF($D122="","&lt;&gt;§",$D122),Статистика!$D$7:$D$1006,IF($E122="","&lt;&gt;§",$E122)))</f>
        <v/>
      </c>
      <c r="T122" s="52" t="str">
        <f aca="false">IF($C122="","",SUMIFS(Статистика!$H$7:$H$1006,Статистика!$B$7:$B$1006,"&gt;="&amp;($C122-$D$5),Статистика!$B$7:$B$1006,"&lt;="&amp;($C122-1),Статистика!$C$7:$C$1006,IF($D122="","&lt;&gt;§",$D122),Статистика!$D$7:$D$1006,IF($E122="","&lt;&gt;§",$E122)))</f>
        <v/>
      </c>
      <c r="U122" s="52" t="str">
        <f aca="false">IF($C122="","",SUMIFS(Статистика!$T$7:$T$1006,Статистика!$B$7:$B$1006,"&gt;="&amp;($C122-$D$5),Статистика!$B$7:$B$1006,"&lt;="&amp;($C122-1),Статистика!$C$7:$C$1006,IF($D122="","&lt;&gt;§",$D122),Статистика!$D$7:$D$1006,IF($E122="","&lt;&gt;§",$E122)))</f>
        <v/>
      </c>
      <c r="V122" s="52" t="str">
        <f aca="false">IF($C122="","",SUMIFS(Статистика!$E$7:$E$1006,Статистика!$B$7:$B$1006,"&gt;="&amp;($C122+1),Статистика!$B$7:$B$1006,"&lt;="&amp;($C122+$D$5),Статистика!$C$7:$C$1006,IF($D122="","&lt;&gt;§",$D122),Статистика!$D$7:$D$1006,IF($E122="","&lt;&gt;§",$E122)))</f>
        <v/>
      </c>
      <c r="W122" s="52" t="str">
        <f aca="false">IF($C122="","",SUMIFS(Статистика!$H$7:$H$1006,Статистика!$B$7:$B$1006,"&gt;="&amp;($C122+1),Статистика!$B$7:$B$1006,"&lt;="&amp;($C122+$D$5),Статистика!$C$7:$C$1006,IF($D122="","&lt;&gt;§",$D122),Статистика!$D$7:$D$1006,IF($E122="","&lt;&gt;§",$E122)))</f>
        <v/>
      </c>
      <c r="X122" s="52" t="str">
        <f aca="false">IF($C122="","",SUMIFS(Статистика!$T$7:$T$1006,Статистика!$B$7:$B$1006,"&gt;="&amp;($C122+1),Статистика!$B$7:$B$1006,"&lt;="&amp;($C122+$D$5),Статистика!$C$7:$C$1006,IF($D122="","&lt;&gt;§",$D122),Статистика!$D$7:$D$1006,IF($E122="","&lt;&gt;§",$E122)))</f>
        <v/>
      </c>
      <c r="Y122" s="1"/>
      <c r="Z122" s="1"/>
      <c r="AA122" s="1"/>
      <c r="AB122" s="1"/>
      <c r="AC122" s="1"/>
      <c r="AD122" s="1"/>
    </row>
    <row r="123" customFormat="false" ht="30" hidden="false" customHeight="true" outlineLevel="0" collapsed="false">
      <c r="A123" s="1"/>
      <c r="B123" s="49" t="str">
        <f aca="false">IF($C123="","",ROW()-8)</f>
        <v/>
      </c>
      <c r="C123" s="35"/>
      <c r="D123" s="8"/>
      <c r="E123" s="26"/>
      <c r="F123" s="26"/>
      <c r="G123" s="50"/>
      <c r="H123" s="50"/>
      <c r="I123" s="30" t="str">
        <f aca="false">IF($C123="","",IFERROR(S123/T123,"—"))</f>
        <v/>
      </c>
      <c r="J123" s="30" t="str">
        <f aca="false">IF($C123="","",IFERROR(V123/W123,"—"))</f>
        <v/>
      </c>
      <c r="K123" s="41" t="str">
        <f aca="false">IF($C123="","",IFERROR(J123/I123-1,""))</f>
        <v/>
      </c>
      <c r="L123" s="41" t="str">
        <f aca="false">IF($C123="","",IFERROR((U123-S123)/S123,"—"))</f>
        <v/>
      </c>
      <c r="M123" s="41" t="str">
        <f aca="false">IF($C123="","",IFERROR((X123-V123)/V123,"—"))</f>
        <v/>
      </c>
      <c r="N123" s="39" t="str">
        <f aca="false">IF($C123="","",T123/$D$5)</f>
        <v/>
      </c>
      <c r="O123" s="39" t="str">
        <f aca="false">IF($C123="","",W123/$D$5)</f>
        <v/>
      </c>
      <c r="P123" s="51" t="str">
        <f aca="false">IF($C123="","",IF(MAX(Статистика!$B$7:$B$1006)&lt;$C123+$D$5,"Чекаємо даних",IF(S123=0,"Новий (без бази)",IF(OR(T123=0,W123=0),"Мало даних",IF(K123&lt;=-$F$5,"Покращило",IF(K123&gt;=$F$5,"Погіршило","Без змін"))))))</f>
        <v/>
      </c>
      <c r="Q123" s="50"/>
      <c r="R123" s="1"/>
      <c r="S123" s="52" t="str">
        <f aca="false">IF($C123="","",SUMIFS(Статистика!$E$7:$E$1006,Статистика!$B$7:$B$1006,"&gt;="&amp;($C123-$D$5),Статистика!$B$7:$B$1006,"&lt;="&amp;($C123-1),Статистика!$C$7:$C$1006,IF($D123="","&lt;&gt;§",$D123),Статистика!$D$7:$D$1006,IF($E123="","&lt;&gt;§",$E123)))</f>
        <v/>
      </c>
      <c r="T123" s="52" t="str">
        <f aca="false">IF($C123="","",SUMIFS(Статистика!$H$7:$H$1006,Статистика!$B$7:$B$1006,"&gt;="&amp;($C123-$D$5),Статистика!$B$7:$B$1006,"&lt;="&amp;($C123-1),Статистика!$C$7:$C$1006,IF($D123="","&lt;&gt;§",$D123),Статистика!$D$7:$D$1006,IF($E123="","&lt;&gt;§",$E123)))</f>
        <v/>
      </c>
      <c r="U123" s="52" t="str">
        <f aca="false">IF($C123="","",SUMIFS(Статистика!$T$7:$T$1006,Статистика!$B$7:$B$1006,"&gt;="&amp;($C123-$D$5),Статистика!$B$7:$B$1006,"&lt;="&amp;($C123-1),Статистика!$C$7:$C$1006,IF($D123="","&lt;&gt;§",$D123),Статистика!$D$7:$D$1006,IF($E123="","&lt;&gt;§",$E123)))</f>
        <v/>
      </c>
      <c r="V123" s="52" t="str">
        <f aca="false">IF($C123="","",SUMIFS(Статистика!$E$7:$E$1006,Статистика!$B$7:$B$1006,"&gt;="&amp;($C123+1),Статистика!$B$7:$B$1006,"&lt;="&amp;($C123+$D$5),Статистика!$C$7:$C$1006,IF($D123="","&lt;&gt;§",$D123),Статистика!$D$7:$D$1006,IF($E123="","&lt;&gt;§",$E123)))</f>
        <v/>
      </c>
      <c r="W123" s="52" t="str">
        <f aca="false">IF($C123="","",SUMIFS(Статистика!$H$7:$H$1006,Статистика!$B$7:$B$1006,"&gt;="&amp;($C123+1),Статистика!$B$7:$B$1006,"&lt;="&amp;($C123+$D$5),Статистика!$C$7:$C$1006,IF($D123="","&lt;&gt;§",$D123),Статистика!$D$7:$D$1006,IF($E123="","&lt;&gt;§",$E123)))</f>
        <v/>
      </c>
      <c r="X123" s="52" t="str">
        <f aca="false">IF($C123="","",SUMIFS(Статистика!$T$7:$T$1006,Статистика!$B$7:$B$1006,"&gt;="&amp;($C123+1),Статистика!$B$7:$B$1006,"&lt;="&amp;($C123+$D$5),Статистика!$C$7:$C$1006,IF($D123="","&lt;&gt;§",$D123),Статистика!$D$7:$D$1006,IF($E123="","&lt;&gt;§",$E123)))</f>
        <v/>
      </c>
      <c r="Y123" s="1"/>
      <c r="Z123" s="1"/>
      <c r="AA123" s="1"/>
      <c r="AB123" s="1"/>
      <c r="AC123" s="1"/>
      <c r="AD123" s="1"/>
    </row>
    <row r="124" customFormat="false" ht="30" hidden="false" customHeight="true" outlineLevel="0" collapsed="false">
      <c r="A124" s="1"/>
      <c r="B124" s="49" t="str">
        <f aca="false">IF($C124="","",ROW()-8)</f>
        <v/>
      </c>
      <c r="C124" s="35"/>
      <c r="D124" s="8"/>
      <c r="E124" s="26"/>
      <c r="F124" s="26"/>
      <c r="G124" s="50"/>
      <c r="H124" s="50"/>
      <c r="I124" s="30" t="str">
        <f aca="false">IF($C124="","",IFERROR(S124/T124,"—"))</f>
        <v/>
      </c>
      <c r="J124" s="30" t="str">
        <f aca="false">IF($C124="","",IFERROR(V124/W124,"—"))</f>
        <v/>
      </c>
      <c r="K124" s="41" t="str">
        <f aca="false">IF($C124="","",IFERROR(J124/I124-1,""))</f>
        <v/>
      </c>
      <c r="L124" s="41" t="str">
        <f aca="false">IF($C124="","",IFERROR((U124-S124)/S124,"—"))</f>
        <v/>
      </c>
      <c r="M124" s="41" t="str">
        <f aca="false">IF($C124="","",IFERROR((X124-V124)/V124,"—"))</f>
        <v/>
      </c>
      <c r="N124" s="39" t="str">
        <f aca="false">IF($C124="","",T124/$D$5)</f>
        <v/>
      </c>
      <c r="O124" s="39" t="str">
        <f aca="false">IF($C124="","",W124/$D$5)</f>
        <v/>
      </c>
      <c r="P124" s="51" t="str">
        <f aca="false">IF($C124="","",IF(MAX(Статистика!$B$7:$B$1006)&lt;$C124+$D$5,"Чекаємо даних",IF(S124=0,"Новий (без бази)",IF(OR(T124=0,W124=0),"Мало даних",IF(K124&lt;=-$F$5,"Покращило",IF(K124&gt;=$F$5,"Погіршило","Без змін"))))))</f>
        <v/>
      </c>
      <c r="Q124" s="50"/>
      <c r="R124" s="1"/>
      <c r="S124" s="52" t="str">
        <f aca="false">IF($C124="","",SUMIFS(Статистика!$E$7:$E$1006,Статистика!$B$7:$B$1006,"&gt;="&amp;($C124-$D$5),Статистика!$B$7:$B$1006,"&lt;="&amp;($C124-1),Статистика!$C$7:$C$1006,IF($D124="","&lt;&gt;§",$D124),Статистика!$D$7:$D$1006,IF($E124="","&lt;&gt;§",$E124)))</f>
        <v/>
      </c>
      <c r="T124" s="52" t="str">
        <f aca="false">IF($C124="","",SUMIFS(Статистика!$H$7:$H$1006,Статистика!$B$7:$B$1006,"&gt;="&amp;($C124-$D$5),Статистика!$B$7:$B$1006,"&lt;="&amp;($C124-1),Статистика!$C$7:$C$1006,IF($D124="","&lt;&gt;§",$D124),Статистика!$D$7:$D$1006,IF($E124="","&lt;&gt;§",$E124)))</f>
        <v/>
      </c>
      <c r="U124" s="52" t="str">
        <f aca="false">IF($C124="","",SUMIFS(Статистика!$T$7:$T$1006,Статистика!$B$7:$B$1006,"&gt;="&amp;($C124-$D$5),Статистика!$B$7:$B$1006,"&lt;="&amp;($C124-1),Статистика!$C$7:$C$1006,IF($D124="","&lt;&gt;§",$D124),Статистика!$D$7:$D$1006,IF($E124="","&lt;&gt;§",$E124)))</f>
        <v/>
      </c>
      <c r="V124" s="52" t="str">
        <f aca="false">IF($C124="","",SUMIFS(Статистика!$E$7:$E$1006,Статистика!$B$7:$B$1006,"&gt;="&amp;($C124+1),Статистика!$B$7:$B$1006,"&lt;="&amp;($C124+$D$5),Статистика!$C$7:$C$1006,IF($D124="","&lt;&gt;§",$D124),Статистика!$D$7:$D$1006,IF($E124="","&lt;&gt;§",$E124)))</f>
        <v/>
      </c>
      <c r="W124" s="52" t="str">
        <f aca="false">IF($C124="","",SUMIFS(Статистика!$H$7:$H$1006,Статистика!$B$7:$B$1006,"&gt;="&amp;($C124+1),Статистика!$B$7:$B$1006,"&lt;="&amp;($C124+$D$5),Статистика!$C$7:$C$1006,IF($D124="","&lt;&gt;§",$D124),Статистика!$D$7:$D$1006,IF($E124="","&lt;&gt;§",$E124)))</f>
        <v/>
      </c>
      <c r="X124" s="52" t="str">
        <f aca="false">IF($C124="","",SUMIFS(Статистика!$T$7:$T$1006,Статистика!$B$7:$B$1006,"&gt;="&amp;($C124+1),Статистика!$B$7:$B$1006,"&lt;="&amp;($C124+$D$5),Статистика!$C$7:$C$1006,IF($D124="","&lt;&gt;§",$D124),Статистика!$D$7:$D$1006,IF($E124="","&lt;&gt;§",$E124)))</f>
        <v/>
      </c>
      <c r="Y124" s="1"/>
      <c r="Z124" s="1"/>
      <c r="AA124" s="1"/>
      <c r="AB124" s="1"/>
      <c r="AC124" s="1"/>
      <c r="AD124" s="1"/>
    </row>
    <row r="125" customFormat="false" ht="30" hidden="false" customHeight="true" outlineLevel="0" collapsed="false">
      <c r="A125" s="1"/>
      <c r="B125" s="49" t="str">
        <f aca="false">IF($C125="","",ROW()-8)</f>
        <v/>
      </c>
      <c r="C125" s="35"/>
      <c r="D125" s="8"/>
      <c r="E125" s="26"/>
      <c r="F125" s="26"/>
      <c r="G125" s="50"/>
      <c r="H125" s="50"/>
      <c r="I125" s="30" t="str">
        <f aca="false">IF($C125="","",IFERROR(S125/T125,"—"))</f>
        <v/>
      </c>
      <c r="J125" s="30" t="str">
        <f aca="false">IF($C125="","",IFERROR(V125/W125,"—"))</f>
        <v/>
      </c>
      <c r="K125" s="41" t="str">
        <f aca="false">IF($C125="","",IFERROR(J125/I125-1,""))</f>
        <v/>
      </c>
      <c r="L125" s="41" t="str">
        <f aca="false">IF($C125="","",IFERROR((U125-S125)/S125,"—"))</f>
        <v/>
      </c>
      <c r="M125" s="41" t="str">
        <f aca="false">IF($C125="","",IFERROR((X125-V125)/V125,"—"))</f>
        <v/>
      </c>
      <c r="N125" s="39" t="str">
        <f aca="false">IF($C125="","",T125/$D$5)</f>
        <v/>
      </c>
      <c r="O125" s="39" t="str">
        <f aca="false">IF($C125="","",W125/$D$5)</f>
        <v/>
      </c>
      <c r="P125" s="51" t="str">
        <f aca="false">IF($C125="","",IF(MAX(Статистика!$B$7:$B$1006)&lt;$C125+$D$5,"Чекаємо даних",IF(S125=0,"Новий (без бази)",IF(OR(T125=0,W125=0),"Мало даних",IF(K125&lt;=-$F$5,"Покращило",IF(K125&gt;=$F$5,"Погіршило","Без змін"))))))</f>
        <v/>
      </c>
      <c r="Q125" s="50"/>
      <c r="R125" s="1"/>
      <c r="S125" s="52" t="str">
        <f aca="false">IF($C125="","",SUMIFS(Статистика!$E$7:$E$1006,Статистика!$B$7:$B$1006,"&gt;="&amp;($C125-$D$5),Статистика!$B$7:$B$1006,"&lt;="&amp;($C125-1),Статистика!$C$7:$C$1006,IF($D125="","&lt;&gt;§",$D125),Статистика!$D$7:$D$1006,IF($E125="","&lt;&gt;§",$E125)))</f>
        <v/>
      </c>
      <c r="T125" s="52" t="str">
        <f aca="false">IF($C125="","",SUMIFS(Статистика!$H$7:$H$1006,Статистика!$B$7:$B$1006,"&gt;="&amp;($C125-$D$5),Статистика!$B$7:$B$1006,"&lt;="&amp;($C125-1),Статистика!$C$7:$C$1006,IF($D125="","&lt;&gt;§",$D125),Статистика!$D$7:$D$1006,IF($E125="","&lt;&gt;§",$E125)))</f>
        <v/>
      </c>
      <c r="U125" s="52" t="str">
        <f aca="false">IF($C125="","",SUMIFS(Статистика!$T$7:$T$1006,Статистика!$B$7:$B$1006,"&gt;="&amp;($C125-$D$5),Статистика!$B$7:$B$1006,"&lt;="&amp;($C125-1),Статистика!$C$7:$C$1006,IF($D125="","&lt;&gt;§",$D125),Статистика!$D$7:$D$1006,IF($E125="","&lt;&gt;§",$E125)))</f>
        <v/>
      </c>
      <c r="V125" s="52" t="str">
        <f aca="false">IF($C125="","",SUMIFS(Статистика!$E$7:$E$1006,Статистика!$B$7:$B$1006,"&gt;="&amp;($C125+1),Статистика!$B$7:$B$1006,"&lt;="&amp;($C125+$D$5),Статистика!$C$7:$C$1006,IF($D125="","&lt;&gt;§",$D125),Статистика!$D$7:$D$1006,IF($E125="","&lt;&gt;§",$E125)))</f>
        <v/>
      </c>
      <c r="W125" s="52" t="str">
        <f aca="false">IF($C125="","",SUMIFS(Статистика!$H$7:$H$1006,Статистика!$B$7:$B$1006,"&gt;="&amp;($C125+1),Статистика!$B$7:$B$1006,"&lt;="&amp;($C125+$D$5),Статистика!$C$7:$C$1006,IF($D125="","&lt;&gt;§",$D125),Статистика!$D$7:$D$1006,IF($E125="","&lt;&gt;§",$E125)))</f>
        <v/>
      </c>
      <c r="X125" s="52" t="str">
        <f aca="false">IF($C125="","",SUMIFS(Статистика!$T$7:$T$1006,Статистика!$B$7:$B$1006,"&gt;="&amp;($C125+1),Статистика!$B$7:$B$1006,"&lt;="&amp;($C125+$D$5),Статистика!$C$7:$C$1006,IF($D125="","&lt;&gt;§",$D125),Статистика!$D$7:$D$1006,IF($E125="","&lt;&gt;§",$E125)))</f>
        <v/>
      </c>
      <c r="Y125" s="1"/>
      <c r="Z125" s="1"/>
      <c r="AA125" s="1"/>
      <c r="AB125" s="1"/>
      <c r="AC125" s="1"/>
      <c r="AD125" s="1"/>
    </row>
    <row r="126" customFormat="false" ht="30" hidden="false" customHeight="true" outlineLevel="0" collapsed="false">
      <c r="A126" s="1"/>
      <c r="B126" s="49" t="str">
        <f aca="false">IF($C126="","",ROW()-8)</f>
        <v/>
      </c>
      <c r="C126" s="35"/>
      <c r="D126" s="8"/>
      <c r="E126" s="26"/>
      <c r="F126" s="26"/>
      <c r="G126" s="50"/>
      <c r="H126" s="50"/>
      <c r="I126" s="30" t="str">
        <f aca="false">IF($C126="","",IFERROR(S126/T126,"—"))</f>
        <v/>
      </c>
      <c r="J126" s="30" t="str">
        <f aca="false">IF($C126="","",IFERROR(V126/W126,"—"))</f>
        <v/>
      </c>
      <c r="K126" s="41" t="str">
        <f aca="false">IF($C126="","",IFERROR(J126/I126-1,""))</f>
        <v/>
      </c>
      <c r="L126" s="41" t="str">
        <f aca="false">IF($C126="","",IFERROR((U126-S126)/S126,"—"))</f>
        <v/>
      </c>
      <c r="M126" s="41" t="str">
        <f aca="false">IF($C126="","",IFERROR((X126-V126)/V126,"—"))</f>
        <v/>
      </c>
      <c r="N126" s="39" t="str">
        <f aca="false">IF($C126="","",T126/$D$5)</f>
        <v/>
      </c>
      <c r="O126" s="39" t="str">
        <f aca="false">IF($C126="","",W126/$D$5)</f>
        <v/>
      </c>
      <c r="P126" s="51" t="str">
        <f aca="false">IF($C126="","",IF(MAX(Статистика!$B$7:$B$1006)&lt;$C126+$D$5,"Чекаємо даних",IF(S126=0,"Новий (без бази)",IF(OR(T126=0,W126=0),"Мало даних",IF(K126&lt;=-$F$5,"Покращило",IF(K126&gt;=$F$5,"Погіршило","Без змін"))))))</f>
        <v/>
      </c>
      <c r="Q126" s="50"/>
      <c r="R126" s="1"/>
      <c r="S126" s="52" t="str">
        <f aca="false">IF($C126="","",SUMIFS(Статистика!$E$7:$E$1006,Статистика!$B$7:$B$1006,"&gt;="&amp;($C126-$D$5),Статистика!$B$7:$B$1006,"&lt;="&amp;($C126-1),Статистика!$C$7:$C$1006,IF($D126="","&lt;&gt;§",$D126),Статистика!$D$7:$D$1006,IF($E126="","&lt;&gt;§",$E126)))</f>
        <v/>
      </c>
      <c r="T126" s="52" t="str">
        <f aca="false">IF($C126="","",SUMIFS(Статистика!$H$7:$H$1006,Статистика!$B$7:$B$1006,"&gt;="&amp;($C126-$D$5),Статистика!$B$7:$B$1006,"&lt;="&amp;($C126-1),Статистика!$C$7:$C$1006,IF($D126="","&lt;&gt;§",$D126),Статистика!$D$7:$D$1006,IF($E126="","&lt;&gt;§",$E126)))</f>
        <v/>
      </c>
      <c r="U126" s="52" t="str">
        <f aca="false">IF($C126="","",SUMIFS(Статистика!$T$7:$T$1006,Статистика!$B$7:$B$1006,"&gt;="&amp;($C126-$D$5),Статистика!$B$7:$B$1006,"&lt;="&amp;($C126-1),Статистика!$C$7:$C$1006,IF($D126="","&lt;&gt;§",$D126),Статистика!$D$7:$D$1006,IF($E126="","&lt;&gt;§",$E126)))</f>
        <v/>
      </c>
      <c r="V126" s="52" t="str">
        <f aca="false">IF($C126="","",SUMIFS(Статистика!$E$7:$E$1006,Статистика!$B$7:$B$1006,"&gt;="&amp;($C126+1),Статистика!$B$7:$B$1006,"&lt;="&amp;($C126+$D$5),Статистика!$C$7:$C$1006,IF($D126="","&lt;&gt;§",$D126),Статистика!$D$7:$D$1006,IF($E126="","&lt;&gt;§",$E126)))</f>
        <v/>
      </c>
      <c r="W126" s="52" t="str">
        <f aca="false">IF($C126="","",SUMIFS(Статистика!$H$7:$H$1006,Статистика!$B$7:$B$1006,"&gt;="&amp;($C126+1),Статистика!$B$7:$B$1006,"&lt;="&amp;($C126+$D$5),Статистика!$C$7:$C$1006,IF($D126="","&lt;&gt;§",$D126),Статистика!$D$7:$D$1006,IF($E126="","&lt;&gt;§",$E126)))</f>
        <v/>
      </c>
      <c r="X126" s="52" t="str">
        <f aca="false">IF($C126="","",SUMIFS(Статистика!$T$7:$T$1006,Статистика!$B$7:$B$1006,"&gt;="&amp;($C126+1),Статистика!$B$7:$B$1006,"&lt;="&amp;($C126+$D$5),Статистика!$C$7:$C$1006,IF($D126="","&lt;&gt;§",$D126),Статистика!$D$7:$D$1006,IF($E126="","&lt;&gt;§",$E126)))</f>
        <v/>
      </c>
      <c r="Y126" s="1"/>
      <c r="Z126" s="1"/>
      <c r="AA126" s="1"/>
      <c r="AB126" s="1"/>
      <c r="AC126" s="1"/>
      <c r="AD126" s="1"/>
    </row>
    <row r="127" customFormat="false" ht="30" hidden="false" customHeight="true" outlineLevel="0" collapsed="false">
      <c r="A127" s="1"/>
      <c r="B127" s="49" t="str">
        <f aca="false">IF($C127="","",ROW()-8)</f>
        <v/>
      </c>
      <c r="C127" s="35"/>
      <c r="D127" s="8"/>
      <c r="E127" s="26"/>
      <c r="F127" s="26"/>
      <c r="G127" s="50"/>
      <c r="H127" s="50"/>
      <c r="I127" s="30" t="str">
        <f aca="false">IF($C127="","",IFERROR(S127/T127,"—"))</f>
        <v/>
      </c>
      <c r="J127" s="30" t="str">
        <f aca="false">IF($C127="","",IFERROR(V127/W127,"—"))</f>
        <v/>
      </c>
      <c r="K127" s="41" t="str">
        <f aca="false">IF($C127="","",IFERROR(J127/I127-1,""))</f>
        <v/>
      </c>
      <c r="L127" s="41" t="str">
        <f aca="false">IF($C127="","",IFERROR((U127-S127)/S127,"—"))</f>
        <v/>
      </c>
      <c r="M127" s="41" t="str">
        <f aca="false">IF($C127="","",IFERROR((X127-V127)/V127,"—"))</f>
        <v/>
      </c>
      <c r="N127" s="39" t="str">
        <f aca="false">IF($C127="","",T127/$D$5)</f>
        <v/>
      </c>
      <c r="O127" s="39" t="str">
        <f aca="false">IF($C127="","",W127/$D$5)</f>
        <v/>
      </c>
      <c r="P127" s="51" t="str">
        <f aca="false">IF($C127="","",IF(MAX(Статистика!$B$7:$B$1006)&lt;$C127+$D$5,"Чекаємо даних",IF(S127=0,"Новий (без бази)",IF(OR(T127=0,W127=0),"Мало даних",IF(K127&lt;=-$F$5,"Покращило",IF(K127&gt;=$F$5,"Погіршило","Без змін"))))))</f>
        <v/>
      </c>
      <c r="Q127" s="50"/>
      <c r="R127" s="1"/>
      <c r="S127" s="52" t="str">
        <f aca="false">IF($C127="","",SUMIFS(Статистика!$E$7:$E$1006,Статистика!$B$7:$B$1006,"&gt;="&amp;($C127-$D$5),Статистика!$B$7:$B$1006,"&lt;="&amp;($C127-1),Статистика!$C$7:$C$1006,IF($D127="","&lt;&gt;§",$D127),Статистика!$D$7:$D$1006,IF($E127="","&lt;&gt;§",$E127)))</f>
        <v/>
      </c>
      <c r="T127" s="52" t="str">
        <f aca="false">IF($C127="","",SUMIFS(Статистика!$H$7:$H$1006,Статистика!$B$7:$B$1006,"&gt;="&amp;($C127-$D$5),Статистика!$B$7:$B$1006,"&lt;="&amp;($C127-1),Статистика!$C$7:$C$1006,IF($D127="","&lt;&gt;§",$D127),Статистика!$D$7:$D$1006,IF($E127="","&lt;&gt;§",$E127)))</f>
        <v/>
      </c>
      <c r="U127" s="52" t="str">
        <f aca="false">IF($C127="","",SUMIFS(Статистика!$T$7:$T$1006,Статистика!$B$7:$B$1006,"&gt;="&amp;($C127-$D$5),Статистика!$B$7:$B$1006,"&lt;="&amp;($C127-1),Статистика!$C$7:$C$1006,IF($D127="","&lt;&gt;§",$D127),Статистика!$D$7:$D$1006,IF($E127="","&lt;&gt;§",$E127)))</f>
        <v/>
      </c>
      <c r="V127" s="52" t="str">
        <f aca="false">IF($C127="","",SUMIFS(Статистика!$E$7:$E$1006,Статистика!$B$7:$B$1006,"&gt;="&amp;($C127+1),Статистика!$B$7:$B$1006,"&lt;="&amp;($C127+$D$5),Статистика!$C$7:$C$1006,IF($D127="","&lt;&gt;§",$D127),Статистика!$D$7:$D$1006,IF($E127="","&lt;&gt;§",$E127)))</f>
        <v/>
      </c>
      <c r="W127" s="52" t="str">
        <f aca="false">IF($C127="","",SUMIFS(Статистика!$H$7:$H$1006,Статистика!$B$7:$B$1006,"&gt;="&amp;($C127+1),Статистика!$B$7:$B$1006,"&lt;="&amp;($C127+$D$5),Статистика!$C$7:$C$1006,IF($D127="","&lt;&gt;§",$D127),Статистика!$D$7:$D$1006,IF($E127="","&lt;&gt;§",$E127)))</f>
        <v/>
      </c>
      <c r="X127" s="52" t="str">
        <f aca="false">IF($C127="","",SUMIFS(Статистика!$T$7:$T$1006,Статистика!$B$7:$B$1006,"&gt;="&amp;($C127+1),Статистика!$B$7:$B$1006,"&lt;="&amp;($C127+$D$5),Статистика!$C$7:$C$1006,IF($D127="","&lt;&gt;§",$D127),Статистика!$D$7:$D$1006,IF($E127="","&lt;&gt;§",$E127)))</f>
        <v/>
      </c>
      <c r="Y127" s="1"/>
      <c r="Z127" s="1"/>
      <c r="AA127" s="1"/>
      <c r="AB127" s="1"/>
      <c r="AC127" s="1"/>
      <c r="AD127" s="1"/>
    </row>
    <row r="128" customFormat="false" ht="30" hidden="false" customHeight="true" outlineLevel="0" collapsed="false">
      <c r="A128" s="1"/>
      <c r="B128" s="49" t="str">
        <f aca="false">IF($C128="","",ROW()-8)</f>
        <v/>
      </c>
      <c r="C128" s="35"/>
      <c r="D128" s="8"/>
      <c r="E128" s="26"/>
      <c r="F128" s="26"/>
      <c r="G128" s="50"/>
      <c r="H128" s="50"/>
      <c r="I128" s="30" t="str">
        <f aca="false">IF($C128="","",IFERROR(S128/T128,"—"))</f>
        <v/>
      </c>
      <c r="J128" s="30" t="str">
        <f aca="false">IF($C128="","",IFERROR(V128/W128,"—"))</f>
        <v/>
      </c>
      <c r="K128" s="41" t="str">
        <f aca="false">IF($C128="","",IFERROR(J128/I128-1,""))</f>
        <v/>
      </c>
      <c r="L128" s="41" t="str">
        <f aca="false">IF($C128="","",IFERROR((U128-S128)/S128,"—"))</f>
        <v/>
      </c>
      <c r="M128" s="41" t="str">
        <f aca="false">IF($C128="","",IFERROR((X128-V128)/V128,"—"))</f>
        <v/>
      </c>
      <c r="N128" s="39" t="str">
        <f aca="false">IF($C128="","",T128/$D$5)</f>
        <v/>
      </c>
      <c r="O128" s="39" t="str">
        <f aca="false">IF($C128="","",W128/$D$5)</f>
        <v/>
      </c>
      <c r="P128" s="51" t="str">
        <f aca="false">IF($C128="","",IF(MAX(Статистика!$B$7:$B$1006)&lt;$C128+$D$5,"Чекаємо даних",IF(S128=0,"Новий (без бази)",IF(OR(T128=0,W128=0),"Мало даних",IF(K128&lt;=-$F$5,"Покращило",IF(K128&gt;=$F$5,"Погіршило","Без змін"))))))</f>
        <v/>
      </c>
      <c r="Q128" s="50"/>
      <c r="R128" s="1"/>
      <c r="S128" s="52" t="str">
        <f aca="false">IF($C128="","",SUMIFS(Статистика!$E$7:$E$1006,Статистика!$B$7:$B$1006,"&gt;="&amp;($C128-$D$5),Статистика!$B$7:$B$1006,"&lt;="&amp;($C128-1),Статистика!$C$7:$C$1006,IF($D128="","&lt;&gt;§",$D128),Статистика!$D$7:$D$1006,IF($E128="","&lt;&gt;§",$E128)))</f>
        <v/>
      </c>
      <c r="T128" s="52" t="str">
        <f aca="false">IF($C128="","",SUMIFS(Статистика!$H$7:$H$1006,Статистика!$B$7:$B$1006,"&gt;="&amp;($C128-$D$5),Статистика!$B$7:$B$1006,"&lt;="&amp;($C128-1),Статистика!$C$7:$C$1006,IF($D128="","&lt;&gt;§",$D128),Статистика!$D$7:$D$1006,IF($E128="","&lt;&gt;§",$E128)))</f>
        <v/>
      </c>
      <c r="U128" s="52" t="str">
        <f aca="false">IF($C128="","",SUMIFS(Статистика!$T$7:$T$1006,Статистика!$B$7:$B$1006,"&gt;="&amp;($C128-$D$5),Статистика!$B$7:$B$1006,"&lt;="&amp;($C128-1),Статистика!$C$7:$C$1006,IF($D128="","&lt;&gt;§",$D128),Статистика!$D$7:$D$1006,IF($E128="","&lt;&gt;§",$E128)))</f>
        <v/>
      </c>
      <c r="V128" s="52" t="str">
        <f aca="false">IF($C128="","",SUMIFS(Статистика!$E$7:$E$1006,Статистика!$B$7:$B$1006,"&gt;="&amp;($C128+1),Статистика!$B$7:$B$1006,"&lt;="&amp;($C128+$D$5),Статистика!$C$7:$C$1006,IF($D128="","&lt;&gt;§",$D128),Статистика!$D$7:$D$1006,IF($E128="","&lt;&gt;§",$E128)))</f>
        <v/>
      </c>
      <c r="W128" s="52" t="str">
        <f aca="false">IF($C128="","",SUMIFS(Статистика!$H$7:$H$1006,Статистика!$B$7:$B$1006,"&gt;="&amp;($C128+1),Статистика!$B$7:$B$1006,"&lt;="&amp;($C128+$D$5),Статистика!$C$7:$C$1006,IF($D128="","&lt;&gt;§",$D128),Статистика!$D$7:$D$1006,IF($E128="","&lt;&gt;§",$E128)))</f>
        <v/>
      </c>
      <c r="X128" s="52" t="str">
        <f aca="false">IF($C128="","",SUMIFS(Статистика!$T$7:$T$1006,Статистика!$B$7:$B$1006,"&gt;="&amp;($C128+1),Статистика!$B$7:$B$1006,"&lt;="&amp;($C128+$D$5),Статистика!$C$7:$C$1006,IF($D128="","&lt;&gt;§",$D128),Статистика!$D$7:$D$1006,IF($E128="","&lt;&gt;§",$E128)))</f>
        <v/>
      </c>
      <c r="Y128" s="1"/>
      <c r="Z128" s="1"/>
      <c r="AA128" s="1"/>
      <c r="AB128" s="1"/>
      <c r="AC128" s="1"/>
      <c r="AD128" s="1"/>
    </row>
    <row r="129" customFormat="false" ht="30" hidden="false" customHeight="true" outlineLevel="0" collapsed="false">
      <c r="A129" s="1"/>
      <c r="B129" s="49" t="str">
        <f aca="false">IF($C129="","",ROW()-8)</f>
        <v/>
      </c>
      <c r="C129" s="35"/>
      <c r="D129" s="8"/>
      <c r="E129" s="26"/>
      <c r="F129" s="26"/>
      <c r="G129" s="50"/>
      <c r="H129" s="50"/>
      <c r="I129" s="30" t="str">
        <f aca="false">IF($C129="","",IFERROR(S129/T129,"—"))</f>
        <v/>
      </c>
      <c r="J129" s="30" t="str">
        <f aca="false">IF($C129="","",IFERROR(V129/W129,"—"))</f>
        <v/>
      </c>
      <c r="K129" s="41" t="str">
        <f aca="false">IF($C129="","",IFERROR(J129/I129-1,""))</f>
        <v/>
      </c>
      <c r="L129" s="41" t="str">
        <f aca="false">IF($C129="","",IFERROR((U129-S129)/S129,"—"))</f>
        <v/>
      </c>
      <c r="M129" s="41" t="str">
        <f aca="false">IF($C129="","",IFERROR((X129-V129)/V129,"—"))</f>
        <v/>
      </c>
      <c r="N129" s="39" t="str">
        <f aca="false">IF($C129="","",T129/$D$5)</f>
        <v/>
      </c>
      <c r="O129" s="39" t="str">
        <f aca="false">IF($C129="","",W129/$D$5)</f>
        <v/>
      </c>
      <c r="P129" s="51" t="str">
        <f aca="false">IF($C129="","",IF(MAX(Статистика!$B$7:$B$1006)&lt;$C129+$D$5,"Чекаємо даних",IF(S129=0,"Новий (без бази)",IF(OR(T129=0,W129=0),"Мало даних",IF(K129&lt;=-$F$5,"Покращило",IF(K129&gt;=$F$5,"Погіршило","Без змін"))))))</f>
        <v/>
      </c>
      <c r="Q129" s="50"/>
      <c r="R129" s="1"/>
      <c r="S129" s="52" t="str">
        <f aca="false">IF($C129="","",SUMIFS(Статистика!$E$7:$E$1006,Статистика!$B$7:$B$1006,"&gt;="&amp;($C129-$D$5),Статистика!$B$7:$B$1006,"&lt;="&amp;($C129-1),Статистика!$C$7:$C$1006,IF($D129="","&lt;&gt;§",$D129),Статистика!$D$7:$D$1006,IF($E129="","&lt;&gt;§",$E129)))</f>
        <v/>
      </c>
      <c r="T129" s="52" t="str">
        <f aca="false">IF($C129="","",SUMIFS(Статистика!$H$7:$H$1006,Статистика!$B$7:$B$1006,"&gt;="&amp;($C129-$D$5),Статистика!$B$7:$B$1006,"&lt;="&amp;($C129-1),Статистика!$C$7:$C$1006,IF($D129="","&lt;&gt;§",$D129),Статистика!$D$7:$D$1006,IF($E129="","&lt;&gt;§",$E129)))</f>
        <v/>
      </c>
      <c r="U129" s="52" t="str">
        <f aca="false">IF($C129="","",SUMIFS(Статистика!$T$7:$T$1006,Статистика!$B$7:$B$1006,"&gt;="&amp;($C129-$D$5),Статистика!$B$7:$B$1006,"&lt;="&amp;($C129-1),Статистика!$C$7:$C$1006,IF($D129="","&lt;&gt;§",$D129),Статистика!$D$7:$D$1006,IF($E129="","&lt;&gt;§",$E129)))</f>
        <v/>
      </c>
      <c r="V129" s="52" t="str">
        <f aca="false">IF($C129="","",SUMIFS(Статистика!$E$7:$E$1006,Статистика!$B$7:$B$1006,"&gt;="&amp;($C129+1),Статистика!$B$7:$B$1006,"&lt;="&amp;($C129+$D$5),Статистика!$C$7:$C$1006,IF($D129="","&lt;&gt;§",$D129),Статистика!$D$7:$D$1006,IF($E129="","&lt;&gt;§",$E129)))</f>
        <v/>
      </c>
      <c r="W129" s="52" t="str">
        <f aca="false">IF($C129="","",SUMIFS(Статистика!$H$7:$H$1006,Статистика!$B$7:$B$1006,"&gt;="&amp;($C129+1),Статистика!$B$7:$B$1006,"&lt;="&amp;($C129+$D$5),Статистика!$C$7:$C$1006,IF($D129="","&lt;&gt;§",$D129),Статистика!$D$7:$D$1006,IF($E129="","&lt;&gt;§",$E129)))</f>
        <v/>
      </c>
      <c r="X129" s="52" t="str">
        <f aca="false">IF($C129="","",SUMIFS(Статистика!$T$7:$T$1006,Статистика!$B$7:$B$1006,"&gt;="&amp;($C129+1),Статистика!$B$7:$B$1006,"&lt;="&amp;($C129+$D$5),Статистика!$C$7:$C$1006,IF($D129="","&lt;&gt;§",$D129),Статистика!$D$7:$D$1006,IF($E129="","&lt;&gt;§",$E129)))</f>
        <v/>
      </c>
      <c r="Y129" s="1"/>
      <c r="Z129" s="1"/>
      <c r="AA129" s="1"/>
      <c r="AB129" s="1"/>
      <c r="AC129" s="1"/>
      <c r="AD129" s="1"/>
    </row>
    <row r="130" customFormat="false" ht="30" hidden="false" customHeight="true" outlineLevel="0" collapsed="false">
      <c r="A130" s="1"/>
      <c r="B130" s="49" t="str">
        <f aca="false">IF($C130="","",ROW()-8)</f>
        <v/>
      </c>
      <c r="C130" s="35"/>
      <c r="D130" s="8"/>
      <c r="E130" s="26"/>
      <c r="F130" s="26"/>
      <c r="G130" s="50"/>
      <c r="H130" s="50"/>
      <c r="I130" s="30" t="str">
        <f aca="false">IF($C130="","",IFERROR(S130/T130,"—"))</f>
        <v/>
      </c>
      <c r="J130" s="30" t="str">
        <f aca="false">IF($C130="","",IFERROR(V130/W130,"—"))</f>
        <v/>
      </c>
      <c r="K130" s="41" t="str">
        <f aca="false">IF($C130="","",IFERROR(J130/I130-1,""))</f>
        <v/>
      </c>
      <c r="L130" s="41" t="str">
        <f aca="false">IF($C130="","",IFERROR((U130-S130)/S130,"—"))</f>
        <v/>
      </c>
      <c r="M130" s="41" t="str">
        <f aca="false">IF($C130="","",IFERROR((X130-V130)/V130,"—"))</f>
        <v/>
      </c>
      <c r="N130" s="39" t="str">
        <f aca="false">IF($C130="","",T130/$D$5)</f>
        <v/>
      </c>
      <c r="O130" s="39" t="str">
        <f aca="false">IF($C130="","",W130/$D$5)</f>
        <v/>
      </c>
      <c r="P130" s="51" t="str">
        <f aca="false">IF($C130="","",IF(MAX(Статистика!$B$7:$B$1006)&lt;$C130+$D$5,"Чекаємо даних",IF(S130=0,"Новий (без бази)",IF(OR(T130=0,W130=0),"Мало даних",IF(K130&lt;=-$F$5,"Покращило",IF(K130&gt;=$F$5,"Погіршило","Без змін"))))))</f>
        <v/>
      </c>
      <c r="Q130" s="50"/>
      <c r="R130" s="1"/>
      <c r="S130" s="52" t="str">
        <f aca="false">IF($C130="","",SUMIFS(Статистика!$E$7:$E$1006,Статистика!$B$7:$B$1006,"&gt;="&amp;($C130-$D$5),Статистика!$B$7:$B$1006,"&lt;="&amp;($C130-1),Статистика!$C$7:$C$1006,IF($D130="","&lt;&gt;§",$D130),Статистика!$D$7:$D$1006,IF($E130="","&lt;&gt;§",$E130)))</f>
        <v/>
      </c>
      <c r="T130" s="52" t="str">
        <f aca="false">IF($C130="","",SUMIFS(Статистика!$H$7:$H$1006,Статистика!$B$7:$B$1006,"&gt;="&amp;($C130-$D$5),Статистика!$B$7:$B$1006,"&lt;="&amp;($C130-1),Статистика!$C$7:$C$1006,IF($D130="","&lt;&gt;§",$D130),Статистика!$D$7:$D$1006,IF($E130="","&lt;&gt;§",$E130)))</f>
        <v/>
      </c>
      <c r="U130" s="52" t="str">
        <f aca="false">IF($C130="","",SUMIFS(Статистика!$T$7:$T$1006,Статистика!$B$7:$B$1006,"&gt;="&amp;($C130-$D$5),Статистика!$B$7:$B$1006,"&lt;="&amp;($C130-1),Статистика!$C$7:$C$1006,IF($D130="","&lt;&gt;§",$D130),Статистика!$D$7:$D$1006,IF($E130="","&lt;&gt;§",$E130)))</f>
        <v/>
      </c>
      <c r="V130" s="52" t="str">
        <f aca="false">IF($C130="","",SUMIFS(Статистика!$E$7:$E$1006,Статистика!$B$7:$B$1006,"&gt;="&amp;($C130+1),Статистика!$B$7:$B$1006,"&lt;="&amp;($C130+$D$5),Статистика!$C$7:$C$1006,IF($D130="","&lt;&gt;§",$D130),Статистика!$D$7:$D$1006,IF($E130="","&lt;&gt;§",$E130)))</f>
        <v/>
      </c>
      <c r="W130" s="52" t="str">
        <f aca="false">IF($C130="","",SUMIFS(Статистика!$H$7:$H$1006,Статистика!$B$7:$B$1006,"&gt;="&amp;($C130+1),Статистика!$B$7:$B$1006,"&lt;="&amp;($C130+$D$5),Статистика!$C$7:$C$1006,IF($D130="","&lt;&gt;§",$D130),Статистика!$D$7:$D$1006,IF($E130="","&lt;&gt;§",$E130)))</f>
        <v/>
      </c>
      <c r="X130" s="52" t="str">
        <f aca="false">IF($C130="","",SUMIFS(Статистика!$T$7:$T$1006,Статистика!$B$7:$B$1006,"&gt;="&amp;($C130+1),Статистика!$B$7:$B$1006,"&lt;="&amp;($C130+$D$5),Статистика!$C$7:$C$1006,IF($D130="","&lt;&gt;§",$D130),Статистика!$D$7:$D$1006,IF($E130="","&lt;&gt;§",$E130)))</f>
        <v/>
      </c>
      <c r="Y130" s="1"/>
      <c r="Z130" s="1"/>
      <c r="AA130" s="1"/>
      <c r="AB130" s="1"/>
      <c r="AC130" s="1"/>
      <c r="AD130" s="1"/>
    </row>
    <row r="131" customFormat="false" ht="30" hidden="false" customHeight="true" outlineLevel="0" collapsed="false">
      <c r="A131" s="1"/>
      <c r="B131" s="49" t="str">
        <f aca="false">IF($C131="","",ROW()-8)</f>
        <v/>
      </c>
      <c r="C131" s="35"/>
      <c r="D131" s="8"/>
      <c r="E131" s="26"/>
      <c r="F131" s="26"/>
      <c r="G131" s="50"/>
      <c r="H131" s="50"/>
      <c r="I131" s="30" t="str">
        <f aca="false">IF($C131="","",IFERROR(S131/T131,"—"))</f>
        <v/>
      </c>
      <c r="J131" s="30" t="str">
        <f aca="false">IF($C131="","",IFERROR(V131/W131,"—"))</f>
        <v/>
      </c>
      <c r="K131" s="41" t="str">
        <f aca="false">IF($C131="","",IFERROR(J131/I131-1,""))</f>
        <v/>
      </c>
      <c r="L131" s="41" t="str">
        <f aca="false">IF($C131="","",IFERROR((U131-S131)/S131,"—"))</f>
        <v/>
      </c>
      <c r="M131" s="41" t="str">
        <f aca="false">IF($C131="","",IFERROR((X131-V131)/V131,"—"))</f>
        <v/>
      </c>
      <c r="N131" s="39" t="str">
        <f aca="false">IF($C131="","",T131/$D$5)</f>
        <v/>
      </c>
      <c r="O131" s="39" t="str">
        <f aca="false">IF($C131="","",W131/$D$5)</f>
        <v/>
      </c>
      <c r="P131" s="51" t="str">
        <f aca="false">IF($C131="","",IF(MAX(Статистика!$B$7:$B$1006)&lt;$C131+$D$5,"Чекаємо даних",IF(S131=0,"Новий (без бази)",IF(OR(T131=0,W131=0),"Мало даних",IF(K131&lt;=-$F$5,"Покращило",IF(K131&gt;=$F$5,"Погіршило","Без змін"))))))</f>
        <v/>
      </c>
      <c r="Q131" s="50"/>
      <c r="R131" s="1"/>
      <c r="S131" s="52" t="str">
        <f aca="false">IF($C131="","",SUMIFS(Статистика!$E$7:$E$1006,Статистика!$B$7:$B$1006,"&gt;="&amp;($C131-$D$5),Статистика!$B$7:$B$1006,"&lt;="&amp;($C131-1),Статистика!$C$7:$C$1006,IF($D131="","&lt;&gt;§",$D131),Статистика!$D$7:$D$1006,IF($E131="","&lt;&gt;§",$E131)))</f>
        <v/>
      </c>
      <c r="T131" s="52" t="str">
        <f aca="false">IF($C131="","",SUMIFS(Статистика!$H$7:$H$1006,Статистика!$B$7:$B$1006,"&gt;="&amp;($C131-$D$5),Статистика!$B$7:$B$1006,"&lt;="&amp;($C131-1),Статистика!$C$7:$C$1006,IF($D131="","&lt;&gt;§",$D131),Статистика!$D$7:$D$1006,IF($E131="","&lt;&gt;§",$E131)))</f>
        <v/>
      </c>
      <c r="U131" s="52" t="str">
        <f aca="false">IF($C131="","",SUMIFS(Статистика!$T$7:$T$1006,Статистика!$B$7:$B$1006,"&gt;="&amp;($C131-$D$5),Статистика!$B$7:$B$1006,"&lt;="&amp;($C131-1),Статистика!$C$7:$C$1006,IF($D131="","&lt;&gt;§",$D131),Статистика!$D$7:$D$1006,IF($E131="","&lt;&gt;§",$E131)))</f>
        <v/>
      </c>
      <c r="V131" s="52" t="str">
        <f aca="false">IF($C131="","",SUMIFS(Статистика!$E$7:$E$1006,Статистика!$B$7:$B$1006,"&gt;="&amp;($C131+1),Статистика!$B$7:$B$1006,"&lt;="&amp;($C131+$D$5),Статистика!$C$7:$C$1006,IF($D131="","&lt;&gt;§",$D131),Статистика!$D$7:$D$1006,IF($E131="","&lt;&gt;§",$E131)))</f>
        <v/>
      </c>
      <c r="W131" s="52" t="str">
        <f aca="false">IF($C131="","",SUMIFS(Статистика!$H$7:$H$1006,Статистика!$B$7:$B$1006,"&gt;="&amp;($C131+1),Статистика!$B$7:$B$1006,"&lt;="&amp;($C131+$D$5),Статистика!$C$7:$C$1006,IF($D131="","&lt;&gt;§",$D131),Статистика!$D$7:$D$1006,IF($E131="","&lt;&gt;§",$E131)))</f>
        <v/>
      </c>
      <c r="X131" s="52" t="str">
        <f aca="false">IF($C131="","",SUMIFS(Статистика!$T$7:$T$1006,Статистика!$B$7:$B$1006,"&gt;="&amp;($C131+1),Статистика!$B$7:$B$1006,"&lt;="&amp;($C131+$D$5),Статистика!$C$7:$C$1006,IF($D131="","&lt;&gt;§",$D131),Статистика!$D$7:$D$1006,IF($E131="","&lt;&gt;§",$E131)))</f>
        <v/>
      </c>
      <c r="Y131" s="1"/>
      <c r="Z131" s="1"/>
      <c r="AA131" s="1"/>
      <c r="AB131" s="1"/>
      <c r="AC131" s="1"/>
      <c r="AD131" s="1"/>
    </row>
    <row r="132" customFormat="false" ht="30" hidden="false" customHeight="true" outlineLevel="0" collapsed="false">
      <c r="A132" s="1"/>
      <c r="B132" s="49" t="str">
        <f aca="false">IF($C132="","",ROW()-8)</f>
        <v/>
      </c>
      <c r="C132" s="35"/>
      <c r="D132" s="8"/>
      <c r="E132" s="26"/>
      <c r="F132" s="26"/>
      <c r="G132" s="50"/>
      <c r="H132" s="50"/>
      <c r="I132" s="30" t="str">
        <f aca="false">IF($C132="","",IFERROR(S132/T132,"—"))</f>
        <v/>
      </c>
      <c r="J132" s="30" t="str">
        <f aca="false">IF($C132="","",IFERROR(V132/W132,"—"))</f>
        <v/>
      </c>
      <c r="K132" s="41" t="str">
        <f aca="false">IF($C132="","",IFERROR(J132/I132-1,""))</f>
        <v/>
      </c>
      <c r="L132" s="41" t="str">
        <f aca="false">IF($C132="","",IFERROR((U132-S132)/S132,"—"))</f>
        <v/>
      </c>
      <c r="M132" s="41" t="str">
        <f aca="false">IF($C132="","",IFERROR((X132-V132)/V132,"—"))</f>
        <v/>
      </c>
      <c r="N132" s="39" t="str">
        <f aca="false">IF($C132="","",T132/$D$5)</f>
        <v/>
      </c>
      <c r="O132" s="39" t="str">
        <f aca="false">IF($C132="","",W132/$D$5)</f>
        <v/>
      </c>
      <c r="P132" s="51" t="str">
        <f aca="false">IF($C132="","",IF(MAX(Статистика!$B$7:$B$1006)&lt;$C132+$D$5,"Чекаємо даних",IF(S132=0,"Новий (без бази)",IF(OR(T132=0,W132=0),"Мало даних",IF(K132&lt;=-$F$5,"Покращило",IF(K132&gt;=$F$5,"Погіршило","Без змін"))))))</f>
        <v/>
      </c>
      <c r="Q132" s="50"/>
      <c r="R132" s="1"/>
      <c r="S132" s="52" t="str">
        <f aca="false">IF($C132="","",SUMIFS(Статистика!$E$7:$E$1006,Статистика!$B$7:$B$1006,"&gt;="&amp;($C132-$D$5),Статистика!$B$7:$B$1006,"&lt;="&amp;($C132-1),Статистика!$C$7:$C$1006,IF($D132="","&lt;&gt;§",$D132),Статистика!$D$7:$D$1006,IF($E132="","&lt;&gt;§",$E132)))</f>
        <v/>
      </c>
      <c r="T132" s="52" t="str">
        <f aca="false">IF($C132="","",SUMIFS(Статистика!$H$7:$H$1006,Статистика!$B$7:$B$1006,"&gt;="&amp;($C132-$D$5),Статистика!$B$7:$B$1006,"&lt;="&amp;($C132-1),Статистика!$C$7:$C$1006,IF($D132="","&lt;&gt;§",$D132),Статистика!$D$7:$D$1006,IF($E132="","&lt;&gt;§",$E132)))</f>
        <v/>
      </c>
      <c r="U132" s="52" t="str">
        <f aca="false">IF($C132="","",SUMIFS(Статистика!$T$7:$T$1006,Статистика!$B$7:$B$1006,"&gt;="&amp;($C132-$D$5),Статистика!$B$7:$B$1006,"&lt;="&amp;($C132-1),Статистика!$C$7:$C$1006,IF($D132="","&lt;&gt;§",$D132),Статистика!$D$7:$D$1006,IF($E132="","&lt;&gt;§",$E132)))</f>
        <v/>
      </c>
      <c r="V132" s="52" t="str">
        <f aca="false">IF($C132="","",SUMIFS(Статистика!$E$7:$E$1006,Статистика!$B$7:$B$1006,"&gt;="&amp;($C132+1),Статистика!$B$7:$B$1006,"&lt;="&amp;($C132+$D$5),Статистика!$C$7:$C$1006,IF($D132="","&lt;&gt;§",$D132),Статистика!$D$7:$D$1006,IF($E132="","&lt;&gt;§",$E132)))</f>
        <v/>
      </c>
      <c r="W132" s="52" t="str">
        <f aca="false">IF($C132="","",SUMIFS(Статистика!$H$7:$H$1006,Статистика!$B$7:$B$1006,"&gt;="&amp;($C132+1),Статистика!$B$7:$B$1006,"&lt;="&amp;($C132+$D$5),Статистика!$C$7:$C$1006,IF($D132="","&lt;&gt;§",$D132),Статистика!$D$7:$D$1006,IF($E132="","&lt;&gt;§",$E132)))</f>
        <v/>
      </c>
      <c r="X132" s="52" t="str">
        <f aca="false">IF($C132="","",SUMIFS(Статистика!$T$7:$T$1006,Статистика!$B$7:$B$1006,"&gt;="&amp;($C132+1),Статистика!$B$7:$B$1006,"&lt;="&amp;($C132+$D$5),Статистика!$C$7:$C$1006,IF($D132="","&lt;&gt;§",$D132),Статистика!$D$7:$D$1006,IF($E132="","&lt;&gt;§",$E132)))</f>
        <v/>
      </c>
      <c r="Y132" s="1"/>
      <c r="Z132" s="1"/>
      <c r="AA132" s="1"/>
      <c r="AB132" s="1"/>
      <c r="AC132" s="1"/>
      <c r="AD132" s="1"/>
    </row>
    <row r="133" customFormat="false" ht="30" hidden="false" customHeight="true" outlineLevel="0" collapsed="false">
      <c r="A133" s="1"/>
      <c r="B133" s="49" t="str">
        <f aca="false">IF($C133="","",ROW()-8)</f>
        <v/>
      </c>
      <c r="C133" s="35"/>
      <c r="D133" s="8"/>
      <c r="E133" s="26"/>
      <c r="F133" s="26"/>
      <c r="G133" s="50"/>
      <c r="H133" s="50"/>
      <c r="I133" s="30" t="str">
        <f aca="false">IF($C133="","",IFERROR(S133/T133,"—"))</f>
        <v/>
      </c>
      <c r="J133" s="30" t="str">
        <f aca="false">IF($C133="","",IFERROR(V133/W133,"—"))</f>
        <v/>
      </c>
      <c r="K133" s="41" t="str">
        <f aca="false">IF($C133="","",IFERROR(J133/I133-1,""))</f>
        <v/>
      </c>
      <c r="L133" s="41" t="str">
        <f aca="false">IF($C133="","",IFERROR((U133-S133)/S133,"—"))</f>
        <v/>
      </c>
      <c r="M133" s="41" t="str">
        <f aca="false">IF($C133="","",IFERROR((X133-V133)/V133,"—"))</f>
        <v/>
      </c>
      <c r="N133" s="39" t="str">
        <f aca="false">IF($C133="","",T133/$D$5)</f>
        <v/>
      </c>
      <c r="O133" s="39" t="str">
        <f aca="false">IF($C133="","",W133/$D$5)</f>
        <v/>
      </c>
      <c r="P133" s="51" t="str">
        <f aca="false">IF($C133="","",IF(MAX(Статистика!$B$7:$B$1006)&lt;$C133+$D$5,"Чекаємо даних",IF(S133=0,"Новий (без бази)",IF(OR(T133=0,W133=0),"Мало даних",IF(K133&lt;=-$F$5,"Покращило",IF(K133&gt;=$F$5,"Погіршило","Без змін"))))))</f>
        <v/>
      </c>
      <c r="Q133" s="50"/>
      <c r="R133" s="1"/>
      <c r="S133" s="52" t="str">
        <f aca="false">IF($C133="","",SUMIFS(Статистика!$E$7:$E$1006,Статистика!$B$7:$B$1006,"&gt;="&amp;($C133-$D$5),Статистика!$B$7:$B$1006,"&lt;="&amp;($C133-1),Статистика!$C$7:$C$1006,IF($D133="","&lt;&gt;§",$D133),Статистика!$D$7:$D$1006,IF($E133="","&lt;&gt;§",$E133)))</f>
        <v/>
      </c>
      <c r="T133" s="52" t="str">
        <f aca="false">IF($C133="","",SUMIFS(Статистика!$H$7:$H$1006,Статистика!$B$7:$B$1006,"&gt;="&amp;($C133-$D$5),Статистика!$B$7:$B$1006,"&lt;="&amp;($C133-1),Статистика!$C$7:$C$1006,IF($D133="","&lt;&gt;§",$D133),Статистика!$D$7:$D$1006,IF($E133="","&lt;&gt;§",$E133)))</f>
        <v/>
      </c>
      <c r="U133" s="52" t="str">
        <f aca="false">IF($C133="","",SUMIFS(Статистика!$T$7:$T$1006,Статистика!$B$7:$B$1006,"&gt;="&amp;($C133-$D$5),Статистика!$B$7:$B$1006,"&lt;="&amp;($C133-1),Статистика!$C$7:$C$1006,IF($D133="","&lt;&gt;§",$D133),Статистика!$D$7:$D$1006,IF($E133="","&lt;&gt;§",$E133)))</f>
        <v/>
      </c>
      <c r="V133" s="52" t="str">
        <f aca="false">IF($C133="","",SUMIFS(Статистика!$E$7:$E$1006,Статистика!$B$7:$B$1006,"&gt;="&amp;($C133+1),Статистика!$B$7:$B$1006,"&lt;="&amp;($C133+$D$5),Статистика!$C$7:$C$1006,IF($D133="","&lt;&gt;§",$D133),Статистика!$D$7:$D$1006,IF($E133="","&lt;&gt;§",$E133)))</f>
        <v/>
      </c>
      <c r="W133" s="52" t="str">
        <f aca="false">IF($C133="","",SUMIFS(Статистика!$H$7:$H$1006,Статистика!$B$7:$B$1006,"&gt;="&amp;($C133+1),Статистика!$B$7:$B$1006,"&lt;="&amp;($C133+$D$5),Статистика!$C$7:$C$1006,IF($D133="","&lt;&gt;§",$D133),Статистика!$D$7:$D$1006,IF($E133="","&lt;&gt;§",$E133)))</f>
        <v/>
      </c>
      <c r="X133" s="52" t="str">
        <f aca="false">IF($C133="","",SUMIFS(Статистика!$T$7:$T$1006,Статистика!$B$7:$B$1006,"&gt;="&amp;($C133+1),Статистика!$B$7:$B$1006,"&lt;="&amp;($C133+$D$5),Статистика!$C$7:$C$1006,IF($D133="","&lt;&gt;§",$D133),Статистика!$D$7:$D$1006,IF($E133="","&lt;&gt;§",$E133)))</f>
        <v/>
      </c>
      <c r="Y133" s="1"/>
      <c r="Z133" s="1"/>
      <c r="AA133" s="1"/>
      <c r="AB133" s="1"/>
      <c r="AC133" s="1"/>
      <c r="AD133" s="1"/>
    </row>
    <row r="134" customFormat="false" ht="30" hidden="false" customHeight="true" outlineLevel="0" collapsed="false">
      <c r="A134" s="1"/>
      <c r="B134" s="49" t="str">
        <f aca="false">IF($C134="","",ROW()-8)</f>
        <v/>
      </c>
      <c r="C134" s="35"/>
      <c r="D134" s="8"/>
      <c r="E134" s="26"/>
      <c r="F134" s="26"/>
      <c r="G134" s="50"/>
      <c r="H134" s="50"/>
      <c r="I134" s="30" t="str">
        <f aca="false">IF($C134="","",IFERROR(S134/T134,"—"))</f>
        <v/>
      </c>
      <c r="J134" s="30" t="str">
        <f aca="false">IF($C134="","",IFERROR(V134/W134,"—"))</f>
        <v/>
      </c>
      <c r="K134" s="41" t="str">
        <f aca="false">IF($C134="","",IFERROR(J134/I134-1,""))</f>
        <v/>
      </c>
      <c r="L134" s="41" t="str">
        <f aca="false">IF($C134="","",IFERROR((U134-S134)/S134,"—"))</f>
        <v/>
      </c>
      <c r="M134" s="41" t="str">
        <f aca="false">IF($C134="","",IFERROR((X134-V134)/V134,"—"))</f>
        <v/>
      </c>
      <c r="N134" s="39" t="str">
        <f aca="false">IF($C134="","",T134/$D$5)</f>
        <v/>
      </c>
      <c r="O134" s="39" t="str">
        <f aca="false">IF($C134="","",W134/$D$5)</f>
        <v/>
      </c>
      <c r="P134" s="51" t="str">
        <f aca="false">IF($C134="","",IF(MAX(Статистика!$B$7:$B$1006)&lt;$C134+$D$5,"Чекаємо даних",IF(S134=0,"Новий (без бази)",IF(OR(T134=0,W134=0),"Мало даних",IF(K134&lt;=-$F$5,"Покращило",IF(K134&gt;=$F$5,"Погіршило","Без змін"))))))</f>
        <v/>
      </c>
      <c r="Q134" s="50"/>
      <c r="R134" s="1"/>
      <c r="S134" s="52" t="str">
        <f aca="false">IF($C134="","",SUMIFS(Статистика!$E$7:$E$1006,Статистика!$B$7:$B$1006,"&gt;="&amp;($C134-$D$5),Статистика!$B$7:$B$1006,"&lt;="&amp;($C134-1),Статистика!$C$7:$C$1006,IF($D134="","&lt;&gt;§",$D134),Статистика!$D$7:$D$1006,IF($E134="","&lt;&gt;§",$E134)))</f>
        <v/>
      </c>
      <c r="T134" s="52" t="str">
        <f aca="false">IF($C134="","",SUMIFS(Статистика!$H$7:$H$1006,Статистика!$B$7:$B$1006,"&gt;="&amp;($C134-$D$5),Статистика!$B$7:$B$1006,"&lt;="&amp;($C134-1),Статистика!$C$7:$C$1006,IF($D134="","&lt;&gt;§",$D134),Статистика!$D$7:$D$1006,IF($E134="","&lt;&gt;§",$E134)))</f>
        <v/>
      </c>
      <c r="U134" s="52" t="str">
        <f aca="false">IF($C134="","",SUMIFS(Статистика!$T$7:$T$1006,Статистика!$B$7:$B$1006,"&gt;="&amp;($C134-$D$5),Статистика!$B$7:$B$1006,"&lt;="&amp;($C134-1),Статистика!$C$7:$C$1006,IF($D134="","&lt;&gt;§",$D134),Статистика!$D$7:$D$1006,IF($E134="","&lt;&gt;§",$E134)))</f>
        <v/>
      </c>
      <c r="V134" s="52" t="str">
        <f aca="false">IF($C134="","",SUMIFS(Статистика!$E$7:$E$1006,Статистика!$B$7:$B$1006,"&gt;="&amp;($C134+1),Статистика!$B$7:$B$1006,"&lt;="&amp;($C134+$D$5),Статистика!$C$7:$C$1006,IF($D134="","&lt;&gt;§",$D134),Статистика!$D$7:$D$1006,IF($E134="","&lt;&gt;§",$E134)))</f>
        <v/>
      </c>
      <c r="W134" s="52" t="str">
        <f aca="false">IF($C134="","",SUMIFS(Статистика!$H$7:$H$1006,Статистика!$B$7:$B$1006,"&gt;="&amp;($C134+1),Статистика!$B$7:$B$1006,"&lt;="&amp;($C134+$D$5),Статистика!$C$7:$C$1006,IF($D134="","&lt;&gt;§",$D134),Статистика!$D$7:$D$1006,IF($E134="","&lt;&gt;§",$E134)))</f>
        <v/>
      </c>
      <c r="X134" s="52" t="str">
        <f aca="false">IF($C134="","",SUMIFS(Статистика!$T$7:$T$1006,Статистика!$B$7:$B$1006,"&gt;="&amp;($C134+1),Статистика!$B$7:$B$1006,"&lt;="&amp;($C134+$D$5),Статистика!$C$7:$C$1006,IF($D134="","&lt;&gt;§",$D134),Статистика!$D$7:$D$1006,IF($E134="","&lt;&gt;§",$E134)))</f>
        <v/>
      </c>
      <c r="Y134" s="1"/>
      <c r="Z134" s="1"/>
      <c r="AA134" s="1"/>
      <c r="AB134" s="1"/>
      <c r="AC134" s="1"/>
      <c r="AD134" s="1"/>
    </row>
    <row r="135" customFormat="false" ht="30" hidden="false" customHeight="true" outlineLevel="0" collapsed="false">
      <c r="A135" s="1"/>
      <c r="B135" s="49" t="str">
        <f aca="false">IF($C135="","",ROW()-8)</f>
        <v/>
      </c>
      <c r="C135" s="35"/>
      <c r="D135" s="8"/>
      <c r="E135" s="26"/>
      <c r="F135" s="26"/>
      <c r="G135" s="50"/>
      <c r="H135" s="50"/>
      <c r="I135" s="30" t="str">
        <f aca="false">IF($C135="","",IFERROR(S135/T135,"—"))</f>
        <v/>
      </c>
      <c r="J135" s="30" t="str">
        <f aca="false">IF($C135="","",IFERROR(V135/W135,"—"))</f>
        <v/>
      </c>
      <c r="K135" s="41" t="str">
        <f aca="false">IF($C135="","",IFERROR(J135/I135-1,""))</f>
        <v/>
      </c>
      <c r="L135" s="41" t="str">
        <f aca="false">IF($C135="","",IFERROR((U135-S135)/S135,"—"))</f>
        <v/>
      </c>
      <c r="M135" s="41" t="str">
        <f aca="false">IF($C135="","",IFERROR((X135-V135)/V135,"—"))</f>
        <v/>
      </c>
      <c r="N135" s="39" t="str">
        <f aca="false">IF($C135="","",T135/$D$5)</f>
        <v/>
      </c>
      <c r="O135" s="39" t="str">
        <f aca="false">IF($C135="","",W135/$D$5)</f>
        <v/>
      </c>
      <c r="P135" s="51" t="str">
        <f aca="false">IF($C135="","",IF(MAX(Статистика!$B$7:$B$1006)&lt;$C135+$D$5,"Чекаємо даних",IF(S135=0,"Новий (без бази)",IF(OR(T135=0,W135=0),"Мало даних",IF(K135&lt;=-$F$5,"Покращило",IF(K135&gt;=$F$5,"Погіршило","Без змін"))))))</f>
        <v/>
      </c>
      <c r="Q135" s="50"/>
      <c r="R135" s="1"/>
      <c r="S135" s="52" t="str">
        <f aca="false">IF($C135="","",SUMIFS(Статистика!$E$7:$E$1006,Статистика!$B$7:$B$1006,"&gt;="&amp;($C135-$D$5),Статистика!$B$7:$B$1006,"&lt;="&amp;($C135-1),Статистика!$C$7:$C$1006,IF($D135="","&lt;&gt;§",$D135),Статистика!$D$7:$D$1006,IF($E135="","&lt;&gt;§",$E135)))</f>
        <v/>
      </c>
      <c r="T135" s="52" t="str">
        <f aca="false">IF($C135="","",SUMIFS(Статистика!$H$7:$H$1006,Статистика!$B$7:$B$1006,"&gt;="&amp;($C135-$D$5),Статистика!$B$7:$B$1006,"&lt;="&amp;($C135-1),Статистика!$C$7:$C$1006,IF($D135="","&lt;&gt;§",$D135),Статистика!$D$7:$D$1006,IF($E135="","&lt;&gt;§",$E135)))</f>
        <v/>
      </c>
      <c r="U135" s="52" t="str">
        <f aca="false">IF($C135="","",SUMIFS(Статистика!$T$7:$T$1006,Статистика!$B$7:$B$1006,"&gt;="&amp;($C135-$D$5),Статистика!$B$7:$B$1006,"&lt;="&amp;($C135-1),Статистика!$C$7:$C$1006,IF($D135="","&lt;&gt;§",$D135),Статистика!$D$7:$D$1006,IF($E135="","&lt;&gt;§",$E135)))</f>
        <v/>
      </c>
      <c r="V135" s="52" t="str">
        <f aca="false">IF($C135="","",SUMIFS(Статистика!$E$7:$E$1006,Статистика!$B$7:$B$1006,"&gt;="&amp;($C135+1),Статистика!$B$7:$B$1006,"&lt;="&amp;($C135+$D$5),Статистика!$C$7:$C$1006,IF($D135="","&lt;&gt;§",$D135),Статистика!$D$7:$D$1006,IF($E135="","&lt;&gt;§",$E135)))</f>
        <v/>
      </c>
      <c r="W135" s="52" t="str">
        <f aca="false">IF($C135="","",SUMIFS(Статистика!$H$7:$H$1006,Статистика!$B$7:$B$1006,"&gt;="&amp;($C135+1),Статистика!$B$7:$B$1006,"&lt;="&amp;($C135+$D$5),Статистика!$C$7:$C$1006,IF($D135="","&lt;&gt;§",$D135),Статистика!$D$7:$D$1006,IF($E135="","&lt;&gt;§",$E135)))</f>
        <v/>
      </c>
      <c r="X135" s="52" t="str">
        <f aca="false">IF($C135="","",SUMIFS(Статистика!$T$7:$T$1006,Статистика!$B$7:$B$1006,"&gt;="&amp;($C135+1),Статистика!$B$7:$B$1006,"&lt;="&amp;($C135+$D$5),Статистика!$C$7:$C$1006,IF($D135="","&lt;&gt;§",$D135),Статистика!$D$7:$D$1006,IF($E135="","&lt;&gt;§",$E135)))</f>
        <v/>
      </c>
      <c r="Y135" s="1"/>
      <c r="Z135" s="1"/>
      <c r="AA135" s="1"/>
      <c r="AB135" s="1"/>
      <c r="AC135" s="1"/>
      <c r="AD135" s="1"/>
    </row>
    <row r="136" customFormat="false" ht="30" hidden="false" customHeight="true" outlineLevel="0" collapsed="false">
      <c r="A136" s="1"/>
      <c r="B136" s="49" t="str">
        <f aca="false">IF($C136="","",ROW()-8)</f>
        <v/>
      </c>
      <c r="C136" s="35"/>
      <c r="D136" s="8"/>
      <c r="E136" s="26"/>
      <c r="F136" s="26"/>
      <c r="G136" s="50"/>
      <c r="H136" s="50"/>
      <c r="I136" s="30" t="str">
        <f aca="false">IF($C136="","",IFERROR(S136/T136,"—"))</f>
        <v/>
      </c>
      <c r="J136" s="30" t="str">
        <f aca="false">IF($C136="","",IFERROR(V136/W136,"—"))</f>
        <v/>
      </c>
      <c r="K136" s="41" t="str">
        <f aca="false">IF($C136="","",IFERROR(J136/I136-1,""))</f>
        <v/>
      </c>
      <c r="L136" s="41" t="str">
        <f aca="false">IF($C136="","",IFERROR((U136-S136)/S136,"—"))</f>
        <v/>
      </c>
      <c r="M136" s="41" t="str">
        <f aca="false">IF($C136="","",IFERROR((X136-V136)/V136,"—"))</f>
        <v/>
      </c>
      <c r="N136" s="39" t="str">
        <f aca="false">IF($C136="","",T136/$D$5)</f>
        <v/>
      </c>
      <c r="O136" s="39" t="str">
        <f aca="false">IF($C136="","",W136/$D$5)</f>
        <v/>
      </c>
      <c r="P136" s="51" t="str">
        <f aca="false">IF($C136="","",IF(MAX(Статистика!$B$7:$B$1006)&lt;$C136+$D$5,"Чекаємо даних",IF(S136=0,"Новий (без бази)",IF(OR(T136=0,W136=0),"Мало даних",IF(K136&lt;=-$F$5,"Покращило",IF(K136&gt;=$F$5,"Погіршило","Без змін"))))))</f>
        <v/>
      </c>
      <c r="Q136" s="50"/>
      <c r="R136" s="1"/>
      <c r="S136" s="52" t="str">
        <f aca="false">IF($C136="","",SUMIFS(Статистика!$E$7:$E$1006,Статистика!$B$7:$B$1006,"&gt;="&amp;($C136-$D$5),Статистика!$B$7:$B$1006,"&lt;="&amp;($C136-1),Статистика!$C$7:$C$1006,IF($D136="","&lt;&gt;§",$D136),Статистика!$D$7:$D$1006,IF($E136="","&lt;&gt;§",$E136)))</f>
        <v/>
      </c>
      <c r="T136" s="52" t="str">
        <f aca="false">IF($C136="","",SUMIFS(Статистика!$H$7:$H$1006,Статистика!$B$7:$B$1006,"&gt;="&amp;($C136-$D$5),Статистика!$B$7:$B$1006,"&lt;="&amp;($C136-1),Статистика!$C$7:$C$1006,IF($D136="","&lt;&gt;§",$D136),Статистика!$D$7:$D$1006,IF($E136="","&lt;&gt;§",$E136)))</f>
        <v/>
      </c>
      <c r="U136" s="52" t="str">
        <f aca="false">IF($C136="","",SUMIFS(Статистика!$T$7:$T$1006,Статистика!$B$7:$B$1006,"&gt;="&amp;($C136-$D$5),Статистика!$B$7:$B$1006,"&lt;="&amp;($C136-1),Статистика!$C$7:$C$1006,IF($D136="","&lt;&gt;§",$D136),Статистика!$D$7:$D$1006,IF($E136="","&lt;&gt;§",$E136)))</f>
        <v/>
      </c>
      <c r="V136" s="52" t="str">
        <f aca="false">IF($C136="","",SUMIFS(Статистика!$E$7:$E$1006,Статистика!$B$7:$B$1006,"&gt;="&amp;($C136+1),Статистика!$B$7:$B$1006,"&lt;="&amp;($C136+$D$5),Статистика!$C$7:$C$1006,IF($D136="","&lt;&gt;§",$D136),Статистика!$D$7:$D$1006,IF($E136="","&lt;&gt;§",$E136)))</f>
        <v/>
      </c>
      <c r="W136" s="52" t="str">
        <f aca="false">IF($C136="","",SUMIFS(Статистика!$H$7:$H$1006,Статистика!$B$7:$B$1006,"&gt;="&amp;($C136+1),Статистика!$B$7:$B$1006,"&lt;="&amp;($C136+$D$5),Статистика!$C$7:$C$1006,IF($D136="","&lt;&gt;§",$D136),Статистика!$D$7:$D$1006,IF($E136="","&lt;&gt;§",$E136)))</f>
        <v/>
      </c>
      <c r="X136" s="52" t="str">
        <f aca="false">IF($C136="","",SUMIFS(Статистика!$T$7:$T$1006,Статистика!$B$7:$B$1006,"&gt;="&amp;($C136+1),Статистика!$B$7:$B$1006,"&lt;="&amp;($C136+$D$5),Статистика!$C$7:$C$1006,IF($D136="","&lt;&gt;§",$D136),Статистика!$D$7:$D$1006,IF($E136="","&lt;&gt;§",$E136)))</f>
        <v/>
      </c>
      <c r="Y136" s="1"/>
      <c r="Z136" s="1"/>
      <c r="AA136" s="1"/>
      <c r="AB136" s="1"/>
      <c r="AC136" s="1"/>
      <c r="AD136" s="1"/>
    </row>
    <row r="137" customFormat="false" ht="30" hidden="false" customHeight="true" outlineLevel="0" collapsed="false">
      <c r="A137" s="1"/>
      <c r="B137" s="49" t="str">
        <f aca="false">IF($C137="","",ROW()-8)</f>
        <v/>
      </c>
      <c r="C137" s="35"/>
      <c r="D137" s="8"/>
      <c r="E137" s="26"/>
      <c r="F137" s="26"/>
      <c r="G137" s="50"/>
      <c r="H137" s="50"/>
      <c r="I137" s="30" t="str">
        <f aca="false">IF($C137="","",IFERROR(S137/T137,"—"))</f>
        <v/>
      </c>
      <c r="J137" s="30" t="str">
        <f aca="false">IF($C137="","",IFERROR(V137/W137,"—"))</f>
        <v/>
      </c>
      <c r="K137" s="41" t="str">
        <f aca="false">IF($C137="","",IFERROR(J137/I137-1,""))</f>
        <v/>
      </c>
      <c r="L137" s="41" t="str">
        <f aca="false">IF($C137="","",IFERROR((U137-S137)/S137,"—"))</f>
        <v/>
      </c>
      <c r="M137" s="41" t="str">
        <f aca="false">IF($C137="","",IFERROR((X137-V137)/V137,"—"))</f>
        <v/>
      </c>
      <c r="N137" s="39" t="str">
        <f aca="false">IF($C137="","",T137/$D$5)</f>
        <v/>
      </c>
      <c r="O137" s="39" t="str">
        <f aca="false">IF($C137="","",W137/$D$5)</f>
        <v/>
      </c>
      <c r="P137" s="51" t="str">
        <f aca="false">IF($C137="","",IF(MAX(Статистика!$B$7:$B$1006)&lt;$C137+$D$5,"Чекаємо даних",IF(S137=0,"Новий (без бази)",IF(OR(T137=0,W137=0),"Мало даних",IF(K137&lt;=-$F$5,"Покращило",IF(K137&gt;=$F$5,"Погіршило","Без змін"))))))</f>
        <v/>
      </c>
      <c r="Q137" s="50"/>
      <c r="R137" s="1"/>
      <c r="S137" s="52" t="str">
        <f aca="false">IF($C137="","",SUMIFS(Статистика!$E$7:$E$1006,Статистика!$B$7:$B$1006,"&gt;="&amp;($C137-$D$5),Статистика!$B$7:$B$1006,"&lt;="&amp;($C137-1),Статистика!$C$7:$C$1006,IF($D137="","&lt;&gt;§",$D137),Статистика!$D$7:$D$1006,IF($E137="","&lt;&gt;§",$E137)))</f>
        <v/>
      </c>
      <c r="T137" s="52" t="str">
        <f aca="false">IF($C137="","",SUMIFS(Статистика!$H$7:$H$1006,Статистика!$B$7:$B$1006,"&gt;="&amp;($C137-$D$5),Статистика!$B$7:$B$1006,"&lt;="&amp;($C137-1),Статистика!$C$7:$C$1006,IF($D137="","&lt;&gt;§",$D137),Статистика!$D$7:$D$1006,IF($E137="","&lt;&gt;§",$E137)))</f>
        <v/>
      </c>
      <c r="U137" s="52" t="str">
        <f aca="false">IF($C137="","",SUMIFS(Статистика!$T$7:$T$1006,Статистика!$B$7:$B$1006,"&gt;="&amp;($C137-$D$5),Статистика!$B$7:$B$1006,"&lt;="&amp;($C137-1),Статистика!$C$7:$C$1006,IF($D137="","&lt;&gt;§",$D137),Статистика!$D$7:$D$1006,IF($E137="","&lt;&gt;§",$E137)))</f>
        <v/>
      </c>
      <c r="V137" s="52" t="str">
        <f aca="false">IF($C137="","",SUMIFS(Статистика!$E$7:$E$1006,Статистика!$B$7:$B$1006,"&gt;="&amp;($C137+1),Статистика!$B$7:$B$1006,"&lt;="&amp;($C137+$D$5),Статистика!$C$7:$C$1006,IF($D137="","&lt;&gt;§",$D137),Статистика!$D$7:$D$1006,IF($E137="","&lt;&gt;§",$E137)))</f>
        <v/>
      </c>
      <c r="W137" s="52" t="str">
        <f aca="false">IF($C137="","",SUMIFS(Статистика!$H$7:$H$1006,Статистика!$B$7:$B$1006,"&gt;="&amp;($C137+1),Статистика!$B$7:$B$1006,"&lt;="&amp;($C137+$D$5),Статистика!$C$7:$C$1006,IF($D137="","&lt;&gt;§",$D137),Статистика!$D$7:$D$1006,IF($E137="","&lt;&gt;§",$E137)))</f>
        <v/>
      </c>
      <c r="X137" s="52" t="str">
        <f aca="false">IF($C137="","",SUMIFS(Статистика!$T$7:$T$1006,Статистика!$B$7:$B$1006,"&gt;="&amp;($C137+1),Статистика!$B$7:$B$1006,"&lt;="&amp;($C137+$D$5),Статистика!$C$7:$C$1006,IF($D137="","&lt;&gt;§",$D137),Статистика!$D$7:$D$1006,IF($E137="","&lt;&gt;§",$E137)))</f>
        <v/>
      </c>
      <c r="Y137" s="1"/>
      <c r="Z137" s="1"/>
      <c r="AA137" s="1"/>
      <c r="AB137" s="1"/>
      <c r="AC137" s="1"/>
      <c r="AD137" s="1"/>
    </row>
    <row r="138" customFormat="false" ht="30" hidden="false" customHeight="true" outlineLevel="0" collapsed="false">
      <c r="A138" s="1"/>
      <c r="B138" s="49" t="str">
        <f aca="false">IF($C138="","",ROW()-8)</f>
        <v/>
      </c>
      <c r="C138" s="35"/>
      <c r="D138" s="8"/>
      <c r="E138" s="26"/>
      <c r="F138" s="26"/>
      <c r="G138" s="50"/>
      <c r="H138" s="50"/>
      <c r="I138" s="30" t="str">
        <f aca="false">IF($C138="","",IFERROR(S138/T138,"—"))</f>
        <v/>
      </c>
      <c r="J138" s="30" t="str">
        <f aca="false">IF($C138="","",IFERROR(V138/W138,"—"))</f>
        <v/>
      </c>
      <c r="K138" s="41" t="str">
        <f aca="false">IF($C138="","",IFERROR(J138/I138-1,""))</f>
        <v/>
      </c>
      <c r="L138" s="41" t="str">
        <f aca="false">IF($C138="","",IFERROR((U138-S138)/S138,"—"))</f>
        <v/>
      </c>
      <c r="M138" s="41" t="str">
        <f aca="false">IF($C138="","",IFERROR((X138-V138)/V138,"—"))</f>
        <v/>
      </c>
      <c r="N138" s="39" t="str">
        <f aca="false">IF($C138="","",T138/$D$5)</f>
        <v/>
      </c>
      <c r="O138" s="39" t="str">
        <f aca="false">IF($C138="","",W138/$D$5)</f>
        <v/>
      </c>
      <c r="P138" s="51" t="str">
        <f aca="false">IF($C138="","",IF(MAX(Статистика!$B$7:$B$1006)&lt;$C138+$D$5,"Чекаємо даних",IF(S138=0,"Новий (без бази)",IF(OR(T138=0,W138=0),"Мало даних",IF(K138&lt;=-$F$5,"Покращило",IF(K138&gt;=$F$5,"Погіршило","Без змін"))))))</f>
        <v/>
      </c>
      <c r="Q138" s="50"/>
      <c r="R138" s="1"/>
      <c r="S138" s="52" t="str">
        <f aca="false">IF($C138="","",SUMIFS(Статистика!$E$7:$E$1006,Статистика!$B$7:$B$1006,"&gt;="&amp;($C138-$D$5),Статистика!$B$7:$B$1006,"&lt;="&amp;($C138-1),Статистика!$C$7:$C$1006,IF($D138="","&lt;&gt;§",$D138),Статистика!$D$7:$D$1006,IF($E138="","&lt;&gt;§",$E138)))</f>
        <v/>
      </c>
      <c r="T138" s="52" t="str">
        <f aca="false">IF($C138="","",SUMIFS(Статистика!$H$7:$H$1006,Статистика!$B$7:$B$1006,"&gt;="&amp;($C138-$D$5),Статистика!$B$7:$B$1006,"&lt;="&amp;($C138-1),Статистика!$C$7:$C$1006,IF($D138="","&lt;&gt;§",$D138),Статистика!$D$7:$D$1006,IF($E138="","&lt;&gt;§",$E138)))</f>
        <v/>
      </c>
      <c r="U138" s="52" t="str">
        <f aca="false">IF($C138="","",SUMIFS(Статистика!$T$7:$T$1006,Статистика!$B$7:$B$1006,"&gt;="&amp;($C138-$D$5),Статистика!$B$7:$B$1006,"&lt;="&amp;($C138-1),Статистика!$C$7:$C$1006,IF($D138="","&lt;&gt;§",$D138),Статистика!$D$7:$D$1006,IF($E138="","&lt;&gt;§",$E138)))</f>
        <v/>
      </c>
      <c r="V138" s="52" t="str">
        <f aca="false">IF($C138="","",SUMIFS(Статистика!$E$7:$E$1006,Статистика!$B$7:$B$1006,"&gt;="&amp;($C138+1),Статистика!$B$7:$B$1006,"&lt;="&amp;($C138+$D$5),Статистика!$C$7:$C$1006,IF($D138="","&lt;&gt;§",$D138),Статистика!$D$7:$D$1006,IF($E138="","&lt;&gt;§",$E138)))</f>
        <v/>
      </c>
      <c r="W138" s="52" t="str">
        <f aca="false">IF($C138="","",SUMIFS(Статистика!$H$7:$H$1006,Статистика!$B$7:$B$1006,"&gt;="&amp;($C138+1),Статистика!$B$7:$B$1006,"&lt;="&amp;($C138+$D$5),Статистика!$C$7:$C$1006,IF($D138="","&lt;&gt;§",$D138),Статистика!$D$7:$D$1006,IF($E138="","&lt;&gt;§",$E138)))</f>
        <v/>
      </c>
      <c r="X138" s="52" t="str">
        <f aca="false">IF($C138="","",SUMIFS(Статистика!$T$7:$T$1006,Статистика!$B$7:$B$1006,"&gt;="&amp;($C138+1),Статистика!$B$7:$B$1006,"&lt;="&amp;($C138+$D$5),Статистика!$C$7:$C$1006,IF($D138="","&lt;&gt;§",$D138),Статистика!$D$7:$D$1006,IF($E138="","&lt;&gt;§",$E138)))</f>
        <v/>
      </c>
      <c r="Y138" s="1"/>
      <c r="Z138" s="1"/>
      <c r="AA138" s="1"/>
      <c r="AB138" s="1"/>
      <c r="AC138" s="1"/>
      <c r="AD138" s="1"/>
    </row>
    <row r="139" customFormat="false" ht="30" hidden="false" customHeight="true" outlineLevel="0" collapsed="false">
      <c r="A139" s="1"/>
      <c r="B139" s="49" t="str">
        <f aca="false">IF($C139="","",ROW()-8)</f>
        <v/>
      </c>
      <c r="C139" s="35"/>
      <c r="D139" s="8"/>
      <c r="E139" s="26"/>
      <c r="F139" s="26"/>
      <c r="G139" s="50"/>
      <c r="H139" s="50"/>
      <c r="I139" s="30" t="str">
        <f aca="false">IF($C139="","",IFERROR(S139/T139,"—"))</f>
        <v/>
      </c>
      <c r="J139" s="30" t="str">
        <f aca="false">IF($C139="","",IFERROR(V139/W139,"—"))</f>
        <v/>
      </c>
      <c r="K139" s="41" t="str">
        <f aca="false">IF($C139="","",IFERROR(J139/I139-1,""))</f>
        <v/>
      </c>
      <c r="L139" s="41" t="str">
        <f aca="false">IF($C139="","",IFERROR((U139-S139)/S139,"—"))</f>
        <v/>
      </c>
      <c r="M139" s="41" t="str">
        <f aca="false">IF($C139="","",IFERROR((X139-V139)/V139,"—"))</f>
        <v/>
      </c>
      <c r="N139" s="39" t="str">
        <f aca="false">IF($C139="","",T139/$D$5)</f>
        <v/>
      </c>
      <c r="O139" s="39" t="str">
        <f aca="false">IF($C139="","",W139/$D$5)</f>
        <v/>
      </c>
      <c r="P139" s="51" t="str">
        <f aca="false">IF($C139="","",IF(MAX(Статистика!$B$7:$B$1006)&lt;$C139+$D$5,"Чекаємо даних",IF(S139=0,"Новий (без бази)",IF(OR(T139=0,W139=0),"Мало даних",IF(K139&lt;=-$F$5,"Покращило",IF(K139&gt;=$F$5,"Погіршило","Без змін"))))))</f>
        <v/>
      </c>
      <c r="Q139" s="50"/>
      <c r="R139" s="1"/>
      <c r="S139" s="52" t="str">
        <f aca="false">IF($C139="","",SUMIFS(Статистика!$E$7:$E$1006,Статистика!$B$7:$B$1006,"&gt;="&amp;($C139-$D$5),Статистика!$B$7:$B$1006,"&lt;="&amp;($C139-1),Статистика!$C$7:$C$1006,IF($D139="","&lt;&gt;§",$D139),Статистика!$D$7:$D$1006,IF($E139="","&lt;&gt;§",$E139)))</f>
        <v/>
      </c>
      <c r="T139" s="52" t="str">
        <f aca="false">IF($C139="","",SUMIFS(Статистика!$H$7:$H$1006,Статистика!$B$7:$B$1006,"&gt;="&amp;($C139-$D$5),Статистика!$B$7:$B$1006,"&lt;="&amp;($C139-1),Статистика!$C$7:$C$1006,IF($D139="","&lt;&gt;§",$D139),Статистика!$D$7:$D$1006,IF($E139="","&lt;&gt;§",$E139)))</f>
        <v/>
      </c>
      <c r="U139" s="52" t="str">
        <f aca="false">IF($C139="","",SUMIFS(Статистика!$T$7:$T$1006,Статистика!$B$7:$B$1006,"&gt;="&amp;($C139-$D$5),Статистика!$B$7:$B$1006,"&lt;="&amp;($C139-1),Статистика!$C$7:$C$1006,IF($D139="","&lt;&gt;§",$D139),Статистика!$D$7:$D$1006,IF($E139="","&lt;&gt;§",$E139)))</f>
        <v/>
      </c>
      <c r="V139" s="52" t="str">
        <f aca="false">IF($C139="","",SUMIFS(Статистика!$E$7:$E$1006,Статистика!$B$7:$B$1006,"&gt;="&amp;($C139+1),Статистика!$B$7:$B$1006,"&lt;="&amp;($C139+$D$5),Статистика!$C$7:$C$1006,IF($D139="","&lt;&gt;§",$D139),Статистика!$D$7:$D$1006,IF($E139="","&lt;&gt;§",$E139)))</f>
        <v/>
      </c>
      <c r="W139" s="52" t="str">
        <f aca="false">IF($C139="","",SUMIFS(Статистика!$H$7:$H$1006,Статистика!$B$7:$B$1006,"&gt;="&amp;($C139+1),Статистика!$B$7:$B$1006,"&lt;="&amp;($C139+$D$5),Статистика!$C$7:$C$1006,IF($D139="","&lt;&gt;§",$D139),Статистика!$D$7:$D$1006,IF($E139="","&lt;&gt;§",$E139)))</f>
        <v/>
      </c>
      <c r="X139" s="52" t="str">
        <f aca="false">IF($C139="","",SUMIFS(Статистика!$T$7:$T$1006,Статистика!$B$7:$B$1006,"&gt;="&amp;($C139+1),Статистика!$B$7:$B$1006,"&lt;="&amp;($C139+$D$5),Статистика!$C$7:$C$1006,IF($D139="","&lt;&gt;§",$D139),Статистика!$D$7:$D$1006,IF($E139="","&lt;&gt;§",$E139)))</f>
        <v/>
      </c>
      <c r="Y139" s="1"/>
      <c r="Z139" s="1"/>
      <c r="AA139" s="1"/>
      <c r="AB139" s="1"/>
      <c r="AC139" s="1"/>
      <c r="AD139" s="1"/>
    </row>
    <row r="140" customFormat="false" ht="30" hidden="false" customHeight="true" outlineLevel="0" collapsed="false">
      <c r="A140" s="1"/>
      <c r="B140" s="49" t="str">
        <f aca="false">IF($C140="","",ROW()-8)</f>
        <v/>
      </c>
      <c r="C140" s="35"/>
      <c r="D140" s="8"/>
      <c r="E140" s="26"/>
      <c r="F140" s="26"/>
      <c r="G140" s="50"/>
      <c r="H140" s="50"/>
      <c r="I140" s="30" t="str">
        <f aca="false">IF($C140="","",IFERROR(S140/T140,"—"))</f>
        <v/>
      </c>
      <c r="J140" s="30" t="str">
        <f aca="false">IF($C140="","",IFERROR(V140/W140,"—"))</f>
        <v/>
      </c>
      <c r="K140" s="41" t="str">
        <f aca="false">IF($C140="","",IFERROR(J140/I140-1,""))</f>
        <v/>
      </c>
      <c r="L140" s="41" t="str">
        <f aca="false">IF($C140="","",IFERROR((U140-S140)/S140,"—"))</f>
        <v/>
      </c>
      <c r="M140" s="41" t="str">
        <f aca="false">IF($C140="","",IFERROR((X140-V140)/V140,"—"))</f>
        <v/>
      </c>
      <c r="N140" s="39" t="str">
        <f aca="false">IF($C140="","",T140/$D$5)</f>
        <v/>
      </c>
      <c r="O140" s="39" t="str">
        <f aca="false">IF($C140="","",W140/$D$5)</f>
        <v/>
      </c>
      <c r="P140" s="51" t="str">
        <f aca="false">IF($C140="","",IF(MAX(Статистика!$B$7:$B$1006)&lt;$C140+$D$5,"Чекаємо даних",IF(S140=0,"Новий (без бази)",IF(OR(T140=0,W140=0),"Мало даних",IF(K140&lt;=-$F$5,"Покращило",IF(K140&gt;=$F$5,"Погіршило","Без змін"))))))</f>
        <v/>
      </c>
      <c r="Q140" s="50"/>
      <c r="R140" s="1"/>
      <c r="S140" s="52" t="str">
        <f aca="false">IF($C140="","",SUMIFS(Статистика!$E$7:$E$1006,Статистика!$B$7:$B$1006,"&gt;="&amp;($C140-$D$5),Статистика!$B$7:$B$1006,"&lt;="&amp;($C140-1),Статистика!$C$7:$C$1006,IF($D140="","&lt;&gt;§",$D140),Статистика!$D$7:$D$1006,IF($E140="","&lt;&gt;§",$E140)))</f>
        <v/>
      </c>
      <c r="T140" s="52" t="str">
        <f aca="false">IF($C140="","",SUMIFS(Статистика!$H$7:$H$1006,Статистика!$B$7:$B$1006,"&gt;="&amp;($C140-$D$5),Статистика!$B$7:$B$1006,"&lt;="&amp;($C140-1),Статистика!$C$7:$C$1006,IF($D140="","&lt;&gt;§",$D140),Статистика!$D$7:$D$1006,IF($E140="","&lt;&gt;§",$E140)))</f>
        <v/>
      </c>
      <c r="U140" s="52" t="str">
        <f aca="false">IF($C140="","",SUMIFS(Статистика!$T$7:$T$1006,Статистика!$B$7:$B$1006,"&gt;="&amp;($C140-$D$5),Статистика!$B$7:$B$1006,"&lt;="&amp;($C140-1),Статистика!$C$7:$C$1006,IF($D140="","&lt;&gt;§",$D140),Статистика!$D$7:$D$1006,IF($E140="","&lt;&gt;§",$E140)))</f>
        <v/>
      </c>
      <c r="V140" s="52" t="str">
        <f aca="false">IF($C140="","",SUMIFS(Статистика!$E$7:$E$1006,Статистика!$B$7:$B$1006,"&gt;="&amp;($C140+1),Статистика!$B$7:$B$1006,"&lt;="&amp;($C140+$D$5),Статистика!$C$7:$C$1006,IF($D140="","&lt;&gt;§",$D140),Статистика!$D$7:$D$1006,IF($E140="","&lt;&gt;§",$E140)))</f>
        <v/>
      </c>
      <c r="W140" s="52" t="str">
        <f aca="false">IF($C140="","",SUMIFS(Статистика!$H$7:$H$1006,Статистика!$B$7:$B$1006,"&gt;="&amp;($C140+1),Статистика!$B$7:$B$1006,"&lt;="&amp;($C140+$D$5),Статистика!$C$7:$C$1006,IF($D140="","&lt;&gt;§",$D140),Статистика!$D$7:$D$1006,IF($E140="","&lt;&gt;§",$E140)))</f>
        <v/>
      </c>
      <c r="X140" s="52" t="str">
        <f aca="false">IF($C140="","",SUMIFS(Статистика!$T$7:$T$1006,Статистика!$B$7:$B$1006,"&gt;="&amp;($C140+1),Статистика!$B$7:$B$1006,"&lt;="&amp;($C140+$D$5),Статистика!$C$7:$C$1006,IF($D140="","&lt;&gt;§",$D140),Статистика!$D$7:$D$1006,IF($E140="","&lt;&gt;§",$E140)))</f>
        <v/>
      </c>
      <c r="Y140" s="1"/>
      <c r="Z140" s="1"/>
      <c r="AA140" s="1"/>
      <c r="AB140" s="1"/>
      <c r="AC140" s="1"/>
      <c r="AD140" s="1"/>
    </row>
    <row r="141" customFormat="false" ht="30" hidden="false" customHeight="true" outlineLevel="0" collapsed="false">
      <c r="A141" s="1"/>
      <c r="B141" s="49" t="str">
        <f aca="false">IF($C141="","",ROW()-8)</f>
        <v/>
      </c>
      <c r="C141" s="35"/>
      <c r="D141" s="8"/>
      <c r="E141" s="26"/>
      <c r="F141" s="26"/>
      <c r="G141" s="50"/>
      <c r="H141" s="50"/>
      <c r="I141" s="30" t="str">
        <f aca="false">IF($C141="","",IFERROR(S141/T141,"—"))</f>
        <v/>
      </c>
      <c r="J141" s="30" t="str">
        <f aca="false">IF($C141="","",IFERROR(V141/W141,"—"))</f>
        <v/>
      </c>
      <c r="K141" s="41" t="str">
        <f aca="false">IF($C141="","",IFERROR(J141/I141-1,""))</f>
        <v/>
      </c>
      <c r="L141" s="41" t="str">
        <f aca="false">IF($C141="","",IFERROR((U141-S141)/S141,"—"))</f>
        <v/>
      </c>
      <c r="M141" s="41" t="str">
        <f aca="false">IF($C141="","",IFERROR((X141-V141)/V141,"—"))</f>
        <v/>
      </c>
      <c r="N141" s="39" t="str">
        <f aca="false">IF($C141="","",T141/$D$5)</f>
        <v/>
      </c>
      <c r="O141" s="39" t="str">
        <f aca="false">IF($C141="","",W141/$D$5)</f>
        <v/>
      </c>
      <c r="P141" s="51" t="str">
        <f aca="false">IF($C141="","",IF(MAX(Статистика!$B$7:$B$1006)&lt;$C141+$D$5,"Чекаємо даних",IF(S141=0,"Новий (без бази)",IF(OR(T141=0,W141=0),"Мало даних",IF(K141&lt;=-$F$5,"Покращило",IF(K141&gt;=$F$5,"Погіршило","Без змін"))))))</f>
        <v/>
      </c>
      <c r="Q141" s="50"/>
      <c r="R141" s="1"/>
      <c r="S141" s="52" t="str">
        <f aca="false">IF($C141="","",SUMIFS(Статистика!$E$7:$E$1006,Статистика!$B$7:$B$1006,"&gt;="&amp;($C141-$D$5),Статистика!$B$7:$B$1006,"&lt;="&amp;($C141-1),Статистика!$C$7:$C$1006,IF($D141="","&lt;&gt;§",$D141),Статистика!$D$7:$D$1006,IF($E141="","&lt;&gt;§",$E141)))</f>
        <v/>
      </c>
      <c r="T141" s="52" t="str">
        <f aca="false">IF($C141="","",SUMIFS(Статистика!$H$7:$H$1006,Статистика!$B$7:$B$1006,"&gt;="&amp;($C141-$D$5),Статистика!$B$7:$B$1006,"&lt;="&amp;($C141-1),Статистика!$C$7:$C$1006,IF($D141="","&lt;&gt;§",$D141),Статистика!$D$7:$D$1006,IF($E141="","&lt;&gt;§",$E141)))</f>
        <v/>
      </c>
      <c r="U141" s="52" t="str">
        <f aca="false">IF($C141="","",SUMIFS(Статистика!$T$7:$T$1006,Статистика!$B$7:$B$1006,"&gt;="&amp;($C141-$D$5),Статистика!$B$7:$B$1006,"&lt;="&amp;($C141-1),Статистика!$C$7:$C$1006,IF($D141="","&lt;&gt;§",$D141),Статистика!$D$7:$D$1006,IF($E141="","&lt;&gt;§",$E141)))</f>
        <v/>
      </c>
      <c r="V141" s="52" t="str">
        <f aca="false">IF($C141="","",SUMIFS(Статистика!$E$7:$E$1006,Статистика!$B$7:$B$1006,"&gt;="&amp;($C141+1),Статистика!$B$7:$B$1006,"&lt;="&amp;($C141+$D$5),Статистика!$C$7:$C$1006,IF($D141="","&lt;&gt;§",$D141),Статистика!$D$7:$D$1006,IF($E141="","&lt;&gt;§",$E141)))</f>
        <v/>
      </c>
      <c r="W141" s="52" t="str">
        <f aca="false">IF($C141="","",SUMIFS(Статистика!$H$7:$H$1006,Статистика!$B$7:$B$1006,"&gt;="&amp;($C141+1),Статистика!$B$7:$B$1006,"&lt;="&amp;($C141+$D$5),Статистика!$C$7:$C$1006,IF($D141="","&lt;&gt;§",$D141),Статистика!$D$7:$D$1006,IF($E141="","&lt;&gt;§",$E141)))</f>
        <v/>
      </c>
      <c r="X141" s="52" t="str">
        <f aca="false">IF($C141="","",SUMIFS(Статистика!$T$7:$T$1006,Статистика!$B$7:$B$1006,"&gt;="&amp;($C141+1),Статистика!$B$7:$B$1006,"&lt;="&amp;($C141+$D$5),Статистика!$C$7:$C$1006,IF($D141="","&lt;&gt;§",$D141),Статистика!$D$7:$D$1006,IF($E141="","&lt;&gt;§",$E141)))</f>
        <v/>
      </c>
      <c r="Y141" s="1"/>
      <c r="Z141" s="1"/>
      <c r="AA141" s="1"/>
      <c r="AB141" s="1"/>
      <c r="AC141" s="1"/>
      <c r="AD141" s="1"/>
    </row>
    <row r="142" customFormat="false" ht="30" hidden="false" customHeight="true" outlineLevel="0" collapsed="false">
      <c r="A142" s="1"/>
      <c r="B142" s="49" t="str">
        <f aca="false">IF($C142="","",ROW()-8)</f>
        <v/>
      </c>
      <c r="C142" s="35"/>
      <c r="D142" s="8"/>
      <c r="E142" s="26"/>
      <c r="F142" s="26"/>
      <c r="G142" s="50"/>
      <c r="H142" s="50"/>
      <c r="I142" s="30" t="str">
        <f aca="false">IF($C142="","",IFERROR(S142/T142,"—"))</f>
        <v/>
      </c>
      <c r="J142" s="30" t="str">
        <f aca="false">IF($C142="","",IFERROR(V142/W142,"—"))</f>
        <v/>
      </c>
      <c r="K142" s="41" t="str">
        <f aca="false">IF($C142="","",IFERROR(J142/I142-1,""))</f>
        <v/>
      </c>
      <c r="L142" s="41" t="str">
        <f aca="false">IF($C142="","",IFERROR((U142-S142)/S142,"—"))</f>
        <v/>
      </c>
      <c r="M142" s="41" t="str">
        <f aca="false">IF($C142="","",IFERROR((X142-V142)/V142,"—"))</f>
        <v/>
      </c>
      <c r="N142" s="39" t="str">
        <f aca="false">IF($C142="","",T142/$D$5)</f>
        <v/>
      </c>
      <c r="O142" s="39" t="str">
        <f aca="false">IF($C142="","",W142/$D$5)</f>
        <v/>
      </c>
      <c r="P142" s="51" t="str">
        <f aca="false">IF($C142="","",IF(MAX(Статистика!$B$7:$B$1006)&lt;$C142+$D$5,"Чекаємо даних",IF(S142=0,"Новий (без бази)",IF(OR(T142=0,W142=0),"Мало даних",IF(K142&lt;=-$F$5,"Покращило",IF(K142&gt;=$F$5,"Погіршило","Без змін"))))))</f>
        <v/>
      </c>
      <c r="Q142" s="50"/>
      <c r="R142" s="1"/>
      <c r="S142" s="52" t="str">
        <f aca="false">IF($C142="","",SUMIFS(Статистика!$E$7:$E$1006,Статистика!$B$7:$B$1006,"&gt;="&amp;($C142-$D$5),Статистика!$B$7:$B$1006,"&lt;="&amp;($C142-1),Статистика!$C$7:$C$1006,IF($D142="","&lt;&gt;§",$D142),Статистика!$D$7:$D$1006,IF($E142="","&lt;&gt;§",$E142)))</f>
        <v/>
      </c>
      <c r="T142" s="52" t="str">
        <f aca="false">IF($C142="","",SUMIFS(Статистика!$H$7:$H$1006,Статистика!$B$7:$B$1006,"&gt;="&amp;($C142-$D$5),Статистика!$B$7:$B$1006,"&lt;="&amp;($C142-1),Статистика!$C$7:$C$1006,IF($D142="","&lt;&gt;§",$D142),Статистика!$D$7:$D$1006,IF($E142="","&lt;&gt;§",$E142)))</f>
        <v/>
      </c>
      <c r="U142" s="52" t="str">
        <f aca="false">IF($C142="","",SUMIFS(Статистика!$T$7:$T$1006,Статистика!$B$7:$B$1006,"&gt;="&amp;($C142-$D$5),Статистика!$B$7:$B$1006,"&lt;="&amp;($C142-1),Статистика!$C$7:$C$1006,IF($D142="","&lt;&gt;§",$D142),Статистика!$D$7:$D$1006,IF($E142="","&lt;&gt;§",$E142)))</f>
        <v/>
      </c>
      <c r="V142" s="52" t="str">
        <f aca="false">IF($C142="","",SUMIFS(Статистика!$E$7:$E$1006,Статистика!$B$7:$B$1006,"&gt;="&amp;($C142+1),Статистика!$B$7:$B$1006,"&lt;="&amp;($C142+$D$5),Статистика!$C$7:$C$1006,IF($D142="","&lt;&gt;§",$D142),Статистика!$D$7:$D$1006,IF($E142="","&lt;&gt;§",$E142)))</f>
        <v/>
      </c>
      <c r="W142" s="52" t="str">
        <f aca="false">IF($C142="","",SUMIFS(Статистика!$H$7:$H$1006,Статистика!$B$7:$B$1006,"&gt;="&amp;($C142+1),Статистика!$B$7:$B$1006,"&lt;="&amp;($C142+$D$5),Статистика!$C$7:$C$1006,IF($D142="","&lt;&gt;§",$D142),Статистика!$D$7:$D$1006,IF($E142="","&lt;&gt;§",$E142)))</f>
        <v/>
      </c>
      <c r="X142" s="52" t="str">
        <f aca="false">IF($C142="","",SUMIFS(Статистика!$T$7:$T$1006,Статистика!$B$7:$B$1006,"&gt;="&amp;($C142+1),Статистика!$B$7:$B$1006,"&lt;="&amp;($C142+$D$5),Статистика!$C$7:$C$1006,IF($D142="","&lt;&gt;§",$D142),Статистика!$D$7:$D$1006,IF($E142="","&lt;&gt;§",$E142)))</f>
        <v/>
      </c>
      <c r="Y142" s="1"/>
      <c r="Z142" s="1"/>
      <c r="AA142" s="1"/>
      <c r="AB142" s="1"/>
      <c r="AC142" s="1"/>
      <c r="AD142" s="1"/>
    </row>
    <row r="143" customFormat="false" ht="30" hidden="false" customHeight="true" outlineLevel="0" collapsed="false">
      <c r="A143" s="1"/>
      <c r="B143" s="49" t="str">
        <f aca="false">IF($C143="","",ROW()-8)</f>
        <v/>
      </c>
      <c r="C143" s="35"/>
      <c r="D143" s="8"/>
      <c r="E143" s="26"/>
      <c r="F143" s="26"/>
      <c r="G143" s="50"/>
      <c r="H143" s="50"/>
      <c r="I143" s="30" t="str">
        <f aca="false">IF($C143="","",IFERROR(S143/T143,"—"))</f>
        <v/>
      </c>
      <c r="J143" s="30" t="str">
        <f aca="false">IF($C143="","",IFERROR(V143/W143,"—"))</f>
        <v/>
      </c>
      <c r="K143" s="41" t="str">
        <f aca="false">IF($C143="","",IFERROR(J143/I143-1,""))</f>
        <v/>
      </c>
      <c r="L143" s="41" t="str">
        <f aca="false">IF($C143="","",IFERROR((U143-S143)/S143,"—"))</f>
        <v/>
      </c>
      <c r="M143" s="41" t="str">
        <f aca="false">IF($C143="","",IFERROR((X143-V143)/V143,"—"))</f>
        <v/>
      </c>
      <c r="N143" s="39" t="str">
        <f aca="false">IF($C143="","",T143/$D$5)</f>
        <v/>
      </c>
      <c r="O143" s="39" t="str">
        <f aca="false">IF($C143="","",W143/$D$5)</f>
        <v/>
      </c>
      <c r="P143" s="51" t="str">
        <f aca="false">IF($C143="","",IF(MAX(Статистика!$B$7:$B$1006)&lt;$C143+$D$5,"Чекаємо даних",IF(S143=0,"Новий (без бази)",IF(OR(T143=0,W143=0),"Мало даних",IF(K143&lt;=-$F$5,"Покращило",IF(K143&gt;=$F$5,"Погіршило","Без змін"))))))</f>
        <v/>
      </c>
      <c r="Q143" s="50"/>
      <c r="R143" s="1"/>
      <c r="S143" s="52" t="str">
        <f aca="false">IF($C143="","",SUMIFS(Статистика!$E$7:$E$1006,Статистика!$B$7:$B$1006,"&gt;="&amp;($C143-$D$5),Статистика!$B$7:$B$1006,"&lt;="&amp;($C143-1),Статистика!$C$7:$C$1006,IF($D143="","&lt;&gt;§",$D143),Статистика!$D$7:$D$1006,IF($E143="","&lt;&gt;§",$E143)))</f>
        <v/>
      </c>
      <c r="T143" s="52" t="str">
        <f aca="false">IF($C143="","",SUMIFS(Статистика!$H$7:$H$1006,Статистика!$B$7:$B$1006,"&gt;="&amp;($C143-$D$5),Статистика!$B$7:$B$1006,"&lt;="&amp;($C143-1),Статистика!$C$7:$C$1006,IF($D143="","&lt;&gt;§",$D143),Статистика!$D$7:$D$1006,IF($E143="","&lt;&gt;§",$E143)))</f>
        <v/>
      </c>
      <c r="U143" s="52" t="str">
        <f aca="false">IF($C143="","",SUMIFS(Статистика!$T$7:$T$1006,Статистика!$B$7:$B$1006,"&gt;="&amp;($C143-$D$5),Статистика!$B$7:$B$1006,"&lt;="&amp;($C143-1),Статистика!$C$7:$C$1006,IF($D143="","&lt;&gt;§",$D143),Статистика!$D$7:$D$1006,IF($E143="","&lt;&gt;§",$E143)))</f>
        <v/>
      </c>
      <c r="V143" s="52" t="str">
        <f aca="false">IF($C143="","",SUMIFS(Статистика!$E$7:$E$1006,Статистика!$B$7:$B$1006,"&gt;="&amp;($C143+1),Статистика!$B$7:$B$1006,"&lt;="&amp;($C143+$D$5),Статистика!$C$7:$C$1006,IF($D143="","&lt;&gt;§",$D143),Статистика!$D$7:$D$1006,IF($E143="","&lt;&gt;§",$E143)))</f>
        <v/>
      </c>
      <c r="W143" s="52" t="str">
        <f aca="false">IF($C143="","",SUMIFS(Статистика!$H$7:$H$1006,Статистика!$B$7:$B$1006,"&gt;="&amp;($C143+1),Статистика!$B$7:$B$1006,"&lt;="&amp;($C143+$D$5),Статистика!$C$7:$C$1006,IF($D143="","&lt;&gt;§",$D143),Статистика!$D$7:$D$1006,IF($E143="","&lt;&gt;§",$E143)))</f>
        <v/>
      </c>
      <c r="X143" s="52" t="str">
        <f aca="false">IF($C143="","",SUMIFS(Статистика!$T$7:$T$1006,Статистика!$B$7:$B$1006,"&gt;="&amp;($C143+1),Статистика!$B$7:$B$1006,"&lt;="&amp;($C143+$D$5),Статистика!$C$7:$C$1006,IF($D143="","&lt;&gt;§",$D143),Статистика!$D$7:$D$1006,IF($E143="","&lt;&gt;§",$E143)))</f>
        <v/>
      </c>
      <c r="Y143" s="1"/>
      <c r="Z143" s="1"/>
      <c r="AA143" s="1"/>
      <c r="AB143" s="1"/>
      <c r="AC143" s="1"/>
      <c r="AD143" s="1"/>
    </row>
    <row r="144" customFormat="false" ht="30" hidden="false" customHeight="true" outlineLevel="0" collapsed="false">
      <c r="A144" s="1"/>
      <c r="B144" s="49" t="str">
        <f aca="false">IF($C144="","",ROW()-8)</f>
        <v/>
      </c>
      <c r="C144" s="35"/>
      <c r="D144" s="8"/>
      <c r="E144" s="26"/>
      <c r="F144" s="26"/>
      <c r="G144" s="50"/>
      <c r="H144" s="50"/>
      <c r="I144" s="30" t="str">
        <f aca="false">IF($C144="","",IFERROR(S144/T144,"—"))</f>
        <v/>
      </c>
      <c r="J144" s="30" t="str">
        <f aca="false">IF($C144="","",IFERROR(V144/W144,"—"))</f>
        <v/>
      </c>
      <c r="K144" s="41" t="str">
        <f aca="false">IF($C144="","",IFERROR(J144/I144-1,""))</f>
        <v/>
      </c>
      <c r="L144" s="41" t="str">
        <f aca="false">IF($C144="","",IFERROR((U144-S144)/S144,"—"))</f>
        <v/>
      </c>
      <c r="M144" s="41" t="str">
        <f aca="false">IF($C144="","",IFERROR((X144-V144)/V144,"—"))</f>
        <v/>
      </c>
      <c r="N144" s="39" t="str">
        <f aca="false">IF($C144="","",T144/$D$5)</f>
        <v/>
      </c>
      <c r="O144" s="39" t="str">
        <f aca="false">IF($C144="","",W144/$D$5)</f>
        <v/>
      </c>
      <c r="P144" s="51" t="str">
        <f aca="false">IF($C144="","",IF(MAX(Статистика!$B$7:$B$1006)&lt;$C144+$D$5,"Чекаємо даних",IF(S144=0,"Новий (без бази)",IF(OR(T144=0,W144=0),"Мало даних",IF(K144&lt;=-$F$5,"Покращило",IF(K144&gt;=$F$5,"Погіршило","Без змін"))))))</f>
        <v/>
      </c>
      <c r="Q144" s="50"/>
      <c r="R144" s="1"/>
      <c r="S144" s="52" t="str">
        <f aca="false">IF($C144="","",SUMIFS(Статистика!$E$7:$E$1006,Статистика!$B$7:$B$1006,"&gt;="&amp;($C144-$D$5),Статистика!$B$7:$B$1006,"&lt;="&amp;($C144-1),Статистика!$C$7:$C$1006,IF($D144="","&lt;&gt;§",$D144),Статистика!$D$7:$D$1006,IF($E144="","&lt;&gt;§",$E144)))</f>
        <v/>
      </c>
      <c r="T144" s="52" t="str">
        <f aca="false">IF($C144="","",SUMIFS(Статистика!$H$7:$H$1006,Статистика!$B$7:$B$1006,"&gt;="&amp;($C144-$D$5),Статистика!$B$7:$B$1006,"&lt;="&amp;($C144-1),Статистика!$C$7:$C$1006,IF($D144="","&lt;&gt;§",$D144),Статистика!$D$7:$D$1006,IF($E144="","&lt;&gt;§",$E144)))</f>
        <v/>
      </c>
      <c r="U144" s="52" t="str">
        <f aca="false">IF($C144="","",SUMIFS(Статистика!$T$7:$T$1006,Статистика!$B$7:$B$1006,"&gt;="&amp;($C144-$D$5),Статистика!$B$7:$B$1006,"&lt;="&amp;($C144-1),Статистика!$C$7:$C$1006,IF($D144="","&lt;&gt;§",$D144),Статистика!$D$7:$D$1006,IF($E144="","&lt;&gt;§",$E144)))</f>
        <v/>
      </c>
      <c r="V144" s="52" t="str">
        <f aca="false">IF($C144="","",SUMIFS(Статистика!$E$7:$E$1006,Статистика!$B$7:$B$1006,"&gt;="&amp;($C144+1),Статистика!$B$7:$B$1006,"&lt;="&amp;($C144+$D$5),Статистика!$C$7:$C$1006,IF($D144="","&lt;&gt;§",$D144),Статистика!$D$7:$D$1006,IF($E144="","&lt;&gt;§",$E144)))</f>
        <v/>
      </c>
      <c r="W144" s="52" t="str">
        <f aca="false">IF($C144="","",SUMIFS(Статистика!$H$7:$H$1006,Статистика!$B$7:$B$1006,"&gt;="&amp;($C144+1),Статистика!$B$7:$B$1006,"&lt;="&amp;($C144+$D$5),Статистика!$C$7:$C$1006,IF($D144="","&lt;&gt;§",$D144),Статистика!$D$7:$D$1006,IF($E144="","&lt;&gt;§",$E144)))</f>
        <v/>
      </c>
      <c r="X144" s="52" t="str">
        <f aca="false">IF($C144="","",SUMIFS(Статистика!$T$7:$T$1006,Статистика!$B$7:$B$1006,"&gt;="&amp;($C144+1),Статистика!$B$7:$B$1006,"&lt;="&amp;($C144+$D$5),Статистика!$C$7:$C$1006,IF($D144="","&lt;&gt;§",$D144),Статистика!$D$7:$D$1006,IF($E144="","&lt;&gt;§",$E144)))</f>
        <v/>
      </c>
      <c r="Y144" s="1"/>
      <c r="Z144" s="1"/>
      <c r="AA144" s="1"/>
      <c r="AB144" s="1"/>
      <c r="AC144" s="1"/>
      <c r="AD144" s="1"/>
    </row>
    <row r="145" customFormat="false" ht="30" hidden="false" customHeight="true" outlineLevel="0" collapsed="false">
      <c r="A145" s="1"/>
      <c r="B145" s="49" t="str">
        <f aca="false">IF($C145="","",ROW()-8)</f>
        <v/>
      </c>
      <c r="C145" s="35"/>
      <c r="D145" s="8"/>
      <c r="E145" s="26"/>
      <c r="F145" s="26"/>
      <c r="G145" s="50"/>
      <c r="H145" s="50"/>
      <c r="I145" s="30" t="str">
        <f aca="false">IF($C145="","",IFERROR(S145/T145,"—"))</f>
        <v/>
      </c>
      <c r="J145" s="30" t="str">
        <f aca="false">IF($C145="","",IFERROR(V145/W145,"—"))</f>
        <v/>
      </c>
      <c r="K145" s="41" t="str">
        <f aca="false">IF($C145="","",IFERROR(J145/I145-1,""))</f>
        <v/>
      </c>
      <c r="L145" s="41" t="str">
        <f aca="false">IF($C145="","",IFERROR((U145-S145)/S145,"—"))</f>
        <v/>
      </c>
      <c r="M145" s="41" t="str">
        <f aca="false">IF($C145="","",IFERROR((X145-V145)/V145,"—"))</f>
        <v/>
      </c>
      <c r="N145" s="39" t="str">
        <f aca="false">IF($C145="","",T145/$D$5)</f>
        <v/>
      </c>
      <c r="O145" s="39" t="str">
        <f aca="false">IF($C145="","",W145/$D$5)</f>
        <v/>
      </c>
      <c r="P145" s="51" t="str">
        <f aca="false">IF($C145="","",IF(MAX(Статистика!$B$7:$B$1006)&lt;$C145+$D$5,"Чекаємо даних",IF(S145=0,"Новий (без бази)",IF(OR(T145=0,W145=0),"Мало даних",IF(K145&lt;=-$F$5,"Покращило",IF(K145&gt;=$F$5,"Погіршило","Без змін"))))))</f>
        <v/>
      </c>
      <c r="Q145" s="50"/>
      <c r="R145" s="1"/>
      <c r="S145" s="52" t="str">
        <f aca="false">IF($C145="","",SUMIFS(Статистика!$E$7:$E$1006,Статистика!$B$7:$B$1006,"&gt;="&amp;($C145-$D$5),Статистика!$B$7:$B$1006,"&lt;="&amp;($C145-1),Статистика!$C$7:$C$1006,IF($D145="","&lt;&gt;§",$D145),Статистика!$D$7:$D$1006,IF($E145="","&lt;&gt;§",$E145)))</f>
        <v/>
      </c>
      <c r="T145" s="52" t="str">
        <f aca="false">IF($C145="","",SUMIFS(Статистика!$H$7:$H$1006,Статистика!$B$7:$B$1006,"&gt;="&amp;($C145-$D$5),Статистика!$B$7:$B$1006,"&lt;="&amp;($C145-1),Статистика!$C$7:$C$1006,IF($D145="","&lt;&gt;§",$D145),Статистика!$D$7:$D$1006,IF($E145="","&lt;&gt;§",$E145)))</f>
        <v/>
      </c>
      <c r="U145" s="52" t="str">
        <f aca="false">IF($C145="","",SUMIFS(Статистика!$T$7:$T$1006,Статистика!$B$7:$B$1006,"&gt;="&amp;($C145-$D$5),Статистика!$B$7:$B$1006,"&lt;="&amp;($C145-1),Статистика!$C$7:$C$1006,IF($D145="","&lt;&gt;§",$D145),Статистика!$D$7:$D$1006,IF($E145="","&lt;&gt;§",$E145)))</f>
        <v/>
      </c>
      <c r="V145" s="52" t="str">
        <f aca="false">IF($C145="","",SUMIFS(Статистика!$E$7:$E$1006,Статистика!$B$7:$B$1006,"&gt;="&amp;($C145+1),Статистика!$B$7:$B$1006,"&lt;="&amp;($C145+$D$5),Статистика!$C$7:$C$1006,IF($D145="","&lt;&gt;§",$D145),Статистика!$D$7:$D$1006,IF($E145="","&lt;&gt;§",$E145)))</f>
        <v/>
      </c>
      <c r="W145" s="52" t="str">
        <f aca="false">IF($C145="","",SUMIFS(Статистика!$H$7:$H$1006,Статистика!$B$7:$B$1006,"&gt;="&amp;($C145+1),Статистика!$B$7:$B$1006,"&lt;="&amp;($C145+$D$5),Статистика!$C$7:$C$1006,IF($D145="","&lt;&gt;§",$D145),Статистика!$D$7:$D$1006,IF($E145="","&lt;&gt;§",$E145)))</f>
        <v/>
      </c>
      <c r="X145" s="52" t="str">
        <f aca="false">IF($C145="","",SUMIFS(Статистика!$T$7:$T$1006,Статистика!$B$7:$B$1006,"&gt;="&amp;($C145+1),Статистика!$B$7:$B$1006,"&lt;="&amp;($C145+$D$5),Статистика!$C$7:$C$1006,IF($D145="","&lt;&gt;§",$D145),Статистика!$D$7:$D$1006,IF($E145="","&lt;&gt;§",$E145)))</f>
        <v/>
      </c>
      <c r="Y145" s="1"/>
      <c r="Z145" s="1"/>
      <c r="AA145" s="1"/>
      <c r="AB145" s="1"/>
      <c r="AC145" s="1"/>
      <c r="AD145" s="1"/>
    </row>
    <row r="146" customFormat="false" ht="30" hidden="false" customHeight="true" outlineLevel="0" collapsed="false">
      <c r="A146" s="1"/>
      <c r="B146" s="49" t="str">
        <f aca="false">IF($C146="","",ROW()-8)</f>
        <v/>
      </c>
      <c r="C146" s="35"/>
      <c r="D146" s="8"/>
      <c r="E146" s="26"/>
      <c r="F146" s="26"/>
      <c r="G146" s="50"/>
      <c r="H146" s="50"/>
      <c r="I146" s="30" t="str">
        <f aca="false">IF($C146="","",IFERROR(S146/T146,"—"))</f>
        <v/>
      </c>
      <c r="J146" s="30" t="str">
        <f aca="false">IF($C146="","",IFERROR(V146/W146,"—"))</f>
        <v/>
      </c>
      <c r="K146" s="41" t="str">
        <f aca="false">IF($C146="","",IFERROR(J146/I146-1,""))</f>
        <v/>
      </c>
      <c r="L146" s="41" t="str">
        <f aca="false">IF($C146="","",IFERROR((U146-S146)/S146,"—"))</f>
        <v/>
      </c>
      <c r="M146" s="41" t="str">
        <f aca="false">IF($C146="","",IFERROR((X146-V146)/V146,"—"))</f>
        <v/>
      </c>
      <c r="N146" s="39" t="str">
        <f aca="false">IF($C146="","",T146/$D$5)</f>
        <v/>
      </c>
      <c r="O146" s="39" t="str">
        <f aca="false">IF($C146="","",W146/$D$5)</f>
        <v/>
      </c>
      <c r="P146" s="51" t="str">
        <f aca="false">IF($C146="","",IF(MAX(Статистика!$B$7:$B$1006)&lt;$C146+$D$5,"Чекаємо даних",IF(S146=0,"Новий (без бази)",IF(OR(T146=0,W146=0),"Мало даних",IF(K146&lt;=-$F$5,"Покращило",IF(K146&gt;=$F$5,"Погіршило","Без змін"))))))</f>
        <v/>
      </c>
      <c r="Q146" s="50"/>
      <c r="R146" s="1"/>
      <c r="S146" s="52" t="str">
        <f aca="false">IF($C146="","",SUMIFS(Статистика!$E$7:$E$1006,Статистика!$B$7:$B$1006,"&gt;="&amp;($C146-$D$5),Статистика!$B$7:$B$1006,"&lt;="&amp;($C146-1),Статистика!$C$7:$C$1006,IF($D146="","&lt;&gt;§",$D146),Статистика!$D$7:$D$1006,IF($E146="","&lt;&gt;§",$E146)))</f>
        <v/>
      </c>
      <c r="T146" s="52" t="str">
        <f aca="false">IF($C146="","",SUMIFS(Статистика!$H$7:$H$1006,Статистика!$B$7:$B$1006,"&gt;="&amp;($C146-$D$5),Статистика!$B$7:$B$1006,"&lt;="&amp;($C146-1),Статистика!$C$7:$C$1006,IF($D146="","&lt;&gt;§",$D146),Статистика!$D$7:$D$1006,IF($E146="","&lt;&gt;§",$E146)))</f>
        <v/>
      </c>
      <c r="U146" s="52" t="str">
        <f aca="false">IF($C146="","",SUMIFS(Статистика!$T$7:$T$1006,Статистика!$B$7:$B$1006,"&gt;="&amp;($C146-$D$5),Статистика!$B$7:$B$1006,"&lt;="&amp;($C146-1),Статистика!$C$7:$C$1006,IF($D146="","&lt;&gt;§",$D146),Статистика!$D$7:$D$1006,IF($E146="","&lt;&gt;§",$E146)))</f>
        <v/>
      </c>
      <c r="V146" s="52" t="str">
        <f aca="false">IF($C146="","",SUMIFS(Статистика!$E$7:$E$1006,Статистика!$B$7:$B$1006,"&gt;="&amp;($C146+1),Статистика!$B$7:$B$1006,"&lt;="&amp;($C146+$D$5),Статистика!$C$7:$C$1006,IF($D146="","&lt;&gt;§",$D146),Статистика!$D$7:$D$1006,IF($E146="","&lt;&gt;§",$E146)))</f>
        <v/>
      </c>
      <c r="W146" s="52" t="str">
        <f aca="false">IF($C146="","",SUMIFS(Статистика!$H$7:$H$1006,Статистика!$B$7:$B$1006,"&gt;="&amp;($C146+1),Статистика!$B$7:$B$1006,"&lt;="&amp;($C146+$D$5),Статистика!$C$7:$C$1006,IF($D146="","&lt;&gt;§",$D146),Статистика!$D$7:$D$1006,IF($E146="","&lt;&gt;§",$E146)))</f>
        <v/>
      </c>
      <c r="X146" s="52" t="str">
        <f aca="false">IF($C146="","",SUMIFS(Статистика!$T$7:$T$1006,Статистика!$B$7:$B$1006,"&gt;="&amp;($C146+1),Статистика!$B$7:$B$1006,"&lt;="&amp;($C146+$D$5),Статистика!$C$7:$C$1006,IF($D146="","&lt;&gt;§",$D146),Статистика!$D$7:$D$1006,IF($E146="","&lt;&gt;§",$E146)))</f>
        <v/>
      </c>
      <c r="Y146" s="1"/>
      <c r="Z146" s="1"/>
      <c r="AA146" s="1"/>
      <c r="AB146" s="1"/>
      <c r="AC146" s="1"/>
      <c r="AD146" s="1"/>
    </row>
    <row r="147" customFormat="false" ht="30" hidden="false" customHeight="true" outlineLevel="0" collapsed="false">
      <c r="A147" s="1"/>
      <c r="B147" s="49" t="str">
        <f aca="false">IF($C147="","",ROW()-8)</f>
        <v/>
      </c>
      <c r="C147" s="35"/>
      <c r="D147" s="8"/>
      <c r="E147" s="26"/>
      <c r="F147" s="26"/>
      <c r="G147" s="50"/>
      <c r="H147" s="50"/>
      <c r="I147" s="30" t="str">
        <f aca="false">IF($C147="","",IFERROR(S147/T147,"—"))</f>
        <v/>
      </c>
      <c r="J147" s="30" t="str">
        <f aca="false">IF($C147="","",IFERROR(V147/W147,"—"))</f>
        <v/>
      </c>
      <c r="K147" s="41" t="str">
        <f aca="false">IF($C147="","",IFERROR(J147/I147-1,""))</f>
        <v/>
      </c>
      <c r="L147" s="41" t="str">
        <f aca="false">IF($C147="","",IFERROR((U147-S147)/S147,"—"))</f>
        <v/>
      </c>
      <c r="M147" s="41" t="str">
        <f aca="false">IF($C147="","",IFERROR((X147-V147)/V147,"—"))</f>
        <v/>
      </c>
      <c r="N147" s="39" t="str">
        <f aca="false">IF($C147="","",T147/$D$5)</f>
        <v/>
      </c>
      <c r="O147" s="39" t="str">
        <f aca="false">IF($C147="","",W147/$D$5)</f>
        <v/>
      </c>
      <c r="P147" s="51" t="str">
        <f aca="false">IF($C147="","",IF(MAX(Статистика!$B$7:$B$1006)&lt;$C147+$D$5,"Чекаємо даних",IF(S147=0,"Новий (без бази)",IF(OR(T147=0,W147=0),"Мало даних",IF(K147&lt;=-$F$5,"Покращило",IF(K147&gt;=$F$5,"Погіршило","Без змін"))))))</f>
        <v/>
      </c>
      <c r="Q147" s="50"/>
      <c r="R147" s="1"/>
      <c r="S147" s="52" t="str">
        <f aca="false">IF($C147="","",SUMIFS(Статистика!$E$7:$E$1006,Статистика!$B$7:$B$1006,"&gt;="&amp;($C147-$D$5),Статистика!$B$7:$B$1006,"&lt;="&amp;($C147-1),Статистика!$C$7:$C$1006,IF($D147="","&lt;&gt;§",$D147),Статистика!$D$7:$D$1006,IF($E147="","&lt;&gt;§",$E147)))</f>
        <v/>
      </c>
      <c r="T147" s="52" t="str">
        <f aca="false">IF($C147="","",SUMIFS(Статистика!$H$7:$H$1006,Статистика!$B$7:$B$1006,"&gt;="&amp;($C147-$D$5),Статистика!$B$7:$B$1006,"&lt;="&amp;($C147-1),Статистика!$C$7:$C$1006,IF($D147="","&lt;&gt;§",$D147),Статистика!$D$7:$D$1006,IF($E147="","&lt;&gt;§",$E147)))</f>
        <v/>
      </c>
      <c r="U147" s="52" t="str">
        <f aca="false">IF($C147="","",SUMIFS(Статистика!$T$7:$T$1006,Статистика!$B$7:$B$1006,"&gt;="&amp;($C147-$D$5),Статистика!$B$7:$B$1006,"&lt;="&amp;($C147-1),Статистика!$C$7:$C$1006,IF($D147="","&lt;&gt;§",$D147),Статистика!$D$7:$D$1006,IF($E147="","&lt;&gt;§",$E147)))</f>
        <v/>
      </c>
      <c r="V147" s="52" t="str">
        <f aca="false">IF($C147="","",SUMIFS(Статистика!$E$7:$E$1006,Статистика!$B$7:$B$1006,"&gt;="&amp;($C147+1),Статистика!$B$7:$B$1006,"&lt;="&amp;($C147+$D$5),Статистика!$C$7:$C$1006,IF($D147="","&lt;&gt;§",$D147),Статистика!$D$7:$D$1006,IF($E147="","&lt;&gt;§",$E147)))</f>
        <v/>
      </c>
      <c r="W147" s="52" t="str">
        <f aca="false">IF($C147="","",SUMIFS(Статистика!$H$7:$H$1006,Статистика!$B$7:$B$1006,"&gt;="&amp;($C147+1),Статистика!$B$7:$B$1006,"&lt;="&amp;($C147+$D$5),Статистика!$C$7:$C$1006,IF($D147="","&lt;&gt;§",$D147),Статистика!$D$7:$D$1006,IF($E147="","&lt;&gt;§",$E147)))</f>
        <v/>
      </c>
      <c r="X147" s="52" t="str">
        <f aca="false">IF($C147="","",SUMIFS(Статистика!$T$7:$T$1006,Статистика!$B$7:$B$1006,"&gt;="&amp;($C147+1),Статистика!$B$7:$B$1006,"&lt;="&amp;($C147+$D$5),Статистика!$C$7:$C$1006,IF($D147="","&lt;&gt;§",$D147),Статистика!$D$7:$D$1006,IF($E147="","&lt;&gt;§",$E147)))</f>
        <v/>
      </c>
      <c r="Y147" s="1"/>
      <c r="Z147" s="1"/>
      <c r="AA147" s="1"/>
      <c r="AB147" s="1"/>
      <c r="AC147" s="1"/>
      <c r="AD147" s="1"/>
    </row>
    <row r="148" customFormat="false" ht="30" hidden="false" customHeight="true" outlineLevel="0" collapsed="false">
      <c r="A148" s="1"/>
      <c r="B148" s="49" t="str">
        <f aca="false">IF($C148="","",ROW()-8)</f>
        <v/>
      </c>
      <c r="C148" s="35"/>
      <c r="D148" s="8"/>
      <c r="E148" s="26"/>
      <c r="F148" s="26"/>
      <c r="G148" s="50"/>
      <c r="H148" s="50"/>
      <c r="I148" s="30" t="str">
        <f aca="false">IF($C148="","",IFERROR(S148/T148,"—"))</f>
        <v/>
      </c>
      <c r="J148" s="30" t="str">
        <f aca="false">IF($C148="","",IFERROR(V148/W148,"—"))</f>
        <v/>
      </c>
      <c r="K148" s="41" t="str">
        <f aca="false">IF($C148="","",IFERROR(J148/I148-1,""))</f>
        <v/>
      </c>
      <c r="L148" s="41" t="str">
        <f aca="false">IF($C148="","",IFERROR((U148-S148)/S148,"—"))</f>
        <v/>
      </c>
      <c r="M148" s="41" t="str">
        <f aca="false">IF($C148="","",IFERROR((X148-V148)/V148,"—"))</f>
        <v/>
      </c>
      <c r="N148" s="39" t="str">
        <f aca="false">IF($C148="","",T148/$D$5)</f>
        <v/>
      </c>
      <c r="O148" s="39" t="str">
        <f aca="false">IF($C148="","",W148/$D$5)</f>
        <v/>
      </c>
      <c r="P148" s="51" t="str">
        <f aca="false">IF($C148="","",IF(MAX(Статистика!$B$7:$B$1006)&lt;$C148+$D$5,"Чекаємо даних",IF(S148=0,"Новий (без бази)",IF(OR(T148=0,W148=0),"Мало даних",IF(K148&lt;=-$F$5,"Покращило",IF(K148&gt;=$F$5,"Погіршило","Без змін"))))))</f>
        <v/>
      </c>
      <c r="Q148" s="50"/>
      <c r="R148" s="1"/>
      <c r="S148" s="52" t="str">
        <f aca="false">IF($C148="","",SUMIFS(Статистика!$E$7:$E$1006,Статистика!$B$7:$B$1006,"&gt;="&amp;($C148-$D$5),Статистика!$B$7:$B$1006,"&lt;="&amp;($C148-1),Статистика!$C$7:$C$1006,IF($D148="","&lt;&gt;§",$D148),Статистика!$D$7:$D$1006,IF($E148="","&lt;&gt;§",$E148)))</f>
        <v/>
      </c>
      <c r="T148" s="52" t="str">
        <f aca="false">IF($C148="","",SUMIFS(Статистика!$H$7:$H$1006,Статистика!$B$7:$B$1006,"&gt;="&amp;($C148-$D$5),Статистика!$B$7:$B$1006,"&lt;="&amp;($C148-1),Статистика!$C$7:$C$1006,IF($D148="","&lt;&gt;§",$D148),Статистика!$D$7:$D$1006,IF($E148="","&lt;&gt;§",$E148)))</f>
        <v/>
      </c>
      <c r="U148" s="52" t="str">
        <f aca="false">IF($C148="","",SUMIFS(Статистика!$T$7:$T$1006,Статистика!$B$7:$B$1006,"&gt;="&amp;($C148-$D$5),Статистика!$B$7:$B$1006,"&lt;="&amp;($C148-1),Статистика!$C$7:$C$1006,IF($D148="","&lt;&gt;§",$D148),Статистика!$D$7:$D$1006,IF($E148="","&lt;&gt;§",$E148)))</f>
        <v/>
      </c>
      <c r="V148" s="52" t="str">
        <f aca="false">IF($C148="","",SUMIFS(Статистика!$E$7:$E$1006,Статистика!$B$7:$B$1006,"&gt;="&amp;($C148+1),Статистика!$B$7:$B$1006,"&lt;="&amp;($C148+$D$5),Статистика!$C$7:$C$1006,IF($D148="","&lt;&gt;§",$D148),Статистика!$D$7:$D$1006,IF($E148="","&lt;&gt;§",$E148)))</f>
        <v/>
      </c>
      <c r="W148" s="52" t="str">
        <f aca="false">IF($C148="","",SUMIFS(Статистика!$H$7:$H$1006,Статистика!$B$7:$B$1006,"&gt;="&amp;($C148+1),Статистика!$B$7:$B$1006,"&lt;="&amp;($C148+$D$5),Статистика!$C$7:$C$1006,IF($D148="","&lt;&gt;§",$D148),Статистика!$D$7:$D$1006,IF($E148="","&lt;&gt;§",$E148)))</f>
        <v/>
      </c>
      <c r="X148" s="52" t="str">
        <f aca="false">IF($C148="","",SUMIFS(Статистика!$T$7:$T$1006,Статистика!$B$7:$B$1006,"&gt;="&amp;($C148+1),Статистика!$B$7:$B$1006,"&lt;="&amp;($C148+$D$5),Статистика!$C$7:$C$1006,IF($D148="","&lt;&gt;§",$D148),Статистика!$D$7:$D$1006,IF($E148="","&lt;&gt;§",$E148)))</f>
        <v/>
      </c>
      <c r="Y148" s="1"/>
      <c r="Z148" s="1"/>
      <c r="AA148" s="1"/>
      <c r="AB148" s="1"/>
      <c r="AC148" s="1"/>
      <c r="AD148" s="1"/>
    </row>
    <row r="149" customFormat="false" ht="30" hidden="false" customHeight="true" outlineLevel="0" collapsed="false">
      <c r="A149" s="1"/>
      <c r="B149" s="49" t="str">
        <f aca="false">IF($C149="","",ROW()-8)</f>
        <v/>
      </c>
      <c r="C149" s="35"/>
      <c r="D149" s="8"/>
      <c r="E149" s="26"/>
      <c r="F149" s="26"/>
      <c r="G149" s="50"/>
      <c r="H149" s="50"/>
      <c r="I149" s="30" t="str">
        <f aca="false">IF($C149="","",IFERROR(S149/T149,"—"))</f>
        <v/>
      </c>
      <c r="J149" s="30" t="str">
        <f aca="false">IF($C149="","",IFERROR(V149/W149,"—"))</f>
        <v/>
      </c>
      <c r="K149" s="41" t="str">
        <f aca="false">IF($C149="","",IFERROR(J149/I149-1,""))</f>
        <v/>
      </c>
      <c r="L149" s="41" t="str">
        <f aca="false">IF($C149="","",IFERROR((U149-S149)/S149,"—"))</f>
        <v/>
      </c>
      <c r="M149" s="41" t="str">
        <f aca="false">IF($C149="","",IFERROR((X149-V149)/V149,"—"))</f>
        <v/>
      </c>
      <c r="N149" s="39" t="str">
        <f aca="false">IF($C149="","",T149/$D$5)</f>
        <v/>
      </c>
      <c r="O149" s="39" t="str">
        <f aca="false">IF($C149="","",W149/$D$5)</f>
        <v/>
      </c>
      <c r="P149" s="51" t="str">
        <f aca="false">IF($C149="","",IF(MAX(Статистика!$B$7:$B$1006)&lt;$C149+$D$5,"Чекаємо даних",IF(S149=0,"Новий (без бази)",IF(OR(T149=0,W149=0),"Мало даних",IF(K149&lt;=-$F$5,"Покращило",IF(K149&gt;=$F$5,"Погіршило","Без змін"))))))</f>
        <v/>
      </c>
      <c r="Q149" s="50"/>
      <c r="R149" s="1"/>
      <c r="S149" s="52" t="str">
        <f aca="false">IF($C149="","",SUMIFS(Статистика!$E$7:$E$1006,Статистика!$B$7:$B$1006,"&gt;="&amp;($C149-$D$5),Статистика!$B$7:$B$1006,"&lt;="&amp;($C149-1),Статистика!$C$7:$C$1006,IF($D149="","&lt;&gt;§",$D149),Статистика!$D$7:$D$1006,IF($E149="","&lt;&gt;§",$E149)))</f>
        <v/>
      </c>
      <c r="T149" s="52" t="str">
        <f aca="false">IF($C149="","",SUMIFS(Статистика!$H$7:$H$1006,Статистика!$B$7:$B$1006,"&gt;="&amp;($C149-$D$5),Статистика!$B$7:$B$1006,"&lt;="&amp;($C149-1),Статистика!$C$7:$C$1006,IF($D149="","&lt;&gt;§",$D149),Статистика!$D$7:$D$1006,IF($E149="","&lt;&gt;§",$E149)))</f>
        <v/>
      </c>
      <c r="U149" s="52" t="str">
        <f aca="false">IF($C149="","",SUMIFS(Статистика!$T$7:$T$1006,Статистика!$B$7:$B$1006,"&gt;="&amp;($C149-$D$5),Статистика!$B$7:$B$1006,"&lt;="&amp;($C149-1),Статистика!$C$7:$C$1006,IF($D149="","&lt;&gt;§",$D149),Статистика!$D$7:$D$1006,IF($E149="","&lt;&gt;§",$E149)))</f>
        <v/>
      </c>
      <c r="V149" s="52" t="str">
        <f aca="false">IF($C149="","",SUMIFS(Статистика!$E$7:$E$1006,Статистика!$B$7:$B$1006,"&gt;="&amp;($C149+1),Статистика!$B$7:$B$1006,"&lt;="&amp;($C149+$D$5),Статистика!$C$7:$C$1006,IF($D149="","&lt;&gt;§",$D149),Статистика!$D$7:$D$1006,IF($E149="","&lt;&gt;§",$E149)))</f>
        <v/>
      </c>
      <c r="W149" s="52" t="str">
        <f aca="false">IF($C149="","",SUMIFS(Статистика!$H$7:$H$1006,Статистика!$B$7:$B$1006,"&gt;="&amp;($C149+1),Статистика!$B$7:$B$1006,"&lt;="&amp;($C149+$D$5),Статистика!$C$7:$C$1006,IF($D149="","&lt;&gt;§",$D149),Статистика!$D$7:$D$1006,IF($E149="","&lt;&gt;§",$E149)))</f>
        <v/>
      </c>
      <c r="X149" s="52" t="str">
        <f aca="false">IF($C149="","",SUMIFS(Статистика!$T$7:$T$1006,Статистика!$B$7:$B$1006,"&gt;="&amp;($C149+1),Статистика!$B$7:$B$1006,"&lt;="&amp;($C149+$D$5),Статистика!$C$7:$C$1006,IF($D149="","&lt;&gt;§",$D149),Статистика!$D$7:$D$1006,IF($E149="","&lt;&gt;§",$E149)))</f>
        <v/>
      </c>
      <c r="Y149" s="1"/>
      <c r="Z149" s="1"/>
      <c r="AA149" s="1"/>
      <c r="AB149" s="1"/>
      <c r="AC149" s="1"/>
      <c r="AD149" s="1"/>
    </row>
    <row r="150" customFormat="false" ht="30" hidden="false" customHeight="true" outlineLevel="0" collapsed="false">
      <c r="A150" s="1"/>
      <c r="B150" s="49" t="str">
        <f aca="false">IF($C150="","",ROW()-8)</f>
        <v/>
      </c>
      <c r="C150" s="35"/>
      <c r="D150" s="8"/>
      <c r="E150" s="26"/>
      <c r="F150" s="26"/>
      <c r="G150" s="50"/>
      <c r="H150" s="50"/>
      <c r="I150" s="30" t="str">
        <f aca="false">IF($C150="","",IFERROR(S150/T150,"—"))</f>
        <v/>
      </c>
      <c r="J150" s="30" t="str">
        <f aca="false">IF($C150="","",IFERROR(V150/W150,"—"))</f>
        <v/>
      </c>
      <c r="K150" s="41" t="str">
        <f aca="false">IF($C150="","",IFERROR(J150/I150-1,""))</f>
        <v/>
      </c>
      <c r="L150" s="41" t="str">
        <f aca="false">IF($C150="","",IFERROR((U150-S150)/S150,"—"))</f>
        <v/>
      </c>
      <c r="M150" s="41" t="str">
        <f aca="false">IF($C150="","",IFERROR((X150-V150)/V150,"—"))</f>
        <v/>
      </c>
      <c r="N150" s="39" t="str">
        <f aca="false">IF($C150="","",T150/$D$5)</f>
        <v/>
      </c>
      <c r="O150" s="39" t="str">
        <f aca="false">IF($C150="","",W150/$D$5)</f>
        <v/>
      </c>
      <c r="P150" s="51" t="str">
        <f aca="false">IF($C150="","",IF(MAX(Статистика!$B$7:$B$1006)&lt;$C150+$D$5,"Чекаємо даних",IF(S150=0,"Новий (без бази)",IF(OR(T150=0,W150=0),"Мало даних",IF(K150&lt;=-$F$5,"Покращило",IF(K150&gt;=$F$5,"Погіршило","Без змін"))))))</f>
        <v/>
      </c>
      <c r="Q150" s="50"/>
      <c r="R150" s="1"/>
      <c r="S150" s="52" t="str">
        <f aca="false">IF($C150="","",SUMIFS(Статистика!$E$7:$E$1006,Статистика!$B$7:$B$1006,"&gt;="&amp;($C150-$D$5),Статистика!$B$7:$B$1006,"&lt;="&amp;($C150-1),Статистика!$C$7:$C$1006,IF($D150="","&lt;&gt;§",$D150),Статистика!$D$7:$D$1006,IF($E150="","&lt;&gt;§",$E150)))</f>
        <v/>
      </c>
      <c r="T150" s="52" t="str">
        <f aca="false">IF($C150="","",SUMIFS(Статистика!$H$7:$H$1006,Статистика!$B$7:$B$1006,"&gt;="&amp;($C150-$D$5),Статистика!$B$7:$B$1006,"&lt;="&amp;($C150-1),Статистика!$C$7:$C$1006,IF($D150="","&lt;&gt;§",$D150),Статистика!$D$7:$D$1006,IF($E150="","&lt;&gt;§",$E150)))</f>
        <v/>
      </c>
      <c r="U150" s="52" t="str">
        <f aca="false">IF($C150="","",SUMIFS(Статистика!$T$7:$T$1006,Статистика!$B$7:$B$1006,"&gt;="&amp;($C150-$D$5),Статистика!$B$7:$B$1006,"&lt;="&amp;($C150-1),Статистика!$C$7:$C$1006,IF($D150="","&lt;&gt;§",$D150),Статистика!$D$7:$D$1006,IF($E150="","&lt;&gt;§",$E150)))</f>
        <v/>
      </c>
      <c r="V150" s="52" t="str">
        <f aca="false">IF($C150="","",SUMIFS(Статистика!$E$7:$E$1006,Статистика!$B$7:$B$1006,"&gt;="&amp;($C150+1),Статистика!$B$7:$B$1006,"&lt;="&amp;($C150+$D$5),Статистика!$C$7:$C$1006,IF($D150="","&lt;&gt;§",$D150),Статистика!$D$7:$D$1006,IF($E150="","&lt;&gt;§",$E150)))</f>
        <v/>
      </c>
      <c r="W150" s="52" t="str">
        <f aca="false">IF($C150="","",SUMIFS(Статистика!$H$7:$H$1006,Статистика!$B$7:$B$1006,"&gt;="&amp;($C150+1),Статистика!$B$7:$B$1006,"&lt;="&amp;($C150+$D$5),Статистика!$C$7:$C$1006,IF($D150="","&lt;&gt;§",$D150),Статистика!$D$7:$D$1006,IF($E150="","&lt;&gt;§",$E150)))</f>
        <v/>
      </c>
      <c r="X150" s="52" t="str">
        <f aca="false">IF($C150="","",SUMIFS(Статистика!$T$7:$T$1006,Статистика!$B$7:$B$1006,"&gt;="&amp;($C150+1),Статистика!$B$7:$B$1006,"&lt;="&amp;($C150+$D$5),Статистика!$C$7:$C$1006,IF($D150="","&lt;&gt;§",$D150),Статистика!$D$7:$D$1006,IF($E150="","&lt;&gt;§",$E150)))</f>
        <v/>
      </c>
      <c r="Y150" s="1"/>
      <c r="Z150" s="1"/>
      <c r="AA150" s="1"/>
      <c r="AB150" s="1"/>
      <c r="AC150" s="1"/>
      <c r="AD150" s="1"/>
    </row>
    <row r="151" customFormat="false" ht="30" hidden="false" customHeight="true" outlineLevel="0" collapsed="false">
      <c r="A151" s="1"/>
      <c r="B151" s="49" t="str">
        <f aca="false">IF($C151="","",ROW()-8)</f>
        <v/>
      </c>
      <c r="C151" s="35"/>
      <c r="D151" s="8"/>
      <c r="E151" s="26"/>
      <c r="F151" s="26"/>
      <c r="G151" s="50"/>
      <c r="H151" s="50"/>
      <c r="I151" s="30" t="str">
        <f aca="false">IF($C151="","",IFERROR(S151/T151,"—"))</f>
        <v/>
      </c>
      <c r="J151" s="30" t="str">
        <f aca="false">IF($C151="","",IFERROR(V151/W151,"—"))</f>
        <v/>
      </c>
      <c r="K151" s="41" t="str">
        <f aca="false">IF($C151="","",IFERROR(J151/I151-1,""))</f>
        <v/>
      </c>
      <c r="L151" s="41" t="str">
        <f aca="false">IF($C151="","",IFERROR((U151-S151)/S151,"—"))</f>
        <v/>
      </c>
      <c r="M151" s="41" t="str">
        <f aca="false">IF($C151="","",IFERROR((X151-V151)/V151,"—"))</f>
        <v/>
      </c>
      <c r="N151" s="39" t="str">
        <f aca="false">IF($C151="","",T151/$D$5)</f>
        <v/>
      </c>
      <c r="O151" s="39" t="str">
        <f aca="false">IF($C151="","",W151/$D$5)</f>
        <v/>
      </c>
      <c r="P151" s="51" t="str">
        <f aca="false">IF($C151="","",IF(MAX(Статистика!$B$7:$B$1006)&lt;$C151+$D$5,"Чекаємо даних",IF(S151=0,"Новий (без бази)",IF(OR(T151=0,W151=0),"Мало даних",IF(K151&lt;=-$F$5,"Покращило",IF(K151&gt;=$F$5,"Погіршило","Без змін"))))))</f>
        <v/>
      </c>
      <c r="Q151" s="50"/>
      <c r="R151" s="1"/>
      <c r="S151" s="52" t="str">
        <f aca="false">IF($C151="","",SUMIFS(Статистика!$E$7:$E$1006,Статистика!$B$7:$B$1006,"&gt;="&amp;($C151-$D$5),Статистика!$B$7:$B$1006,"&lt;="&amp;($C151-1),Статистика!$C$7:$C$1006,IF($D151="","&lt;&gt;§",$D151),Статистика!$D$7:$D$1006,IF($E151="","&lt;&gt;§",$E151)))</f>
        <v/>
      </c>
      <c r="T151" s="52" t="str">
        <f aca="false">IF($C151="","",SUMIFS(Статистика!$H$7:$H$1006,Статистика!$B$7:$B$1006,"&gt;="&amp;($C151-$D$5),Статистика!$B$7:$B$1006,"&lt;="&amp;($C151-1),Статистика!$C$7:$C$1006,IF($D151="","&lt;&gt;§",$D151),Статистика!$D$7:$D$1006,IF($E151="","&lt;&gt;§",$E151)))</f>
        <v/>
      </c>
      <c r="U151" s="52" t="str">
        <f aca="false">IF($C151="","",SUMIFS(Статистика!$T$7:$T$1006,Статистика!$B$7:$B$1006,"&gt;="&amp;($C151-$D$5),Статистика!$B$7:$B$1006,"&lt;="&amp;($C151-1),Статистика!$C$7:$C$1006,IF($D151="","&lt;&gt;§",$D151),Статистика!$D$7:$D$1006,IF($E151="","&lt;&gt;§",$E151)))</f>
        <v/>
      </c>
      <c r="V151" s="52" t="str">
        <f aca="false">IF($C151="","",SUMIFS(Статистика!$E$7:$E$1006,Статистика!$B$7:$B$1006,"&gt;="&amp;($C151+1),Статистика!$B$7:$B$1006,"&lt;="&amp;($C151+$D$5),Статистика!$C$7:$C$1006,IF($D151="","&lt;&gt;§",$D151),Статистика!$D$7:$D$1006,IF($E151="","&lt;&gt;§",$E151)))</f>
        <v/>
      </c>
      <c r="W151" s="52" t="str">
        <f aca="false">IF($C151="","",SUMIFS(Статистика!$H$7:$H$1006,Статистика!$B$7:$B$1006,"&gt;="&amp;($C151+1),Статистика!$B$7:$B$1006,"&lt;="&amp;($C151+$D$5),Статистика!$C$7:$C$1006,IF($D151="","&lt;&gt;§",$D151),Статистика!$D$7:$D$1006,IF($E151="","&lt;&gt;§",$E151)))</f>
        <v/>
      </c>
      <c r="X151" s="52" t="str">
        <f aca="false">IF($C151="","",SUMIFS(Статистика!$T$7:$T$1006,Статистика!$B$7:$B$1006,"&gt;="&amp;($C151+1),Статистика!$B$7:$B$1006,"&lt;="&amp;($C151+$D$5),Статистика!$C$7:$C$1006,IF($D151="","&lt;&gt;§",$D151),Статистика!$D$7:$D$1006,IF($E151="","&lt;&gt;§",$E151)))</f>
        <v/>
      </c>
      <c r="Y151" s="1"/>
      <c r="Z151" s="1"/>
      <c r="AA151" s="1"/>
      <c r="AB151" s="1"/>
      <c r="AC151" s="1"/>
      <c r="AD151" s="1"/>
    </row>
    <row r="152" customFormat="false" ht="30" hidden="false" customHeight="true" outlineLevel="0" collapsed="false">
      <c r="A152" s="1"/>
      <c r="B152" s="49" t="str">
        <f aca="false">IF($C152="","",ROW()-8)</f>
        <v/>
      </c>
      <c r="C152" s="35"/>
      <c r="D152" s="8"/>
      <c r="E152" s="26"/>
      <c r="F152" s="26"/>
      <c r="G152" s="50"/>
      <c r="H152" s="50"/>
      <c r="I152" s="30" t="str">
        <f aca="false">IF($C152="","",IFERROR(S152/T152,"—"))</f>
        <v/>
      </c>
      <c r="J152" s="30" t="str">
        <f aca="false">IF($C152="","",IFERROR(V152/W152,"—"))</f>
        <v/>
      </c>
      <c r="K152" s="41" t="str">
        <f aca="false">IF($C152="","",IFERROR(J152/I152-1,""))</f>
        <v/>
      </c>
      <c r="L152" s="41" t="str">
        <f aca="false">IF($C152="","",IFERROR((U152-S152)/S152,"—"))</f>
        <v/>
      </c>
      <c r="M152" s="41" t="str">
        <f aca="false">IF($C152="","",IFERROR((X152-V152)/V152,"—"))</f>
        <v/>
      </c>
      <c r="N152" s="39" t="str">
        <f aca="false">IF($C152="","",T152/$D$5)</f>
        <v/>
      </c>
      <c r="O152" s="39" t="str">
        <f aca="false">IF($C152="","",W152/$D$5)</f>
        <v/>
      </c>
      <c r="P152" s="51" t="str">
        <f aca="false">IF($C152="","",IF(MAX(Статистика!$B$7:$B$1006)&lt;$C152+$D$5,"Чекаємо даних",IF(S152=0,"Новий (без бази)",IF(OR(T152=0,W152=0),"Мало даних",IF(K152&lt;=-$F$5,"Покращило",IF(K152&gt;=$F$5,"Погіршило","Без змін"))))))</f>
        <v/>
      </c>
      <c r="Q152" s="50"/>
      <c r="R152" s="1"/>
      <c r="S152" s="52" t="str">
        <f aca="false">IF($C152="","",SUMIFS(Статистика!$E$7:$E$1006,Статистика!$B$7:$B$1006,"&gt;="&amp;($C152-$D$5),Статистика!$B$7:$B$1006,"&lt;="&amp;($C152-1),Статистика!$C$7:$C$1006,IF($D152="","&lt;&gt;§",$D152),Статистика!$D$7:$D$1006,IF($E152="","&lt;&gt;§",$E152)))</f>
        <v/>
      </c>
      <c r="T152" s="52" t="str">
        <f aca="false">IF($C152="","",SUMIFS(Статистика!$H$7:$H$1006,Статистика!$B$7:$B$1006,"&gt;="&amp;($C152-$D$5),Статистика!$B$7:$B$1006,"&lt;="&amp;($C152-1),Статистика!$C$7:$C$1006,IF($D152="","&lt;&gt;§",$D152),Статистика!$D$7:$D$1006,IF($E152="","&lt;&gt;§",$E152)))</f>
        <v/>
      </c>
      <c r="U152" s="52" t="str">
        <f aca="false">IF($C152="","",SUMIFS(Статистика!$T$7:$T$1006,Статистика!$B$7:$B$1006,"&gt;="&amp;($C152-$D$5),Статистика!$B$7:$B$1006,"&lt;="&amp;($C152-1),Статистика!$C$7:$C$1006,IF($D152="","&lt;&gt;§",$D152),Статистика!$D$7:$D$1006,IF($E152="","&lt;&gt;§",$E152)))</f>
        <v/>
      </c>
      <c r="V152" s="52" t="str">
        <f aca="false">IF($C152="","",SUMIFS(Статистика!$E$7:$E$1006,Статистика!$B$7:$B$1006,"&gt;="&amp;($C152+1),Статистика!$B$7:$B$1006,"&lt;="&amp;($C152+$D$5),Статистика!$C$7:$C$1006,IF($D152="","&lt;&gt;§",$D152),Статистика!$D$7:$D$1006,IF($E152="","&lt;&gt;§",$E152)))</f>
        <v/>
      </c>
      <c r="W152" s="52" t="str">
        <f aca="false">IF($C152="","",SUMIFS(Статистика!$H$7:$H$1006,Статистика!$B$7:$B$1006,"&gt;="&amp;($C152+1),Статистика!$B$7:$B$1006,"&lt;="&amp;($C152+$D$5),Статистика!$C$7:$C$1006,IF($D152="","&lt;&gt;§",$D152),Статистика!$D$7:$D$1006,IF($E152="","&lt;&gt;§",$E152)))</f>
        <v/>
      </c>
      <c r="X152" s="52" t="str">
        <f aca="false">IF($C152="","",SUMIFS(Статистика!$T$7:$T$1006,Статистика!$B$7:$B$1006,"&gt;="&amp;($C152+1),Статистика!$B$7:$B$1006,"&lt;="&amp;($C152+$D$5),Статистика!$C$7:$C$1006,IF($D152="","&lt;&gt;§",$D152),Статистика!$D$7:$D$1006,IF($E152="","&lt;&gt;§",$E152)))</f>
        <v/>
      </c>
      <c r="Y152" s="1"/>
      <c r="Z152" s="1"/>
      <c r="AA152" s="1"/>
      <c r="AB152" s="1"/>
      <c r="AC152" s="1"/>
      <c r="AD152" s="1"/>
    </row>
    <row r="153" customFormat="false" ht="30" hidden="false" customHeight="true" outlineLevel="0" collapsed="false">
      <c r="A153" s="1"/>
      <c r="B153" s="49" t="str">
        <f aca="false">IF($C153="","",ROW()-8)</f>
        <v/>
      </c>
      <c r="C153" s="35"/>
      <c r="D153" s="8"/>
      <c r="E153" s="26"/>
      <c r="F153" s="26"/>
      <c r="G153" s="50"/>
      <c r="H153" s="50"/>
      <c r="I153" s="30" t="str">
        <f aca="false">IF($C153="","",IFERROR(S153/T153,"—"))</f>
        <v/>
      </c>
      <c r="J153" s="30" t="str">
        <f aca="false">IF($C153="","",IFERROR(V153/W153,"—"))</f>
        <v/>
      </c>
      <c r="K153" s="41" t="str">
        <f aca="false">IF($C153="","",IFERROR(J153/I153-1,""))</f>
        <v/>
      </c>
      <c r="L153" s="41" t="str">
        <f aca="false">IF($C153="","",IFERROR((U153-S153)/S153,"—"))</f>
        <v/>
      </c>
      <c r="M153" s="41" t="str">
        <f aca="false">IF($C153="","",IFERROR((X153-V153)/V153,"—"))</f>
        <v/>
      </c>
      <c r="N153" s="39" t="str">
        <f aca="false">IF($C153="","",T153/$D$5)</f>
        <v/>
      </c>
      <c r="O153" s="39" t="str">
        <f aca="false">IF($C153="","",W153/$D$5)</f>
        <v/>
      </c>
      <c r="P153" s="51" t="str">
        <f aca="false">IF($C153="","",IF(MAX(Статистика!$B$7:$B$1006)&lt;$C153+$D$5,"Чекаємо даних",IF(S153=0,"Новий (без бази)",IF(OR(T153=0,W153=0),"Мало даних",IF(K153&lt;=-$F$5,"Покращило",IF(K153&gt;=$F$5,"Погіршило","Без змін"))))))</f>
        <v/>
      </c>
      <c r="Q153" s="50"/>
      <c r="R153" s="1"/>
      <c r="S153" s="52" t="str">
        <f aca="false">IF($C153="","",SUMIFS(Статистика!$E$7:$E$1006,Статистика!$B$7:$B$1006,"&gt;="&amp;($C153-$D$5),Статистика!$B$7:$B$1006,"&lt;="&amp;($C153-1),Статистика!$C$7:$C$1006,IF($D153="","&lt;&gt;§",$D153),Статистика!$D$7:$D$1006,IF($E153="","&lt;&gt;§",$E153)))</f>
        <v/>
      </c>
      <c r="T153" s="52" t="str">
        <f aca="false">IF($C153="","",SUMIFS(Статистика!$H$7:$H$1006,Статистика!$B$7:$B$1006,"&gt;="&amp;($C153-$D$5),Статистика!$B$7:$B$1006,"&lt;="&amp;($C153-1),Статистика!$C$7:$C$1006,IF($D153="","&lt;&gt;§",$D153),Статистика!$D$7:$D$1006,IF($E153="","&lt;&gt;§",$E153)))</f>
        <v/>
      </c>
      <c r="U153" s="52" t="str">
        <f aca="false">IF($C153="","",SUMIFS(Статистика!$T$7:$T$1006,Статистика!$B$7:$B$1006,"&gt;="&amp;($C153-$D$5),Статистика!$B$7:$B$1006,"&lt;="&amp;($C153-1),Статистика!$C$7:$C$1006,IF($D153="","&lt;&gt;§",$D153),Статистика!$D$7:$D$1006,IF($E153="","&lt;&gt;§",$E153)))</f>
        <v/>
      </c>
      <c r="V153" s="52" t="str">
        <f aca="false">IF($C153="","",SUMIFS(Статистика!$E$7:$E$1006,Статистика!$B$7:$B$1006,"&gt;="&amp;($C153+1),Статистика!$B$7:$B$1006,"&lt;="&amp;($C153+$D$5),Статистика!$C$7:$C$1006,IF($D153="","&lt;&gt;§",$D153),Статистика!$D$7:$D$1006,IF($E153="","&lt;&gt;§",$E153)))</f>
        <v/>
      </c>
      <c r="W153" s="52" t="str">
        <f aca="false">IF($C153="","",SUMIFS(Статистика!$H$7:$H$1006,Статистика!$B$7:$B$1006,"&gt;="&amp;($C153+1),Статистика!$B$7:$B$1006,"&lt;="&amp;($C153+$D$5),Статистика!$C$7:$C$1006,IF($D153="","&lt;&gt;§",$D153),Статистика!$D$7:$D$1006,IF($E153="","&lt;&gt;§",$E153)))</f>
        <v/>
      </c>
      <c r="X153" s="52" t="str">
        <f aca="false">IF($C153="","",SUMIFS(Статистика!$T$7:$T$1006,Статистика!$B$7:$B$1006,"&gt;="&amp;($C153+1),Статистика!$B$7:$B$1006,"&lt;="&amp;($C153+$D$5),Статистика!$C$7:$C$1006,IF($D153="","&lt;&gt;§",$D153),Статистика!$D$7:$D$1006,IF($E153="","&lt;&gt;§",$E153)))</f>
        <v/>
      </c>
      <c r="Y153" s="1"/>
      <c r="Z153" s="1"/>
      <c r="AA153" s="1"/>
      <c r="AB153" s="1"/>
      <c r="AC153" s="1"/>
      <c r="AD153" s="1"/>
    </row>
    <row r="154" customFormat="false" ht="30" hidden="false" customHeight="true" outlineLevel="0" collapsed="false">
      <c r="A154" s="1"/>
      <c r="B154" s="49" t="str">
        <f aca="false">IF($C154="","",ROW()-8)</f>
        <v/>
      </c>
      <c r="C154" s="35"/>
      <c r="D154" s="8"/>
      <c r="E154" s="26"/>
      <c r="F154" s="26"/>
      <c r="G154" s="50"/>
      <c r="H154" s="50"/>
      <c r="I154" s="30" t="str">
        <f aca="false">IF($C154="","",IFERROR(S154/T154,"—"))</f>
        <v/>
      </c>
      <c r="J154" s="30" t="str">
        <f aca="false">IF($C154="","",IFERROR(V154/W154,"—"))</f>
        <v/>
      </c>
      <c r="K154" s="41" t="str">
        <f aca="false">IF($C154="","",IFERROR(J154/I154-1,""))</f>
        <v/>
      </c>
      <c r="L154" s="41" t="str">
        <f aca="false">IF($C154="","",IFERROR((U154-S154)/S154,"—"))</f>
        <v/>
      </c>
      <c r="M154" s="41" t="str">
        <f aca="false">IF($C154="","",IFERROR((X154-V154)/V154,"—"))</f>
        <v/>
      </c>
      <c r="N154" s="39" t="str">
        <f aca="false">IF($C154="","",T154/$D$5)</f>
        <v/>
      </c>
      <c r="O154" s="39" t="str">
        <f aca="false">IF($C154="","",W154/$D$5)</f>
        <v/>
      </c>
      <c r="P154" s="51" t="str">
        <f aca="false">IF($C154="","",IF(MAX(Статистика!$B$7:$B$1006)&lt;$C154+$D$5,"Чекаємо даних",IF(S154=0,"Новий (без бази)",IF(OR(T154=0,W154=0),"Мало даних",IF(K154&lt;=-$F$5,"Покращило",IF(K154&gt;=$F$5,"Погіршило","Без змін"))))))</f>
        <v/>
      </c>
      <c r="Q154" s="50"/>
      <c r="R154" s="1"/>
      <c r="S154" s="52" t="str">
        <f aca="false">IF($C154="","",SUMIFS(Статистика!$E$7:$E$1006,Статистика!$B$7:$B$1006,"&gt;="&amp;($C154-$D$5),Статистика!$B$7:$B$1006,"&lt;="&amp;($C154-1),Статистика!$C$7:$C$1006,IF($D154="","&lt;&gt;§",$D154),Статистика!$D$7:$D$1006,IF($E154="","&lt;&gt;§",$E154)))</f>
        <v/>
      </c>
      <c r="T154" s="52" t="str">
        <f aca="false">IF($C154="","",SUMIFS(Статистика!$H$7:$H$1006,Статистика!$B$7:$B$1006,"&gt;="&amp;($C154-$D$5),Статистика!$B$7:$B$1006,"&lt;="&amp;($C154-1),Статистика!$C$7:$C$1006,IF($D154="","&lt;&gt;§",$D154),Статистика!$D$7:$D$1006,IF($E154="","&lt;&gt;§",$E154)))</f>
        <v/>
      </c>
      <c r="U154" s="52" t="str">
        <f aca="false">IF($C154="","",SUMIFS(Статистика!$T$7:$T$1006,Статистика!$B$7:$B$1006,"&gt;="&amp;($C154-$D$5),Статистика!$B$7:$B$1006,"&lt;="&amp;($C154-1),Статистика!$C$7:$C$1006,IF($D154="","&lt;&gt;§",$D154),Статистика!$D$7:$D$1006,IF($E154="","&lt;&gt;§",$E154)))</f>
        <v/>
      </c>
      <c r="V154" s="52" t="str">
        <f aca="false">IF($C154="","",SUMIFS(Статистика!$E$7:$E$1006,Статистика!$B$7:$B$1006,"&gt;="&amp;($C154+1),Статистика!$B$7:$B$1006,"&lt;="&amp;($C154+$D$5),Статистика!$C$7:$C$1006,IF($D154="","&lt;&gt;§",$D154),Статистика!$D$7:$D$1006,IF($E154="","&lt;&gt;§",$E154)))</f>
        <v/>
      </c>
      <c r="W154" s="52" t="str">
        <f aca="false">IF($C154="","",SUMIFS(Статистика!$H$7:$H$1006,Статистика!$B$7:$B$1006,"&gt;="&amp;($C154+1),Статистика!$B$7:$B$1006,"&lt;="&amp;($C154+$D$5),Статистика!$C$7:$C$1006,IF($D154="","&lt;&gt;§",$D154),Статистика!$D$7:$D$1006,IF($E154="","&lt;&gt;§",$E154)))</f>
        <v/>
      </c>
      <c r="X154" s="52" t="str">
        <f aca="false">IF($C154="","",SUMIFS(Статистика!$T$7:$T$1006,Статистика!$B$7:$B$1006,"&gt;="&amp;($C154+1),Статистика!$B$7:$B$1006,"&lt;="&amp;($C154+$D$5),Статистика!$C$7:$C$1006,IF($D154="","&lt;&gt;§",$D154),Статистика!$D$7:$D$1006,IF($E154="","&lt;&gt;§",$E154)))</f>
        <v/>
      </c>
      <c r="Y154" s="1"/>
      <c r="Z154" s="1"/>
      <c r="AA154" s="1"/>
      <c r="AB154" s="1"/>
      <c r="AC154" s="1"/>
      <c r="AD154" s="1"/>
    </row>
    <row r="155" customFormat="false" ht="30" hidden="false" customHeight="true" outlineLevel="0" collapsed="false">
      <c r="A155" s="1"/>
      <c r="B155" s="49" t="str">
        <f aca="false">IF($C155="","",ROW()-8)</f>
        <v/>
      </c>
      <c r="C155" s="35"/>
      <c r="D155" s="8"/>
      <c r="E155" s="26"/>
      <c r="F155" s="26"/>
      <c r="G155" s="50"/>
      <c r="H155" s="50"/>
      <c r="I155" s="30" t="str">
        <f aca="false">IF($C155="","",IFERROR(S155/T155,"—"))</f>
        <v/>
      </c>
      <c r="J155" s="30" t="str">
        <f aca="false">IF($C155="","",IFERROR(V155/W155,"—"))</f>
        <v/>
      </c>
      <c r="K155" s="41" t="str">
        <f aca="false">IF($C155="","",IFERROR(J155/I155-1,""))</f>
        <v/>
      </c>
      <c r="L155" s="41" t="str">
        <f aca="false">IF($C155="","",IFERROR((U155-S155)/S155,"—"))</f>
        <v/>
      </c>
      <c r="M155" s="41" t="str">
        <f aca="false">IF($C155="","",IFERROR((X155-V155)/V155,"—"))</f>
        <v/>
      </c>
      <c r="N155" s="39" t="str">
        <f aca="false">IF($C155="","",T155/$D$5)</f>
        <v/>
      </c>
      <c r="O155" s="39" t="str">
        <f aca="false">IF($C155="","",W155/$D$5)</f>
        <v/>
      </c>
      <c r="P155" s="51" t="str">
        <f aca="false">IF($C155="","",IF(MAX(Статистика!$B$7:$B$1006)&lt;$C155+$D$5,"Чекаємо даних",IF(S155=0,"Новий (без бази)",IF(OR(T155=0,W155=0),"Мало даних",IF(K155&lt;=-$F$5,"Покращило",IF(K155&gt;=$F$5,"Погіршило","Без змін"))))))</f>
        <v/>
      </c>
      <c r="Q155" s="50"/>
      <c r="R155" s="1"/>
      <c r="S155" s="52" t="str">
        <f aca="false">IF($C155="","",SUMIFS(Статистика!$E$7:$E$1006,Статистика!$B$7:$B$1006,"&gt;="&amp;($C155-$D$5),Статистика!$B$7:$B$1006,"&lt;="&amp;($C155-1),Статистика!$C$7:$C$1006,IF($D155="","&lt;&gt;§",$D155),Статистика!$D$7:$D$1006,IF($E155="","&lt;&gt;§",$E155)))</f>
        <v/>
      </c>
      <c r="T155" s="52" t="str">
        <f aca="false">IF($C155="","",SUMIFS(Статистика!$H$7:$H$1006,Статистика!$B$7:$B$1006,"&gt;="&amp;($C155-$D$5),Статистика!$B$7:$B$1006,"&lt;="&amp;($C155-1),Статистика!$C$7:$C$1006,IF($D155="","&lt;&gt;§",$D155),Статистика!$D$7:$D$1006,IF($E155="","&lt;&gt;§",$E155)))</f>
        <v/>
      </c>
      <c r="U155" s="52" t="str">
        <f aca="false">IF($C155="","",SUMIFS(Статистика!$T$7:$T$1006,Статистика!$B$7:$B$1006,"&gt;="&amp;($C155-$D$5),Статистика!$B$7:$B$1006,"&lt;="&amp;($C155-1),Статистика!$C$7:$C$1006,IF($D155="","&lt;&gt;§",$D155),Статистика!$D$7:$D$1006,IF($E155="","&lt;&gt;§",$E155)))</f>
        <v/>
      </c>
      <c r="V155" s="52" t="str">
        <f aca="false">IF($C155="","",SUMIFS(Статистика!$E$7:$E$1006,Статистика!$B$7:$B$1006,"&gt;="&amp;($C155+1),Статистика!$B$7:$B$1006,"&lt;="&amp;($C155+$D$5),Статистика!$C$7:$C$1006,IF($D155="","&lt;&gt;§",$D155),Статистика!$D$7:$D$1006,IF($E155="","&lt;&gt;§",$E155)))</f>
        <v/>
      </c>
      <c r="W155" s="52" t="str">
        <f aca="false">IF($C155="","",SUMIFS(Статистика!$H$7:$H$1006,Статистика!$B$7:$B$1006,"&gt;="&amp;($C155+1),Статистика!$B$7:$B$1006,"&lt;="&amp;($C155+$D$5),Статистика!$C$7:$C$1006,IF($D155="","&lt;&gt;§",$D155),Статистика!$D$7:$D$1006,IF($E155="","&lt;&gt;§",$E155)))</f>
        <v/>
      </c>
      <c r="X155" s="52" t="str">
        <f aca="false">IF($C155="","",SUMIFS(Статистика!$T$7:$T$1006,Статистика!$B$7:$B$1006,"&gt;="&amp;($C155+1),Статистика!$B$7:$B$1006,"&lt;="&amp;($C155+$D$5),Статистика!$C$7:$C$1006,IF($D155="","&lt;&gt;§",$D155),Статистика!$D$7:$D$1006,IF($E155="","&lt;&gt;§",$E155)))</f>
        <v/>
      </c>
      <c r="Y155" s="1"/>
      <c r="Z155" s="1"/>
      <c r="AA155" s="1"/>
      <c r="AB155" s="1"/>
      <c r="AC155" s="1"/>
      <c r="AD155" s="1"/>
    </row>
    <row r="156" customFormat="false" ht="30" hidden="false" customHeight="true" outlineLevel="0" collapsed="false">
      <c r="A156" s="1"/>
      <c r="B156" s="49" t="str">
        <f aca="false">IF($C156="","",ROW()-8)</f>
        <v/>
      </c>
      <c r="C156" s="35"/>
      <c r="D156" s="8"/>
      <c r="E156" s="26"/>
      <c r="F156" s="26"/>
      <c r="G156" s="50"/>
      <c r="H156" s="50"/>
      <c r="I156" s="30" t="str">
        <f aca="false">IF($C156="","",IFERROR(S156/T156,"—"))</f>
        <v/>
      </c>
      <c r="J156" s="30" t="str">
        <f aca="false">IF($C156="","",IFERROR(V156/W156,"—"))</f>
        <v/>
      </c>
      <c r="K156" s="41" t="str">
        <f aca="false">IF($C156="","",IFERROR(J156/I156-1,""))</f>
        <v/>
      </c>
      <c r="L156" s="41" t="str">
        <f aca="false">IF($C156="","",IFERROR((U156-S156)/S156,"—"))</f>
        <v/>
      </c>
      <c r="M156" s="41" t="str">
        <f aca="false">IF($C156="","",IFERROR((X156-V156)/V156,"—"))</f>
        <v/>
      </c>
      <c r="N156" s="39" t="str">
        <f aca="false">IF($C156="","",T156/$D$5)</f>
        <v/>
      </c>
      <c r="O156" s="39" t="str">
        <f aca="false">IF($C156="","",W156/$D$5)</f>
        <v/>
      </c>
      <c r="P156" s="51" t="str">
        <f aca="false">IF($C156="","",IF(MAX(Статистика!$B$7:$B$1006)&lt;$C156+$D$5,"Чекаємо даних",IF(S156=0,"Новий (без бази)",IF(OR(T156=0,W156=0),"Мало даних",IF(K156&lt;=-$F$5,"Покращило",IF(K156&gt;=$F$5,"Погіршило","Без змін"))))))</f>
        <v/>
      </c>
      <c r="Q156" s="50"/>
      <c r="R156" s="1"/>
      <c r="S156" s="52" t="str">
        <f aca="false">IF($C156="","",SUMIFS(Статистика!$E$7:$E$1006,Статистика!$B$7:$B$1006,"&gt;="&amp;($C156-$D$5),Статистика!$B$7:$B$1006,"&lt;="&amp;($C156-1),Статистика!$C$7:$C$1006,IF($D156="","&lt;&gt;§",$D156),Статистика!$D$7:$D$1006,IF($E156="","&lt;&gt;§",$E156)))</f>
        <v/>
      </c>
      <c r="T156" s="52" t="str">
        <f aca="false">IF($C156="","",SUMIFS(Статистика!$H$7:$H$1006,Статистика!$B$7:$B$1006,"&gt;="&amp;($C156-$D$5),Статистика!$B$7:$B$1006,"&lt;="&amp;($C156-1),Статистика!$C$7:$C$1006,IF($D156="","&lt;&gt;§",$D156),Статистика!$D$7:$D$1006,IF($E156="","&lt;&gt;§",$E156)))</f>
        <v/>
      </c>
      <c r="U156" s="52" t="str">
        <f aca="false">IF($C156="","",SUMIFS(Статистика!$T$7:$T$1006,Статистика!$B$7:$B$1006,"&gt;="&amp;($C156-$D$5),Статистика!$B$7:$B$1006,"&lt;="&amp;($C156-1),Статистика!$C$7:$C$1006,IF($D156="","&lt;&gt;§",$D156),Статистика!$D$7:$D$1006,IF($E156="","&lt;&gt;§",$E156)))</f>
        <v/>
      </c>
      <c r="V156" s="52" t="str">
        <f aca="false">IF($C156="","",SUMIFS(Статистика!$E$7:$E$1006,Статистика!$B$7:$B$1006,"&gt;="&amp;($C156+1),Статистика!$B$7:$B$1006,"&lt;="&amp;($C156+$D$5),Статистика!$C$7:$C$1006,IF($D156="","&lt;&gt;§",$D156),Статистика!$D$7:$D$1006,IF($E156="","&lt;&gt;§",$E156)))</f>
        <v/>
      </c>
      <c r="W156" s="52" t="str">
        <f aca="false">IF($C156="","",SUMIFS(Статистика!$H$7:$H$1006,Статистика!$B$7:$B$1006,"&gt;="&amp;($C156+1),Статистика!$B$7:$B$1006,"&lt;="&amp;($C156+$D$5),Статистика!$C$7:$C$1006,IF($D156="","&lt;&gt;§",$D156),Статистика!$D$7:$D$1006,IF($E156="","&lt;&gt;§",$E156)))</f>
        <v/>
      </c>
      <c r="X156" s="52" t="str">
        <f aca="false">IF($C156="","",SUMIFS(Статистика!$T$7:$T$1006,Статистика!$B$7:$B$1006,"&gt;="&amp;($C156+1),Статистика!$B$7:$B$1006,"&lt;="&amp;($C156+$D$5),Статистика!$C$7:$C$1006,IF($D156="","&lt;&gt;§",$D156),Статистика!$D$7:$D$1006,IF($E156="","&lt;&gt;§",$E156)))</f>
        <v/>
      </c>
      <c r="Y156" s="1"/>
      <c r="Z156" s="1"/>
      <c r="AA156" s="1"/>
      <c r="AB156" s="1"/>
      <c r="AC156" s="1"/>
      <c r="AD156" s="1"/>
    </row>
    <row r="157" customFormat="false" ht="30" hidden="false" customHeight="true" outlineLevel="0" collapsed="false">
      <c r="A157" s="1"/>
      <c r="B157" s="49" t="str">
        <f aca="false">IF($C157="","",ROW()-8)</f>
        <v/>
      </c>
      <c r="C157" s="35"/>
      <c r="D157" s="8"/>
      <c r="E157" s="26"/>
      <c r="F157" s="26"/>
      <c r="G157" s="50"/>
      <c r="H157" s="50"/>
      <c r="I157" s="30" t="str">
        <f aca="false">IF($C157="","",IFERROR(S157/T157,"—"))</f>
        <v/>
      </c>
      <c r="J157" s="30" t="str">
        <f aca="false">IF($C157="","",IFERROR(V157/W157,"—"))</f>
        <v/>
      </c>
      <c r="K157" s="41" t="str">
        <f aca="false">IF($C157="","",IFERROR(J157/I157-1,""))</f>
        <v/>
      </c>
      <c r="L157" s="41" t="str">
        <f aca="false">IF($C157="","",IFERROR((U157-S157)/S157,"—"))</f>
        <v/>
      </c>
      <c r="M157" s="41" t="str">
        <f aca="false">IF($C157="","",IFERROR((X157-V157)/V157,"—"))</f>
        <v/>
      </c>
      <c r="N157" s="39" t="str">
        <f aca="false">IF($C157="","",T157/$D$5)</f>
        <v/>
      </c>
      <c r="O157" s="39" t="str">
        <f aca="false">IF($C157="","",W157/$D$5)</f>
        <v/>
      </c>
      <c r="P157" s="51" t="str">
        <f aca="false">IF($C157="","",IF(MAX(Статистика!$B$7:$B$1006)&lt;$C157+$D$5,"Чекаємо даних",IF(S157=0,"Новий (без бази)",IF(OR(T157=0,W157=0),"Мало даних",IF(K157&lt;=-$F$5,"Покращило",IF(K157&gt;=$F$5,"Погіршило","Без змін"))))))</f>
        <v/>
      </c>
      <c r="Q157" s="50"/>
      <c r="R157" s="1"/>
      <c r="S157" s="52" t="str">
        <f aca="false">IF($C157="","",SUMIFS(Статистика!$E$7:$E$1006,Статистика!$B$7:$B$1006,"&gt;="&amp;($C157-$D$5),Статистика!$B$7:$B$1006,"&lt;="&amp;($C157-1),Статистика!$C$7:$C$1006,IF($D157="","&lt;&gt;§",$D157),Статистика!$D$7:$D$1006,IF($E157="","&lt;&gt;§",$E157)))</f>
        <v/>
      </c>
      <c r="T157" s="52" t="str">
        <f aca="false">IF($C157="","",SUMIFS(Статистика!$H$7:$H$1006,Статистика!$B$7:$B$1006,"&gt;="&amp;($C157-$D$5),Статистика!$B$7:$B$1006,"&lt;="&amp;($C157-1),Статистика!$C$7:$C$1006,IF($D157="","&lt;&gt;§",$D157),Статистика!$D$7:$D$1006,IF($E157="","&lt;&gt;§",$E157)))</f>
        <v/>
      </c>
      <c r="U157" s="52" t="str">
        <f aca="false">IF($C157="","",SUMIFS(Статистика!$T$7:$T$1006,Статистика!$B$7:$B$1006,"&gt;="&amp;($C157-$D$5),Статистика!$B$7:$B$1006,"&lt;="&amp;($C157-1),Статистика!$C$7:$C$1006,IF($D157="","&lt;&gt;§",$D157),Статистика!$D$7:$D$1006,IF($E157="","&lt;&gt;§",$E157)))</f>
        <v/>
      </c>
      <c r="V157" s="52" t="str">
        <f aca="false">IF($C157="","",SUMIFS(Статистика!$E$7:$E$1006,Статистика!$B$7:$B$1006,"&gt;="&amp;($C157+1),Статистика!$B$7:$B$1006,"&lt;="&amp;($C157+$D$5),Статистика!$C$7:$C$1006,IF($D157="","&lt;&gt;§",$D157),Статистика!$D$7:$D$1006,IF($E157="","&lt;&gt;§",$E157)))</f>
        <v/>
      </c>
      <c r="W157" s="52" t="str">
        <f aca="false">IF($C157="","",SUMIFS(Статистика!$H$7:$H$1006,Статистика!$B$7:$B$1006,"&gt;="&amp;($C157+1),Статистика!$B$7:$B$1006,"&lt;="&amp;($C157+$D$5),Статистика!$C$7:$C$1006,IF($D157="","&lt;&gt;§",$D157),Статистика!$D$7:$D$1006,IF($E157="","&lt;&gt;§",$E157)))</f>
        <v/>
      </c>
      <c r="X157" s="52" t="str">
        <f aca="false">IF($C157="","",SUMIFS(Статистика!$T$7:$T$1006,Статистика!$B$7:$B$1006,"&gt;="&amp;($C157+1),Статистика!$B$7:$B$1006,"&lt;="&amp;($C157+$D$5),Статистика!$C$7:$C$1006,IF($D157="","&lt;&gt;§",$D157),Статистика!$D$7:$D$1006,IF($E157="","&lt;&gt;§",$E157)))</f>
        <v/>
      </c>
      <c r="Y157" s="1"/>
      <c r="Z157" s="1"/>
      <c r="AA157" s="1"/>
      <c r="AB157" s="1"/>
      <c r="AC157" s="1"/>
      <c r="AD157" s="1"/>
    </row>
    <row r="158" customFormat="false" ht="30" hidden="false" customHeight="true" outlineLevel="0" collapsed="false">
      <c r="A158" s="1"/>
      <c r="B158" s="49" t="str">
        <f aca="false">IF($C158="","",ROW()-8)</f>
        <v/>
      </c>
      <c r="C158" s="35"/>
      <c r="D158" s="8"/>
      <c r="E158" s="26"/>
      <c r="F158" s="26"/>
      <c r="G158" s="50"/>
      <c r="H158" s="50"/>
      <c r="I158" s="30" t="str">
        <f aca="false">IF($C158="","",IFERROR(S158/T158,"—"))</f>
        <v/>
      </c>
      <c r="J158" s="30" t="str">
        <f aca="false">IF($C158="","",IFERROR(V158/W158,"—"))</f>
        <v/>
      </c>
      <c r="K158" s="41" t="str">
        <f aca="false">IF($C158="","",IFERROR(J158/I158-1,""))</f>
        <v/>
      </c>
      <c r="L158" s="41" t="str">
        <f aca="false">IF($C158="","",IFERROR((U158-S158)/S158,"—"))</f>
        <v/>
      </c>
      <c r="M158" s="41" t="str">
        <f aca="false">IF($C158="","",IFERROR((X158-V158)/V158,"—"))</f>
        <v/>
      </c>
      <c r="N158" s="39" t="str">
        <f aca="false">IF($C158="","",T158/$D$5)</f>
        <v/>
      </c>
      <c r="O158" s="39" t="str">
        <f aca="false">IF($C158="","",W158/$D$5)</f>
        <v/>
      </c>
      <c r="P158" s="51" t="str">
        <f aca="false">IF($C158="","",IF(MAX(Статистика!$B$7:$B$1006)&lt;$C158+$D$5,"Чекаємо даних",IF(S158=0,"Новий (без бази)",IF(OR(T158=0,W158=0),"Мало даних",IF(K158&lt;=-$F$5,"Покращило",IF(K158&gt;=$F$5,"Погіршило","Без змін"))))))</f>
        <v/>
      </c>
      <c r="Q158" s="50"/>
      <c r="R158" s="1"/>
      <c r="S158" s="52" t="str">
        <f aca="false">IF($C158="","",SUMIFS(Статистика!$E$7:$E$1006,Статистика!$B$7:$B$1006,"&gt;="&amp;($C158-$D$5),Статистика!$B$7:$B$1006,"&lt;="&amp;($C158-1),Статистика!$C$7:$C$1006,IF($D158="","&lt;&gt;§",$D158),Статистика!$D$7:$D$1006,IF($E158="","&lt;&gt;§",$E158)))</f>
        <v/>
      </c>
      <c r="T158" s="52" t="str">
        <f aca="false">IF($C158="","",SUMIFS(Статистика!$H$7:$H$1006,Статистика!$B$7:$B$1006,"&gt;="&amp;($C158-$D$5),Статистика!$B$7:$B$1006,"&lt;="&amp;($C158-1),Статистика!$C$7:$C$1006,IF($D158="","&lt;&gt;§",$D158),Статистика!$D$7:$D$1006,IF($E158="","&lt;&gt;§",$E158)))</f>
        <v/>
      </c>
      <c r="U158" s="52" t="str">
        <f aca="false">IF($C158="","",SUMIFS(Статистика!$T$7:$T$1006,Статистика!$B$7:$B$1006,"&gt;="&amp;($C158-$D$5),Статистика!$B$7:$B$1006,"&lt;="&amp;($C158-1),Статистика!$C$7:$C$1006,IF($D158="","&lt;&gt;§",$D158),Статистика!$D$7:$D$1006,IF($E158="","&lt;&gt;§",$E158)))</f>
        <v/>
      </c>
      <c r="V158" s="52" t="str">
        <f aca="false">IF($C158="","",SUMIFS(Статистика!$E$7:$E$1006,Статистика!$B$7:$B$1006,"&gt;="&amp;($C158+1),Статистика!$B$7:$B$1006,"&lt;="&amp;($C158+$D$5),Статистика!$C$7:$C$1006,IF($D158="","&lt;&gt;§",$D158),Статистика!$D$7:$D$1006,IF($E158="","&lt;&gt;§",$E158)))</f>
        <v/>
      </c>
      <c r="W158" s="52" t="str">
        <f aca="false">IF($C158="","",SUMIFS(Статистика!$H$7:$H$1006,Статистика!$B$7:$B$1006,"&gt;="&amp;($C158+1),Статистика!$B$7:$B$1006,"&lt;="&amp;($C158+$D$5),Статистика!$C$7:$C$1006,IF($D158="","&lt;&gt;§",$D158),Статистика!$D$7:$D$1006,IF($E158="","&lt;&gt;§",$E158)))</f>
        <v/>
      </c>
      <c r="X158" s="52" t="str">
        <f aca="false">IF($C158="","",SUMIFS(Статистика!$T$7:$T$1006,Статистика!$B$7:$B$1006,"&gt;="&amp;($C158+1),Статистика!$B$7:$B$1006,"&lt;="&amp;($C158+$D$5),Статистика!$C$7:$C$1006,IF($D158="","&lt;&gt;§",$D158),Статистика!$D$7:$D$1006,IF($E158="","&lt;&gt;§",$E158)))</f>
        <v/>
      </c>
      <c r="Y158" s="1"/>
      <c r="Z158" s="1"/>
      <c r="AA158" s="1"/>
      <c r="AB158" s="1"/>
      <c r="AC158" s="1"/>
      <c r="AD158" s="1"/>
    </row>
    <row r="159" customFormat="false" ht="30" hidden="false" customHeight="true" outlineLevel="0" collapsed="false">
      <c r="A159" s="1"/>
      <c r="B159" s="49" t="str">
        <f aca="false">IF($C159="","",ROW()-8)</f>
        <v/>
      </c>
      <c r="C159" s="35"/>
      <c r="D159" s="8"/>
      <c r="E159" s="26"/>
      <c r="F159" s="26"/>
      <c r="G159" s="50"/>
      <c r="H159" s="50"/>
      <c r="I159" s="30" t="str">
        <f aca="false">IF($C159="","",IFERROR(S159/T159,"—"))</f>
        <v/>
      </c>
      <c r="J159" s="30" t="str">
        <f aca="false">IF($C159="","",IFERROR(V159/W159,"—"))</f>
        <v/>
      </c>
      <c r="K159" s="41" t="str">
        <f aca="false">IF($C159="","",IFERROR(J159/I159-1,""))</f>
        <v/>
      </c>
      <c r="L159" s="41" t="str">
        <f aca="false">IF($C159="","",IFERROR((U159-S159)/S159,"—"))</f>
        <v/>
      </c>
      <c r="M159" s="41" t="str">
        <f aca="false">IF($C159="","",IFERROR((X159-V159)/V159,"—"))</f>
        <v/>
      </c>
      <c r="N159" s="39" t="str">
        <f aca="false">IF($C159="","",T159/$D$5)</f>
        <v/>
      </c>
      <c r="O159" s="39" t="str">
        <f aca="false">IF($C159="","",W159/$D$5)</f>
        <v/>
      </c>
      <c r="P159" s="51" t="str">
        <f aca="false">IF($C159="","",IF(MAX(Статистика!$B$7:$B$1006)&lt;$C159+$D$5,"Чекаємо даних",IF(S159=0,"Новий (без бази)",IF(OR(T159=0,W159=0),"Мало даних",IF(K159&lt;=-$F$5,"Покращило",IF(K159&gt;=$F$5,"Погіршило","Без змін"))))))</f>
        <v/>
      </c>
      <c r="Q159" s="50"/>
      <c r="R159" s="1"/>
      <c r="S159" s="52" t="str">
        <f aca="false">IF($C159="","",SUMIFS(Статистика!$E$7:$E$1006,Статистика!$B$7:$B$1006,"&gt;="&amp;($C159-$D$5),Статистика!$B$7:$B$1006,"&lt;="&amp;($C159-1),Статистика!$C$7:$C$1006,IF($D159="","&lt;&gt;§",$D159),Статистика!$D$7:$D$1006,IF($E159="","&lt;&gt;§",$E159)))</f>
        <v/>
      </c>
      <c r="T159" s="52" t="str">
        <f aca="false">IF($C159="","",SUMIFS(Статистика!$H$7:$H$1006,Статистика!$B$7:$B$1006,"&gt;="&amp;($C159-$D$5),Статистика!$B$7:$B$1006,"&lt;="&amp;($C159-1),Статистика!$C$7:$C$1006,IF($D159="","&lt;&gt;§",$D159),Статистика!$D$7:$D$1006,IF($E159="","&lt;&gt;§",$E159)))</f>
        <v/>
      </c>
      <c r="U159" s="52" t="str">
        <f aca="false">IF($C159="","",SUMIFS(Статистика!$T$7:$T$1006,Статистика!$B$7:$B$1006,"&gt;="&amp;($C159-$D$5),Статистика!$B$7:$B$1006,"&lt;="&amp;($C159-1),Статистика!$C$7:$C$1006,IF($D159="","&lt;&gt;§",$D159),Статистика!$D$7:$D$1006,IF($E159="","&lt;&gt;§",$E159)))</f>
        <v/>
      </c>
      <c r="V159" s="52" t="str">
        <f aca="false">IF($C159="","",SUMIFS(Статистика!$E$7:$E$1006,Статистика!$B$7:$B$1006,"&gt;="&amp;($C159+1),Статистика!$B$7:$B$1006,"&lt;="&amp;($C159+$D$5),Статистика!$C$7:$C$1006,IF($D159="","&lt;&gt;§",$D159),Статистика!$D$7:$D$1006,IF($E159="","&lt;&gt;§",$E159)))</f>
        <v/>
      </c>
      <c r="W159" s="52" t="str">
        <f aca="false">IF($C159="","",SUMIFS(Статистика!$H$7:$H$1006,Статистика!$B$7:$B$1006,"&gt;="&amp;($C159+1),Статистика!$B$7:$B$1006,"&lt;="&amp;($C159+$D$5),Статистика!$C$7:$C$1006,IF($D159="","&lt;&gt;§",$D159),Статистика!$D$7:$D$1006,IF($E159="","&lt;&gt;§",$E159)))</f>
        <v/>
      </c>
      <c r="X159" s="52" t="str">
        <f aca="false">IF($C159="","",SUMIFS(Статистика!$T$7:$T$1006,Статистика!$B$7:$B$1006,"&gt;="&amp;($C159+1),Статистика!$B$7:$B$1006,"&lt;="&amp;($C159+$D$5),Статистика!$C$7:$C$1006,IF($D159="","&lt;&gt;§",$D159),Статистика!$D$7:$D$1006,IF($E159="","&lt;&gt;§",$E159)))</f>
        <v/>
      </c>
      <c r="Y159" s="1"/>
      <c r="Z159" s="1"/>
      <c r="AA159" s="1"/>
      <c r="AB159" s="1"/>
      <c r="AC159" s="1"/>
      <c r="AD159" s="1"/>
    </row>
    <row r="160" customFormat="false" ht="30" hidden="false" customHeight="true" outlineLevel="0" collapsed="false">
      <c r="A160" s="1"/>
      <c r="B160" s="49" t="str">
        <f aca="false">IF($C160="","",ROW()-8)</f>
        <v/>
      </c>
      <c r="C160" s="35"/>
      <c r="D160" s="8"/>
      <c r="E160" s="26"/>
      <c r="F160" s="26"/>
      <c r="G160" s="50"/>
      <c r="H160" s="50"/>
      <c r="I160" s="30" t="str">
        <f aca="false">IF($C160="","",IFERROR(S160/T160,"—"))</f>
        <v/>
      </c>
      <c r="J160" s="30" t="str">
        <f aca="false">IF($C160="","",IFERROR(V160/W160,"—"))</f>
        <v/>
      </c>
      <c r="K160" s="41" t="str">
        <f aca="false">IF($C160="","",IFERROR(J160/I160-1,""))</f>
        <v/>
      </c>
      <c r="L160" s="41" t="str">
        <f aca="false">IF($C160="","",IFERROR((U160-S160)/S160,"—"))</f>
        <v/>
      </c>
      <c r="M160" s="41" t="str">
        <f aca="false">IF($C160="","",IFERROR((X160-V160)/V160,"—"))</f>
        <v/>
      </c>
      <c r="N160" s="39" t="str">
        <f aca="false">IF($C160="","",T160/$D$5)</f>
        <v/>
      </c>
      <c r="O160" s="39" t="str">
        <f aca="false">IF($C160="","",W160/$D$5)</f>
        <v/>
      </c>
      <c r="P160" s="51" t="str">
        <f aca="false">IF($C160="","",IF(MAX(Статистика!$B$7:$B$1006)&lt;$C160+$D$5,"Чекаємо даних",IF(S160=0,"Новий (без бази)",IF(OR(T160=0,W160=0),"Мало даних",IF(K160&lt;=-$F$5,"Покращило",IF(K160&gt;=$F$5,"Погіршило","Без змін"))))))</f>
        <v/>
      </c>
      <c r="Q160" s="50"/>
      <c r="R160" s="1"/>
      <c r="S160" s="52" t="str">
        <f aca="false">IF($C160="","",SUMIFS(Статистика!$E$7:$E$1006,Статистика!$B$7:$B$1006,"&gt;="&amp;($C160-$D$5),Статистика!$B$7:$B$1006,"&lt;="&amp;($C160-1),Статистика!$C$7:$C$1006,IF($D160="","&lt;&gt;§",$D160),Статистика!$D$7:$D$1006,IF($E160="","&lt;&gt;§",$E160)))</f>
        <v/>
      </c>
      <c r="T160" s="52" t="str">
        <f aca="false">IF($C160="","",SUMIFS(Статистика!$H$7:$H$1006,Статистика!$B$7:$B$1006,"&gt;="&amp;($C160-$D$5),Статистика!$B$7:$B$1006,"&lt;="&amp;($C160-1),Статистика!$C$7:$C$1006,IF($D160="","&lt;&gt;§",$D160),Статистика!$D$7:$D$1006,IF($E160="","&lt;&gt;§",$E160)))</f>
        <v/>
      </c>
      <c r="U160" s="52" t="str">
        <f aca="false">IF($C160="","",SUMIFS(Статистика!$T$7:$T$1006,Статистика!$B$7:$B$1006,"&gt;="&amp;($C160-$D$5),Статистика!$B$7:$B$1006,"&lt;="&amp;($C160-1),Статистика!$C$7:$C$1006,IF($D160="","&lt;&gt;§",$D160),Статистика!$D$7:$D$1006,IF($E160="","&lt;&gt;§",$E160)))</f>
        <v/>
      </c>
      <c r="V160" s="52" t="str">
        <f aca="false">IF($C160="","",SUMIFS(Статистика!$E$7:$E$1006,Статистика!$B$7:$B$1006,"&gt;="&amp;($C160+1),Статистика!$B$7:$B$1006,"&lt;="&amp;($C160+$D$5),Статистика!$C$7:$C$1006,IF($D160="","&lt;&gt;§",$D160),Статистика!$D$7:$D$1006,IF($E160="","&lt;&gt;§",$E160)))</f>
        <v/>
      </c>
      <c r="W160" s="52" t="str">
        <f aca="false">IF($C160="","",SUMIFS(Статистика!$H$7:$H$1006,Статистика!$B$7:$B$1006,"&gt;="&amp;($C160+1),Статистика!$B$7:$B$1006,"&lt;="&amp;($C160+$D$5),Статистика!$C$7:$C$1006,IF($D160="","&lt;&gt;§",$D160),Статистика!$D$7:$D$1006,IF($E160="","&lt;&gt;§",$E160)))</f>
        <v/>
      </c>
      <c r="X160" s="52" t="str">
        <f aca="false">IF($C160="","",SUMIFS(Статистика!$T$7:$T$1006,Статистика!$B$7:$B$1006,"&gt;="&amp;($C160+1),Статистика!$B$7:$B$1006,"&lt;="&amp;($C160+$D$5),Статистика!$C$7:$C$1006,IF($D160="","&lt;&gt;§",$D160),Статистика!$D$7:$D$1006,IF($E160="","&lt;&gt;§",$E160)))</f>
        <v/>
      </c>
      <c r="Y160" s="1"/>
      <c r="Z160" s="1"/>
      <c r="AA160" s="1"/>
      <c r="AB160" s="1"/>
      <c r="AC160" s="1"/>
      <c r="AD160" s="1"/>
    </row>
    <row r="161" customFormat="false" ht="30" hidden="false" customHeight="true" outlineLevel="0" collapsed="false">
      <c r="A161" s="1"/>
      <c r="B161" s="49" t="str">
        <f aca="false">IF($C161="","",ROW()-8)</f>
        <v/>
      </c>
      <c r="C161" s="35"/>
      <c r="D161" s="8"/>
      <c r="E161" s="26"/>
      <c r="F161" s="26"/>
      <c r="G161" s="50"/>
      <c r="H161" s="50"/>
      <c r="I161" s="30" t="str">
        <f aca="false">IF($C161="","",IFERROR(S161/T161,"—"))</f>
        <v/>
      </c>
      <c r="J161" s="30" t="str">
        <f aca="false">IF($C161="","",IFERROR(V161/W161,"—"))</f>
        <v/>
      </c>
      <c r="K161" s="41" t="str">
        <f aca="false">IF($C161="","",IFERROR(J161/I161-1,""))</f>
        <v/>
      </c>
      <c r="L161" s="41" t="str">
        <f aca="false">IF($C161="","",IFERROR((U161-S161)/S161,"—"))</f>
        <v/>
      </c>
      <c r="M161" s="41" t="str">
        <f aca="false">IF($C161="","",IFERROR((X161-V161)/V161,"—"))</f>
        <v/>
      </c>
      <c r="N161" s="39" t="str">
        <f aca="false">IF($C161="","",T161/$D$5)</f>
        <v/>
      </c>
      <c r="O161" s="39" t="str">
        <f aca="false">IF($C161="","",W161/$D$5)</f>
        <v/>
      </c>
      <c r="P161" s="51" t="str">
        <f aca="false">IF($C161="","",IF(MAX(Статистика!$B$7:$B$1006)&lt;$C161+$D$5,"Чекаємо даних",IF(S161=0,"Новий (без бази)",IF(OR(T161=0,W161=0),"Мало даних",IF(K161&lt;=-$F$5,"Покращило",IF(K161&gt;=$F$5,"Погіршило","Без змін"))))))</f>
        <v/>
      </c>
      <c r="Q161" s="50"/>
      <c r="R161" s="1"/>
      <c r="S161" s="52" t="str">
        <f aca="false">IF($C161="","",SUMIFS(Статистика!$E$7:$E$1006,Статистика!$B$7:$B$1006,"&gt;="&amp;($C161-$D$5),Статистика!$B$7:$B$1006,"&lt;="&amp;($C161-1),Статистика!$C$7:$C$1006,IF($D161="","&lt;&gt;§",$D161),Статистика!$D$7:$D$1006,IF($E161="","&lt;&gt;§",$E161)))</f>
        <v/>
      </c>
      <c r="T161" s="52" t="str">
        <f aca="false">IF($C161="","",SUMIFS(Статистика!$H$7:$H$1006,Статистика!$B$7:$B$1006,"&gt;="&amp;($C161-$D$5),Статистика!$B$7:$B$1006,"&lt;="&amp;($C161-1),Статистика!$C$7:$C$1006,IF($D161="","&lt;&gt;§",$D161),Статистика!$D$7:$D$1006,IF($E161="","&lt;&gt;§",$E161)))</f>
        <v/>
      </c>
      <c r="U161" s="52" t="str">
        <f aca="false">IF($C161="","",SUMIFS(Статистика!$T$7:$T$1006,Статистика!$B$7:$B$1006,"&gt;="&amp;($C161-$D$5),Статистика!$B$7:$B$1006,"&lt;="&amp;($C161-1),Статистика!$C$7:$C$1006,IF($D161="","&lt;&gt;§",$D161),Статистика!$D$7:$D$1006,IF($E161="","&lt;&gt;§",$E161)))</f>
        <v/>
      </c>
      <c r="V161" s="52" t="str">
        <f aca="false">IF($C161="","",SUMIFS(Статистика!$E$7:$E$1006,Статистика!$B$7:$B$1006,"&gt;="&amp;($C161+1),Статистика!$B$7:$B$1006,"&lt;="&amp;($C161+$D$5),Статистика!$C$7:$C$1006,IF($D161="","&lt;&gt;§",$D161),Статистика!$D$7:$D$1006,IF($E161="","&lt;&gt;§",$E161)))</f>
        <v/>
      </c>
      <c r="W161" s="52" t="str">
        <f aca="false">IF($C161="","",SUMIFS(Статистика!$H$7:$H$1006,Статистика!$B$7:$B$1006,"&gt;="&amp;($C161+1),Статистика!$B$7:$B$1006,"&lt;="&amp;($C161+$D$5),Статистика!$C$7:$C$1006,IF($D161="","&lt;&gt;§",$D161),Статистика!$D$7:$D$1006,IF($E161="","&lt;&gt;§",$E161)))</f>
        <v/>
      </c>
      <c r="X161" s="52" t="str">
        <f aca="false">IF($C161="","",SUMIFS(Статистика!$T$7:$T$1006,Статистика!$B$7:$B$1006,"&gt;="&amp;($C161+1),Статистика!$B$7:$B$1006,"&lt;="&amp;($C161+$D$5),Статистика!$C$7:$C$1006,IF($D161="","&lt;&gt;§",$D161),Статистика!$D$7:$D$1006,IF($E161="","&lt;&gt;§",$E161)))</f>
        <v/>
      </c>
      <c r="Y161" s="1"/>
      <c r="Z161" s="1"/>
      <c r="AA161" s="1"/>
      <c r="AB161" s="1"/>
      <c r="AC161" s="1"/>
      <c r="AD161" s="1"/>
    </row>
    <row r="162" customFormat="false" ht="30" hidden="false" customHeight="true" outlineLevel="0" collapsed="false">
      <c r="A162" s="1"/>
      <c r="B162" s="49" t="str">
        <f aca="false">IF($C162="","",ROW()-8)</f>
        <v/>
      </c>
      <c r="C162" s="35"/>
      <c r="D162" s="8"/>
      <c r="E162" s="26"/>
      <c r="F162" s="26"/>
      <c r="G162" s="50"/>
      <c r="H162" s="50"/>
      <c r="I162" s="30" t="str">
        <f aca="false">IF($C162="","",IFERROR(S162/T162,"—"))</f>
        <v/>
      </c>
      <c r="J162" s="30" t="str">
        <f aca="false">IF($C162="","",IFERROR(V162/W162,"—"))</f>
        <v/>
      </c>
      <c r="K162" s="41" t="str">
        <f aca="false">IF($C162="","",IFERROR(J162/I162-1,""))</f>
        <v/>
      </c>
      <c r="L162" s="41" t="str">
        <f aca="false">IF($C162="","",IFERROR((U162-S162)/S162,"—"))</f>
        <v/>
      </c>
      <c r="M162" s="41" t="str">
        <f aca="false">IF($C162="","",IFERROR((X162-V162)/V162,"—"))</f>
        <v/>
      </c>
      <c r="N162" s="39" t="str">
        <f aca="false">IF($C162="","",T162/$D$5)</f>
        <v/>
      </c>
      <c r="O162" s="39" t="str">
        <f aca="false">IF($C162="","",W162/$D$5)</f>
        <v/>
      </c>
      <c r="P162" s="51" t="str">
        <f aca="false">IF($C162="","",IF(MAX(Статистика!$B$7:$B$1006)&lt;$C162+$D$5,"Чекаємо даних",IF(S162=0,"Новий (без бази)",IF(OR(T162=0,W162=0),"Мало даних",IF(K162&lt;=-$F$5,"Покращило",IF(K162&gt;=$F$5,"Погіршило","Без змін"))))))</f>
        <v/>
      </c>
      <c r="Q162" s="50"/>
      <c r="R162" s="1"/>
      <c r="S162" s="52" t="str">
        <f aca="false">IF($C162="","",SUMIFS(Статистика!$E$7:$E$1006,Статистика!$B$7:$B$1006,"&gt;="&amp;($C162-$D$5),Статистика!$B$7:$B$1006,"&lt;="&amp;($C162-1),Статистика!$C$7:$C$1006,IF($D162="","&lt;&gt;§",$D162),Статистика!$D$7:$D$1006,IF($E162="","&lt;&gt;§",$E162)))</f>
        <v/>
      </c>
      <c r="T162" s="52" t="str">
        <f aca="false">IF($C162="","",SUMIFS(Статистика!$H$7:$H$1006,Статистика!$B$7:$B$1006,"&gt;="&amp;($C162-$D$5),Статистика!$B$7:$B$1006,"&lt;="&amp;($C162-1),Статистика!$C$7:$C$1006,IF($D162="","&lt;&gt;§",$D162),Статистика!$D$7:$D$1006,IF($E162="","&lt;&gt;§",$E162)))</f>
        <v/>
      </c>
      <c r="U162" s="52" t="str">
        <f aca="false">IF($C162="","",SUMIFS(Статистика!$T$7:$T$1006,Статистика!$B$7:$B$1006,"&gt;="&amp;($C162-$D$5),Статистика!$B$7:$B$1006,"&lt;="&amp;($C162-1),Статистика!$C$7:$C$1006,IF($D162="","&lt;&gt;§",$D162),Статистика!$D$7:$D$1006,IF($E162="","&lt;&gt;§",$E162)))</f>
        <v/>
      </c>
      <c r="V162" s="52" t="str">
        <f aca="false">IF($C162="","",SUMIFS(Статистика!$E$7:$E$1006,Статистика!$B$7:$B$1006,"&gt;="&amp;($C162+1),Статистика!$B$7:$B$1006,"&lt;="&amp;($C162+$D$5),Статистика!$C$7:$C$1006,IF($D162="","&lt;&gt;§",$D162),Статистика!$D$7:$D$1006,IF($E162="","&lt;&gt;§",$E162)))</f>
        <v/>
      </c>
      <c r="W162" s="52" t="str">
        <f aca="false">IF($C162="","",SUMIFS(Статистика!$H$7:$H$1006,Статистика!$B$7:$B$1006,"&gt;="&amp;($C162+1),Статистика!$B$7:$B$1006,"&lt;="&amp;($C162+$D$5),Статистика!$C$7:$C$1006,IF($D162="","&lt;&gt;§",$D162),Статистика!$D$7:$D$1006,IF($E162="","&lt;&gt;§",$E162)))</f>
        <v/>
      </c>
      <c r="X162" s="52" t="str">
        <f aca="false">IF($C162="","",SUMIFS(Статистика!$T$7:$T$1006,Статистика!$B$7:$B$1006,"&gt;="&amp;($C162+1),Статистика!$B$7:$B$1006,"&lt;="&amp;($C162+$D$5),Статистика!$C$7:$C$1006,IF($D162="","&lt;&gt;§",$D162),Статистика!$D$7:$D$1006,IF($E162="","&lt;&gt;§",$E162)))</f>
        <v/>
      </c>
      <c r="Y162" s="1"/>
      <c r="Z162" s="1"/>
      <c r="AA162" s="1"/>
      <c r="AB162" s="1"/>
      <c r="AC162" s="1"/>
      <c r="AD162" s="1"/>
    </row>
    <row r="163" customFormat="false" ht="30" hidden="false" customHeight="true" outlineLevel="0" collapsed="false">
      <c r="A163" s="1"/>
      <c r="B163" s="49" t="str">
        <f aca="false">IF($C163="","",ROW()-8)</f>
        <v/>
      </c>
      <c r="C163" s="35"/>
      <c r="D163" s="8"/>
      <c r="E163" s="26"/>
      <c r="F163" s="26"/>
      <c r="G163" s="50"/>
      <c r="H163" s="50"/>
      <c r="I163" s="30" t="str">
        <f aca="false">IF($C163="","",IFERROR(S163/T163,"—"))</f>
        <v/>
      </c>
      <c r="J163" s="30" t="str">
        <f aca="false">IF($C163="","",IFERROR(V163/W163,"—"))</f>
        <v/>
      </c>
      <c r="K163" s="41" t="str">
        <f aca="false">IF($C163="","",IFERROR(J163/I163-1,""))</f>
        <v/>
      </c>
      <c r="L163" s="41" t="str">
        <f aca="false">IF($C163="","",IFERROR((U163-S163)/S163,"—"))</f>
        <v/>
      </c>
      <c r="M163" s="41" t="str">
        <f aca="false">IF($C163="","",IFERROR((X163-V163)/V163,"—"))</f>
        <v/>
      </c>
      <c r="N163" s="39" t="str">
        <f aca="false">IF($C163="","",T163/$D$5)</f>
        <v/>
      </c>
      <c r="O163" s="39" t="str">
        <f aca="false">IF($C163="","",W163/$D$5)</f>
        <v/>
      </c>
      <c r="P163" s="51" t="str">
        <f aca="false">IF($C163="","",IF(MAX(Статистика!$B$7:$B$1006)&lt;$C163+$D$5,"Чекаємо даних",IF(S163=0,"Новий (без бази)",IF(OR(T163=0,W163=0),"Мало даних",IF(K163&lt;=-$F$5,"Покращило",IF(K163&gt;=$F$5,"Погіршило","Без змін"))))))</f>
        <v/>
      </c>
      <c r="Q163" s="50"/>
      <c r="R163" s="1"/>
      <c r="S163" s="52" t="str">
        <f aca="false">IF($C163="","",SUMIFS(Статистика!$E$7:$E$1006,Статистика!$B$7:$B$1006,"&gt;="&amp;($C163-$D$5),Статистика!$B$7:$B$1006,"&lt;="&amp;($C163-1),Статистика!$C$7:$C$1006,IF($D163="","&lt;&gt;§",$D163),Статистика!$D$7:$D$1006,IF($E163="","&lt;&gt;§",$E163)))</f>
        <v/>
      </c>
      <c r="T163" s="52" t="str">
        <f aca="false">IF($C163="","",SUMIFS(Статистика!$H$7:$H$1006,Статистика!$B$7:$B$1006,"&gt;="&amp;($C163-$D$5),Статистика!$B$7:$B$1006,"&lt;="&amp;($C163-1),Статистика!$C$7:$C$1006,IF($D163="","&lt;&gt;§",$D163),Статистика!$D$7:$D$1006,IF($E163="","&lt;&gt;§",$E163)))</f>
        <v/>
      </c>
      <c r="U163" s="52" t="str">
        <f aca="false">IF($C163="","",SUMIFS(Статистика!$T$7:$T$1006,Статистика!$B$7:$B$1006,"&gt;="&amp;($C163-$D$5),Статистика!$B$7:$B$1006,"&lt;="&amp;($C163-1),Статистика!$C$7:$C$1006,IF($D163="","&lt;&gt;§",$D163),Статистика!$D$7:$D$1006,IF($E163="","&lt;&gt;§",$E163)))</f>
        <v/>
      </c>
      <c r="V163" s="52" t="str">
        <f aca="false">IF($C163="","",SUMIFS(Статистика!$E$7:$E$1006,Статистика!$B$7:$B$1006,"&gt;="&amp;($C163+1),Статистика!$B$7:$B$1006,"&lt;="&amp;($C163+$D$5),Статистика!$C$7:$C$1006,IF($D163="","&lt;&gt;§",$D163),Статистика!$D$7:$D$1006,IF($E163="","&lt;&gt;§",$E163)))</f>
        <v/>
      </c>
      <c r="W163" s="52" t="str">
        <f aca="false">IF($C163="","",SUMIFS(Статистика!$H$7:$H$1006,Статистика!$B$7:$B$1006,"&gt;="&amp;($C163+1),Статистика!$B$7:$B$1006,"&lt;="&amp;($C163+$D$5),Статистика!$C$7:$C$1006,IF($D163="","&lt;&gt;§",$D163),Статистика!$D$7:$D$1006,IF($E163="","&lt;&gt;§",$E163)))</f>
        <v/>
      </c>
      <c r="X163" s="52" t="str">
        <f aca="false">IF($C163="","",SUMIFS(Статистика!$T$7:$T$1006,Статистика!$B$7:$B$1006,"&gt;="&amp;($C163+1),Статистика!$B$7:$B$1006,"&lt;="&amp;($C163+$D$5),Статистика!$C$7:$C$1006,IF($D163="","&lt;&gt;§",$D163),Статистика!$D$7:$D$1006,IF($E163="","&lt;&gt;§",$E163)))</f>
        <v/>
      </c>
      <c r="Y163" s="1"/>
      <c r="Z163" s="1"/>
      <c r="AA163" s="1"/>
      <c r="AB163" s="1"/>
      <c r="AC163" s="1"/>
      <c r="AD163" s="1"/>
    </row>
    <row r="164" customFormat="false" ht="30" hidden="false" customHeight="true" outlineLevel="0" collapsed="false">
      <c r="A164" s="1"/>
      <c r="B164" s="49" t="str">
        <f aca="false">IF($C164="","",ROW()-8)</f>
        <v/>
      </c>
      <c r="C164" s="35"/>
      <c r="D164" s="8"/>
      <c r="E164" s="26"/>
      <c r="F164" s="26"/>
      <c r="G164" s="50"/>
      <c r="H164" s="50"/>
      <c r="I164" s="30" t="str">
        <f aca="false">IF($C164="","",IFERROR(S164/T164,"—"))</f>
        <v/>
      </c>
      <c r="J164" s="30" t="str">
        <f aca="false">IF($C164="","",IFERROR(V164/W164,"—"))</f>
        <v/>
      </c>
      <c r="K164" s="41" t="str">
        <f aca="false">IF($C164="","",IFERROR(J164/I164-1,""))</f>
        <v/>
      </c>
      <c r="L164" s="41" t="str">
        <f aca="false">IF($C164="","",IFERROR((U164-S164)/S164,"—"))</f>
        <v/>
      </c>
      <c r="M164" s="41" t="str">
        <f aca="false">IF($C164="","",IFERROR((X164-V164)/V164,"—"))</f>
        <v/>
      </c>
      <c r="N164" s="39" t="str">
        <f aca="false">IF($C164="","",T164/$D$5)</f>
        <v/>
      </c>
      <c r="O164" s="39" t="str">
        <f aca="false">IF($C164="","",W164/$D$5)</f>
        <v/>
      </c>
      <c r="P164" s="51" t="str">
        <f aca="false">IF($C164="","",IF(MAX(Статистика!$B$7:$B$1006)&lt;$C164+$D$5,"Чекаємо даних",IF(S164=0,"Новий (без бази)",IF(OR(T164=0,W164=0),"Мало даних",IF(K164&lt;=-$F$5,"Покращило",IF(K164&gt;=$F$5,"Погіршило","Без змін"))))))</f>
        <v/>
      </c>
      <c r="Q164" s="50"/>
      <c r="R164" s="1"/>
      <c r="S164" s="52" t="str">
        <f aca="false">IF($C164="","",SUMIFS(Статистика!$E$7:$E$1006,Статистика!$B$7:$B$1006,"&gt;="&amp;($C164-$D$5),Статистика!$B$7:$B$1006,"&lt;="&amp;($C164-1),Статистика!$C$7:$C$1006,IF($D164="","&lt;&gt;§",$D164),Статистика!$D$7:$D$1006,IF($E164="","&lt;&gt;§",$E164)))</f>
        <v/>
      </c>
      <c r="T164" s="52" t="str">
        <f aca="false">IF($C164="","",SUMIFS(Статистика!$H$7:$H$1006,Статистика!$B$7:$B$1006,"&gt;="&amp;($C164-$D$5),Статистика!$B$7:$B$1006,"&lt;="&amp;($C164-1),Статистика!$C$7:$C$1006,IF($D164="","&lt;&gt;§",$D164),Статистика!$D$7:$D$1006,IF($E164="","&lt;&gt;§",$E164)))</f>
        <v/>
      </c>
      <c r="U164" s="52" t="str">
        <f aca="false">IF($C164="","",SUMIFS(Статистика!$T$7:$T$1006,Статистика!$B$7:$B$1006,"&gt;="&amp;($C164-$D$5),Статистика!$B$7:$B$1006,"&lt;="&amp;($C164-1),Статистика!$C$7:$C$1006,IF($D164="","&lt;&gt;§",$D164),Статистика!$D$7:$D$1006,IF($E164="","&lt;&gt;§",$E164)))</f>
        <v/>
      </c>
      <c r="V164" s="52" t="str">
        <f aca="false">IF($C164="","",SUMIFS(Статистика!$E$7:$E$1006,Статистика!$B$7:$B$1006,"&gt;="&amp;($C164+1),Статистика!$B$7:$B$1006,"&lt;="&amp;($C164+$D$5),Статистика!$C$7:$C$1006,IF($D164="","&lt;&gt;§",$D164),Статистика!$D$7:$D$1006,IF($E164="","&lt;&gt;§",$E164)))</f>
        <v/>
      </c>
      <c r="W164" s="52" t="str">
        <f aca="false">IF($C164="","",SUMIFS(Статистика!$H$7:$H$1006,Статистика!$B$7:$B$1006,"&gt;="&amp;($C164+1),Статистика!$B$7:$B$1006,"&lt;="&amp;($C164+$D$5),Статистика!$C$7:$C$1006,IF($D164="","&lt;&gt;§",$D164),Статистика!$D$7:$D$1006,IF($E164="","&lt;&gt;§",$E164)))</f>
        <v/>
      </c>
      <c r="X164" s="52" t="str">
        <f aca="false">IF($C164="","",SUMIFS(Статистика!$T$7:$T$1006,Статистика!$B$7:$B$1006,"&gt;="&amp;($C164+1),Статистика!$B$7:$B$1006,"&lt;="&amp;($C164+$D$5),Статистика!$C$7:$C$1006,IF($D164="","&lt;&gt;§",$D164),Статистика!$D$7:$D$1006,IF($E164="","&lt;&gt;§",$E164)))</f>
        <v/>
      </c>
      <c r="Y164" s="1"/>
      <c r="Z164" s="1"/>
      <c r="AA164" s="1"/>
      <c r="AB164" s="1"/>
      <c r="AC164" s="1"/>
      <c r="AD164" s="1"/>
    </row>
    <row r="165" customFormat="false" ht="30" hidden="false" customHeight="true" outlineLevel="0" collapsed="false">
      <c r="A165" s="1"/>
      <c r="B165" s="49" t="str">
        <f aca="false">IF($C165="","",ROW()-8)</f>
        <v/>
      </c>
      <c r="C165" s="35"/>
      <c r="D165" s="8"/>
      <c r="E165" s="26"/>
      <c r="F165" s="26"/>
      <c r="G165" s="50"/>
      <c r="H165" s="50"/>
      <c r="I165" s="30" t="str">
        <f aca="false">IF($C165="","",IFERROR(S165/T165,"—"))</f>
        <v/>
      </c>
      <c r="J165" s="30" t="str">
        <f aca="false">IF($C165="","",IFERROR(V165/W165,"—"))</f>
        <v/>
      </c>
      <c r="K165" s="41" t="str">
        <f aca="false">IF($C165="","",IFERROR(J165/I165-1,""))</f>
        <v/>
      </c>
      <c r="L165" s="41" t="str">
        <f aca="false">IF($C165="","",IFERROR((U165-S165)/S165,"—"))</f>
        <v/>
      </c>
      <c r="M165" s="41" t="str">
        <f aca="false">IF($C165="","",IFERROR((X165-V165)/V165,"—"))</f>
        <v/>
      </c>
      <c r="N165" s="39" t="str">
        <f aca="false">IF($C165="","",T165/$D$5)</f>
        <v/>
      </c>
      <c r="O165" s="39" t="str">
        <f aca="false">IF($C165="","",W165/$D$5)</f>
        <v/>
      </c>
      <c r="P165" s="51" t="str">
        <f aca="false">IF($C165="","",IF(MAX(Статистика!$B$7:$B$1006)&lt;$C165+$D$5,"Чекаємо даних",IF(S165=0,"Новий (без бази)",IF(OR(T165=0,W165=0),"Мало даних",IF(K165&lt;=-$F$5,"Покращило",IF(K165&gt;=$F$5,"Погіршило","Без змін"))))))</f>
        <v/>
      </c>
      <c r="Q165" s="50"/>
      <c r="R165" s="1"/>
      <c r="S165" s="52" t="str">
        <f aca="false">IF($C165="","",SUMIFS(Статистика!$E$7:$E$1006,Статистика!$B$7:$B$1006,"&gt;="&amp;($C165-$D$5),Статистика!$B$7:$B$1006,"&lt;="&amp;($C165-1),Статистика!$C$7:$C$1006,IF($D165="","&lt;&gt;§",$D165),Статистика!$D$7:$D$1006,IF($E165="","&lt;&gt;§",$E165)))</f>
        <v/>
      </c>
      <c r="T165" s="52" t="str">
        <f aca="false">IF($C165="","",SUMIFS(Статистика!$H$7:$H$1006,Статистика!$B$7:$B$1006,"&gt;="&amp;($C165-$D$5),Статистика!$B$7:$B$1006,"&lt;="&amp;($C165-1),Статистика!$C$7:$C$1006,IF($D165="","&lt;&gt;§",$D165),Статистика!$D$7:$D$1006,IF($E165="","&lt;&gt;§",$E165)))</f>
        <v/>
      </c>
      <c r="U165" s="52" t="str">
        <f aca="false">IF($C165="","",SUMIFS(Статистика!$T$7:$T$1006,Статистика!$B$7:$B$1006,"&gt;="&amp;($C165-$D$5),Статистика!$B$7:$B$1006,"&lt;="&amp;($C165-1),Статистика!$C$7:$C$1006,IF($D165="","&lt;&gt;§",$D165),Статистика!$D$7:$D$1006,IF($E165="","&lt;&gt;§",$E165)))</f>
        <v/>
      </c>
      <c r="V165" s="52" t="str">
        <f aca="false">IF($C165="","",SUMIFS(Статистика!$E$7:$E$1006,Статистика!$B$7:$B$1006,"&gt;="&amp;($C165+1),Статистика!$B$7:$B$1006,"&lt;="&amp;($C165+$D$5),Статистика!$C$7:$C$1006,IF($D165="","&lt;&gt;§",$D165),Статистика!$D$7:$D$1006,IF($E165="","&lt;&gt;§",$E165)))</f>
        <v/>
      </c>
      <c r="W165" s="52" t="str">
        <f aca="false">IF($C165="","",SUMIFS(Статистика!$H$7:$H$1006,Статистика!$B$7:$B$1006,"&gt;="&amp;($C165+1),Статистика!$B$7:$B$1006,"&lt;="&amp;($C165+$D$5),Статистика!$C$7:$C$1006,IF($D165="","&lt;&gt;§",$D165),Статистика!$D$7:$D$1006,IF($E165="","&lt;&gt;§",$E165)))</f>
        <v/>
      </c>
      <c r="X165" s="52" t="str">
        <f aca="false">IF($C165="","",SUMIFS(Статистика!$T$7:$T$1006,Статистика!$B$7:$B$1006,"&gt;="&amp;($C165+1),Статистика!$B$7:$B$1006,"&lt;="&amp;($C165+$D$5),Статистика!$C$7:$C$1006,IF($D165="","&lt;&gt;§",$D165),Статистика!$D$7:$D$1006,IF($E165="","&lt;&gt;§",$E165)))</f>
        <v/>
      </c>
      <c r="Y165" s="1"/>
      <c r="Z165" s="1"/>
      <c r="AA165" s="1"/>
      <c r="AB165" s="1"/>
      <c r="AC165" s="1"/>
      <c r="AD165" s="1"/>
    </row>
    <row r="166" customFormat="false" ht="30" hidden="false" customHeight="true" outlineLevel="0" collapsed="false">
      <c r="A166" s="1"/>
      <c r="B166" s="49" t="str">
        <f aca="false">IF($C166="","",ROW()-8)</f>
        <v/>
      </c>
      <c r="C166" s="35"/>
      <c r="D166" s="8"/>
      <c r="E166" s="26"/>
      <c r="F166" s="26"/>
      <c r="G166" s="50"/>
      <c r="H166" s="50"/>
      <c r="I166" s="30" t="str">
        <f aca="false">IF($C166="","",IFERROR(S166/T166,"—"))</f>
        <v/>
      </c>
      <c r="J166" s="30" t="str">
        <f aca="false">IF($C166="","",IFERROR(V166/W166,"—"))</f>
        <v/>
      </c>
      <c r="K166" s="41" t="str">
        <f aca="false">IF($C166="","",IFERROR(J166/I166-1,""))</f>
        <v/>
      </c>
      <c r="L166" s="41" t="str">
        <f aca="false">IF($C166="","",IFERROR((U166-S166)/S166,"—"))</f>
        <v/>
      </c>
      <c r="M166" s="41" t="str">
        <f aca="false">IF($C166="","",IFERROR((X166-V166)/V166,"—"))</f>
        <v/>
      </c>
      <c r="N166" s="39" t="str">
        <f aca="false">IF($C166="","",T166/$D$5)</f>
        <v/>
      </c>
      <c r="O166" s="39" t="str">
        <f aca="false">IF($C166="","",W166/$D$5)</f>
        <v/>
      </c>
      <c r="P166" s="51" t="str">
        <f aca="false">IF($C166="","",IF(MAX(Статистика!$B$7:$B$1006)&lt;$C166+$D$5,"Чекаємо даних",IF(S166=0,"Новий (без бази)",IF(OR(T166=0,W166=0),"Мало даних",IF(K166&lt;=-$F$5,"Покращило",IF(K166&gt;=$F$5,"Погіршило","Без змін"))))))</f>
        <v/>
      </c>
      <c r="Q166" s="50"/>
      <c r="R166" s="1"/>
      <c r="S166" s="52" t="str">
        <f aca="false">IF($C166="","",SUMIFS(Статистика!$E$7:$E$1006,Статистика!$B$7:$B$1006,"&gt;="&amp;($C166-$D$5),Статистика!$B$7:$B$1006,"&lt;="&amp;($C166-1),Статистика!$C$7:$C$1006,IF($D166="","&lt;&gt;§",$D166),Статистика!$D$7:$D$1006,IF($E166="","&lt;&gt;§",$E166)))</f>
        <v/>
      </c>
      <c r="T166" s="52" t="str">
        <f aca="false">IF($C166="","",SUMIFS(Статистика!$H$7:$H$1006,Статистика!$B$7:$B$1006,"&gt;="&amp;($C166-$D$5),Статистика!$B$7:$B$1006,"&lt;="&amp;($C166-1),Статистика!$C$7:$C$1006,IF($D166="","&lt;&gt;§",$D166),Статистика!$D$7:$D$1006,IF($E166="","&lt;&gt;§",$E166)))</f>
        <v/>
      </c>
      <c r="U166" s="52" t="str">
        <f aca="false">IF($C166="","",SUMIFS(Статистика!$T$7:$T$1006,Статистика!$B$7:$B$1006,"&gt;="&amp;($C166-$D$5),Статистика!$B$7:$B$1006,"&lt;="&amp;($C166-1),Статистика!$C$7:$C$1006,IF($D166="","&lt;&gt;§",$D166),Статистика!$D$7:$D$1006,IF($E166="","&lt;&gt;§",$E166)))</f>
        <v/>
      </c>
      <c r="V166" s="52" t="str">
        <f aca="false">IF($C166="","",SUMIFS(Статистика!$E$7:$E$1006,Статистика!$B$7:$B$1006,"&gt;="&amp;($C166+1),Статистика!$B$7:$B$1006,"&lt;="&amp;($C166+$D$5),Статистика!$C$7:$C$1006,IF($D166="","&lt;&gt;§",$D166),Статистика!$D$7:$D$1006,IF($E166="","&lt;&gt;§",$E166)))</f>
        <v/>
      </c>
      <c r="W166" s="52" t="str">
        <f aca="false">IF($C166="","",SUMIFS(Статистика!$H$7:$H$1006,Статистика!$B$7:$B$1006,"&gt;="&amp;($C166+1),Статистика!$B$7:$B$1006,"&lt;="&amp;($C166+$D$5),Статистика!$C$7:$C$1006,IF($D166="","&lt;&gt;§",$D166),Статистика!$D$7:$D$1006,IF($E166="","&lt;&gt;§",$E166)))</f>
        <v/>
      </c>
      <c r="X166" s="52" t="str">
        <f aca="false">IF($C166="","",SUMIFS(Статистика!$T$7:$T$1006,Статистика!$B$7:$B$1006,"&gt;="&amp;($C166+1),Статистика!$B$7:$B$1006,"&lt;="&amp;($C166+$D$5),Статистика!$C$7:$C$1006,IF($D166="","&lt;&gt;§",$D166),Статистика!$D$7:$D$1006,IF($E166="","&lt;&gt;§",$E166)))</f>
        <v/>
      </c>
      <c r="Y166" s="1"/>
      <c r="Z166" s="1"/>
      <c r="AA166" s="1"/>
      <c r="AB166" s="1"/>
      <c r="AC166" s="1"/>
      <c r="AD166" s="1"/>
    </row>
    <row r="167" customFormat="false" ht="30" hidden="false" customHeight="true" outlineLevel="0" collapsed="false">
      <c r="A167" s="1"/>
      <c r="B167" s="49" t="str">
        <f aca="false">IF($C167="","",ROW()-8)</f>
        <v/>
      </c>
      <c r="C167" s="35"/>
      <c r="D167" s="8"/>
      <c r="E167" s="26"/>
      <c r="F167" s="26"/>
      <c r="G167" s="50"/>
      <c r="H167" s="50"/>
      <c r="I167" s="30" t="str">
        <f aca="false">IF($C167="","",IFERROR(S167/T167,"—"))</f>
        <v/>
      </c>
      <c r="J167" s="30" t="str">
        <f aca="false">IF($C167="","",IFERROR(V167/W167,"—"))</f>
        <v/>
      </c>
      <c r="K167" s="41" t="str">
        <f aca="false">IF($C167="","",IFERROR(J167/I167-1,""))</f>
        <v/>
      </c>
      <c r="L167" s="41" t="str">
        <f aca="false">IF($C167="","",IFERROR((U167-S167)/S167,"—"))</f>
        <v/>
      </c>
      <c r="M167" s="41" t="str">
        <f aca="false">IF($C167="","",IFERROR((X167-V167)/V167,"—"))</f>
        <v/>
      </c>
      <c r="N167" s="39" t="str">
        <f aca="false">IF($C167="","",T167/$D$5)</f>
        <v/>
      </c>
      <c r="O167" s="39" t="str">
        <f aca="false">IF($C167="","",W167/$D$5)</f>
        <v/>
      </c>
      <c r="P167" s="51" t="str">
        <f aca="false">IF($C167="","",IF(MAX(Статистика!$B$7:$B$1006)&lt;$C167+$D$5,"Чекаємо даних",IF(S167=0,"Новий (без бази)",IF(OR(T167=0,W167=0),"Мало даних",IF(K167&lt;=-$F$5,"Покращило",IF(K167&gt;=$F$5,"Погіршило","Без змін"))))))</f>
        <v/>
      </c>
      <c r="Q167" s="50"/>
      <c r="R167" s="1"/>
      <c r="S167" s="52" t="str">
        <f aca="false">IF($C167="","",SUMIFS(Статистика!$E$7:$E$1006,Статистика!$B$7:$B$1006,"&gt;="&amp;($C167-$D$5),Статистика!$B$7:$B$1006,"&lt;="&amp;($C167-1),Статистика!$C$7:$C$1006,IF($D167="","&lt;&gt;§",$D167),Статистика!$D$7:$D$1006,IF($E167="","&lt;&gt;§",$E167)))</f>
        <v/>
      </c>
      <c r="T167" s="52" t="str">
        <f aca="false">IF($C167="","",SUMIFS(Статистика!$H$7:$H$1006,Статистика!$B$7:$B$1006,"&gt;="&amp;($C167-$D$5),Статистика!$B$7:$B$1006,"&lt;="&amp;($C167-1),Статистика!$C$7:$C$1006,IF($D167="","&lt;&gt;§",$D167),Статистика!$D$7:$D$1006,IF($E167="","&lt;&gt;§",$E167)))</f>
        <v/>
      </c>
      <c r="U167" s="52" t="str">
        <f aca="false">IF($C167="","",SUMIFS(Статистика!$T$7:$T$1006,Статистика!$B$7:$B$1006,"&gt;="&amp;($C167-$D$5),Статистика!$B$7:$B$1006,"&lt;="&amp;($C167-1),Статистика!$C$7:$C$1006,IF($D167="","&lt;&gt;§",$D167),Статистика!$D$7:$D$1006,IF($E167="","&lt;&gt;§",$E167)))</f>
        <v/>
      </c>
      <c r="V167" s="52" t="str">
        <f aca="false">IF($C167="","",SUMIFS(Статистика!$E$7:$E$1006,Статистика!$B$7:$B$1006,"&gt;="&amp;($C167+1),Статистика!$B$7:$B$1006,"&lt;="&amp;($C167+$D$5),Статистика!$C$7:$C$1006,IF($D167="","&lt;&gt;§",$D167),Статистика!$D$7:$D$1006,IF($E167="","&lt;&gt;§",$E167)))</f>
        <v/>
      </c>
      <c r="W167" s="52" t="str">
        <f aca="false">IF($C167="","",SUMIFS(Статистика!$H$7:$H$1006,Статистика!$B$7:$B$1006,"&gt;="&amp;($C167+1),Статистика!$B$7:$B$1006,"&lt;="&amp;($C167+$D$5),Статистика!$C$7:$C$1006,IF($D167="","&lt;&gt;§",$D167),Статистика!$D$7:$D$1006,IF($E167="","&lt;&gt;§",$E167)))</f>
        <v/>
      </c>
      <c r="X167" s="52" t="str">
        <f aca="false">IF($C167="","",SUMIFS(Статистика!$T$7:$T$1006,Статистика!$B$7:$B$1006,"&gt;="&amp;($C167+1),Статистика!$B$7:$B$1006,"&lt;="&amp;($C167+$D$5),Статистика!$C$7:$C$1006,IF($D167="","&lt;&gt;§",$D167),Статистика!$D$7:$D$1006,IF($E167="","&lt;&gt;§",$E167)))</f>
        <v/>
      </c>
      <c r="Y167" s="1"/>
      <c r="Z167" s="1"/>
      <c r="AA167" s="1"/>
      <c r="AB167" s="1"/>
      <c r="AC167" s="1"/>
      <c r="AD167" s="1"/>
    </row>
    <row r="168" customFormat="false" ht="30" hidden="false" customHeight="true" outlineLevel="0" collapsed="false">
      <c r="A168" s="1"/>
      <c r="B168" s="49" t="str">
        <f aca="false">IF($C168="","",ROW()-8)</f>
        <v/>
      </c>
      <c r="C168" s="35"/>
      <c r="D168" s="8"/>
      <c r="E168" s="26"/>
      <c r="F168" s="26"/>
      <c r="G168" s="50"/>
      <c r="H168" s="50"/>
      <c r="I168" s="30" t="str">
        <f aca="false">IF($C168="","",IFERROR(S168/T168,"—"))</f>
        <v/>
      </c>
      <c r="J168" s="30" t="str">
        <f aca="false">IF($C168="","",IFERROR(V168/W168,"—"))</f>
        <v/>
      </c>
      <c r="K168" s="41" t="str">
        <f aca="false">IF($C168="","",IFERROR(J168/I168-1,""))</f>
        <v/>
      </c>
      <c r="L168" s="41" t="str">
        <f aca="false">IF($C168="","",IFERROR((U168-S168)/S168,"—"))</f>
        <v/>
      </c>
      <c r="M168" s="41" t="str">
        <f aca="false">IF($C168="","",IFERROR((X168-V168)/V168,"—"))</f>
        <v/>
      </c>
      <c r="N168" s="39" t="str">
        <f aca="false">IF($C168="","",T168/$D$5)</f>
        <v/>
      </c>
      <c r="O168" s="39" t="str">
        <f aca="false">IF($C168="","",W168/$D$5)</f>
        <v/>
      </c>
      <c r="P168" s="51" t="str">
        <f aca="false">IF($C168="","",IF(MAX(Статистика!$B$7:$B$1006)&lt;$C168+$D$5,"Чекаємо даних",IF(S168=0,"Новий (без бази)",IF(OR(T168=0,W168=0),"Мало даних",IF(K168&lt;=-$F$5,"Покращило",IF(K168&gt;=$F$5,"Погіршило","Без змін"))))))</f>
        <v/>
      </c>
      <c r="Q168" s="50"/>
      <c r="R168" s="1"/>
      <c r="S168" s="52" t="str">
        <f aca="false">IF($C168="","",SUMIFS(Статистика!$E$7:$E$1006,Статистика!$B$7:$B$1006,"&gt;="&amp;($C168-$D$5),Статистика!$B$7:$B$1006,"&lt;="&amp;($C168-1),Статистика!$C$7:$C$1006,IF($D168="","&lt;&gt;§",$D168),Статистика!$D$7:$D$1006,IF($E168="","&lt;&gt;§",$E168)))</f>
        <v/>
      </c>
      <c r="T168" s="52" t="str">
        <f aca="false">IF($C168="","",SUMIFS(Статистика!$H$7:$H$1006,Статистика!$B$7:$B$1006,"&gt;="&amp;($C168-$D$5),Статистика!$B$7:$B$1006,"&lt;="&amp;($C168-1),Статистика!$C$7:$C$1006,IF($D168="","&lt;&gt;§",$D168),Статистика!$D$7:$D$1006,IF($E168="","&lt;&gt;§",$E168)))</f>
        <v/>
      </c>
      <c r="U168" s="52" t="str">
        <f aca="false">IF($C168="","",SUMIFS(Статистика!$T$7:$T$1006,Статистика!$B$7:$B$1006,"&gt;="&amp;($C168-$D$5),Статистика!$B$7:$B$1006,"&lt;="&amp;($C168-1),Статистика!$C$7:$C$1006,IF($D168="","&lt;&gt;§",$D168),Статистика!$D$7:$D$1006,IF($E168="","&lt;&gt;§",$E168)))</f>
        <v/>
      </c>
      <c r="V168" s="52" t="str">
        <f aca="false">IF($C168="","",SUMIFS(Статистика!$E$7:$E$1006,Статистика!$B$7:$B$1006,"&gt;="&amp;($C168+1),Статистика!$B$7:$B$1006,"&lt;="&amp;($C168+$D$5),Статистика!$C$7:$C$1006,IF($D168="","&lt;&gt;§",$D168),Статистика!$D$7:$D$1006,IF($E168="","&lt;&gt;§",$E168)))</f>
        <v/>
      </c>
      <c r="W168" s="52" t="str">
        <f aca="false">IF($C168="","",SUMIFS(Статистика!$H$7:$H$1006,Статистика!$B$7:$B$1006,"&gt;="&amp;($C168+1),Статистика!$B$7:$B$1006,"&lt;="&amp;($C168+$D$5),Статистика!$C$7:$C$1006,IF($D168="","&lt;&gt;§",$D168),Статистика!$D$7:$D$1006,IF($E168="","&lt;&gt;§",$E168)))</f>
        <v/>
      </c>
      <c r="X168" s="52" t="str">
        <f aca="false">IF($C168="","",SUMIFS(Статистика!$T$7:$T$1006,Статистика!$B$7:$B$1006,"&gt;="&amp;($C168+1),Статистика!$B$7:$B$1006,"&lt;="&amp;($C168+$D$5),Статистика!$C$7:$C$1006,IF($D168="","&lt;&gt;§",$D168),Статистика!$D$7:$D$1006,IF($E168="","&lt;&gt;§",$E168)))</f>
        <v/>
      </c>
      <c r="Y168" s="1"/>
      <c r="Z168" s="1"/>
      <c r="AA168" s="1"/>
      <c r="AB168" s="1"/>
      <c r="AC168" s="1"/>
      <c r="AD168" s="1"/>
    </row>
    <row r="169" customFormat="false" ht="30" hidden="false" customHeight="true" outlineLevel="0" collapsed="false">
      <c r="A169" s="1"/>
      <c r="B169" s="49" t="str">
        <f aca="false">IF($C169="","",ROW()-8)</f>
        <v/>
      </c>
      <c r="C169" s="35"/>
      <c r="D169" s="8"/>
      <c r="E169" s="26"/>
      <c r="F169" s="26"/>
      <c r="G169" s="50"/>
      <c r="H169" s="50"/>
      <c r="I169" s="30" t="str">
        <f aca="false">IF($C169="","",IFERROR(S169/T169,"—"))</f>
        <v/>
      </c>
      <c r="J169" s="30" t="str">
        <f aca="false">IF($C169="","",IFERROR(V169/W169,"—"))</f>
        <v/>
      </c>
      <c r="K169" s="41" t="str">
        <f aca="false">IF($C169="","",IFERROR(J169/I169-1,""))</f>
        <v/>
      </c>
      <c r="L169" s="41" t="str">
        <f aca="false">IF($C169="","",IFERROR((U169-S169)/S169,"—"))</f>
        <v/>
      </c>
      <c r="M169" s="41" t="str">
        <f aca="false">IF($C169="","",IFERROR((X169-V169)/V169,"—"))</f>
        <v/>
      </c>
      <c r="N169" s="39" t="str">
        <f aca="false">IF($C169="","",T169/$D$5)</f>
        <v/>
      </c>
      <c r="O169" s="39" t="str">
        <f aca="false">IF($C169="","",W169/$D$5)</f>
        <v/>
      </c>
      <c r="P169" s="51" t="str">
        <f aca="false">IF($C169="","",IF(MAX(Статистика!$B$7:$B$1006)&lt;$C169+$D$5,"Чекаємо даних",IF(S169=0,"Новий (без бази)",IF(OR(T169=0,W169=0),"Мало даних",IF(K169&lt;=-$F$5,"Покращило",IF(K169&gt;=$F$5,"Погіршило","Без змін"))))))</f>
        <v/>
      </c>
      <c r="Q169" s="50"/>
      <c r="R169" s="1"/>
      <c r="S169" s="52" t="str">
        <f aca="false">IF($C169="","",SUMIFS(Статистика!$E$7:$E$1006,Статистика!$B$7:$B$1006,"&gt;="&amp;($C169-$D$5),Статистика!$B$7:$B$1006,"&lt;="&amp;($C169-1),Статистика!$C$7:$C$1006,IF($D169="","&lt;&gt;§",$D169),Статистика!$D$7:$D$1006,IF($E169="","&lt;&gt;§",$E169)))</f>
        <v/>
      </c>
      <c r="T169" s="52" t="str">
        <f aca="false">IF($C169="","",SUMIFS(Статистика!$H$7:$H$1006,Статистика!$B$7:$B$1006,"&gt;="&amp;($C169-$D$5),Статистика!$B$7:$B$1006,"&lt;="&amp;($C169-1),Статистика!$C$7:$C$1006,IF($D169="","&lt;&gt;§",$D169),Статистика!$D$7:$D$1006,IF($E169="","&lt;&gt;§",$E169)))</f>
        <v/>
      </c>
      <c r="U169" s="52" t="str">
        <f aca="false">IF($C169="","",SUMIFS(Статистика!$T$7:$T$1006,Статистика!$B$7:$B$1006,"&gt;="&amp;($C169-$D$5),Статистика!$B$7:$B$1006,"&lt;="&amp;($C169-1),Статистика!$C$7:$C$1006,IF($D169="","&lt;&gt;§",$D169),Статистика!$D$7:$D$1006,IF($E169="","&lt;&gt;§",$E169)))</f>
        <v/>
      </c>
      <c r="V169" s="52" t="str">
        <f aca="false">IF($C169="","",SUMIFS(Статистика!$E$7:$E$1006,Статистика!$B$7:$B$1006,"&gt;="&amp;($C169+1),Статистика!$B$7:$B$1006,"&lt;="&amp;($C169+$D$5),Статистика!$C$7:$C$1006,IF($D169="","&lt;&gt;§",$D169),Статистика!$D$7:$D$1006,IF($E169="","&lt;&gt;§",$E169)))</f>
        <v/>
      </c>
      <c r="W169" s="52" t="str">
        <f aca="false">IF($C169="","",SUMIFS(Статистика!$H$7:$H$1006,Статистика!$B$7:$B$1006,"&gt;="&amp;($C169+1),Статистика!$B$7:$B$1006,"&lt;="&amp;($C169+$D$5),Статистика!$C$7:$C$1006,IF($D169="","&lt;&gt;§",$D169),Статистика!$D$7:$D$1006,IF($E169="","&lt;&gt;§",$E169)))</f>
        <v/>
      </c>
      <c r="X169" s="52" t="str">
        <f aca="false">IF($C169="","",SUMIFS(Статистика!$T$7:$T$1006,Статистика!$B$7:$B$1006,"&gt;="&amp;($C169+1),Статистика!$B$7:$B$1006,"&lt;="&amp;($C169+$D$5),Статистика!$C$7:$C$1006,IF($D169="","&lt;&gt;§",$D169),Статистика!$D$7:$D$1006,IF($E169="","&lt;&gt;§",$E169)))</f>
        <v/>
      </c>
      <c r="Y169" s="1"/>
      <c r="Z169" s="1"/>
      <c r="AA169" s="1"/>
      <c r="AB169" s="1"/>
      <c r="AC169" s="1"/>
      <c r="AD169" s="1"/>
    </row>
    <row r="170" customFormat="false" ht="30" hidden="false" customHeight="true" outlineLevel="0" collapsed="false">
      <c r="A170" s="1"/>
      <c r="B170" s="49" t="str">
        <f aca="false">IF($C170="","",ROW()-8)</f>
        <v/>
      </c>
      <c r="C170" s="35"/>
      <c r="D170" s="8"/>
      <c r="E170" s="26"/>
      <c r="F170" s="26"/>
      <c r="G170" s="50"/>
      <c r="H170" s="50"/>
      <c r="I170" s="30" t="str">
        <f aca="false">IF($C170="","",IFERROR(S170/T170,"—"))</f>
        <v/>
      </c>
      <c r="J170" s="30" t="str">
        <f aca="false">IF($C170="","",IFERROR(V170/W170,"—"))</f>
        <v/>
      </c>
      <c r="K170" s="41" t="str">
        <f aca="false">IF($C170="","",IFERROR(J170/I170-1,""))</f>
        <v/>
      </c>
      <c r="L170" s="41" t="str">
        <f aca="false">IF($C170="","",IFERROR((U170-S170)/S170,"—"))</f>
        <v/>
      </c>
      <c r="M170" s="41" t="str">
        <f aca="false">IF($C170="","",IFERROR((X170-V170)/V170,"—"))</f>
        <v/>
      </c>
      <c r="N170" s="39" t="str">
        <f aca="false">IF($C170="","",T170/$D$5)</f>
        <v/>
      </c>
      <c r="O170" s="39" t="str">
        <f aca="false">IF($C170="","",W170/$D$5)</f>
        <v/>
      </c>
      <c r="P170" s="51" t="str">
        <f aca="false">IF($C170="","",IF(MAX(Статистика!$B$7:$B$1006)&lt;$C170+$D$5,"Чекаємо даних",IF(S170=0,"Новий (без бази)",IF(OR(T170=0,W170=0),"Мало даних",IF(K170&lt;=-$F$5,"Покращило",IF(K170&gt;=$F$5,"Погіршило","Без змін"))))))</f>
        <v/>
      </c>
      <c r="Q170" s="50"/>
      <c r="R170" s="1"/>
      <c r="S170" s="52" t="str">
        <f aca="false">IF($C170="","",SUMIFS(Статистика!$E$7:$E$1006,Статистика!$B$7:$B$1006,"&gt;="&amp;($C170-$D$5),Статистика!$B$7:$B$1006,"&lt;="&amp;($C170-1),Статистика!$C$7:$C$1006,IF($D170="","&lt;&gt;§",$D170),Статистика!$D$7:$D$1006,IF($E170="","&lt;&gt;§",$E170)))</f>
        <v/>
      </c>
      <c r="T170" s="52" t="str">
        <f aca="false">IF($C170="","",SUMIFS(Статистика!$H$7:$H$1006,Статистика!$B$7:$B$1006,"&gt;="&amp;($C170-$D$5),Статистика!$B$7:$B$1006,"&lt;="&amp;($C170-1),Статистика!$C$7:$C$1006,IF($D170="","&lt;&gt;§",$D170),Статистика!$D$7:$D$1006,IF($E170="","&lt;&gt;§",$E170)))</f>
        <v/>
      </c>
      <c r="U170" s="52" t="str">
        <f aca="false">IF($C170="","",SUMIFS(Статистика!$T$7:$T$1006,Статистика!$B$7:$B$1006,"&gt;="&amp;($C170-$D$5),Статистика!$B$7:$B$1006,"&lt;="&amp;($C170-1),Статистика!$C$7:$C$1006,IF($D170="","&lt;&gt;§",$D170),Статистика!$D$7:$D$1006,IF($E170="","&lt;&gt;§",$E170)))</f>
        <v/>
      </c>
      <c r="V170" s="52" t="str">
        <f aca="false">IF($C170="","",SUMIFS(Статистика!$E$7:$E$1006,Статистика!$B$7:$B$1006,"&gt;="&amp;($C170+1),Статистика!$B$7:$B$1006,"&lt;="&amp;($C170+$D$5),Статистика!$C$7:$C$1006,IF($D170="","&lt;&gt;§",$D170),Статистика!$D$7:$D$1006,IF($E170="","&lt;&gt;§",$E170)))</f>
        <v/>
      </c>
      <c r="W170" s="52" t="str">
        <f aca="false">IF($C170="","",SUMIFS(Статистика!$H$7:$H$1006,Статистика!$B$7:$B$1006,"&gt;="&amp;($C170+1),Статистика!$B$7:$B$1006,"&lt;="&amp;($C170+$D$5),Статистика!$C$7:$C$1006,IF($D170="","&lt;&gt;§",$D170),Статистика!$D$7:$D$1006,IF($E170="","&lt;&gt;§",$E170)))</f>
        <v/>
      </c>
      <c r="X170" s="52" t="str">
        <f aca="false">IF($C170="","",SUMIFS(Статистика!$T$7:$T$1006,Статистика!$B$7:$B$1006,"&gt;="&amp;($C170+1),Статистика!$B$7:$B$1006,"&lt;="&amp;($C170+$D$5),Статистика!$C$7:$C$1006,IF($D170="","&lt;&gt;§",$D170),Статистика!$D$7:$D$1006,IF($E170="","&lt;&gt;§",$E170)))</f>
        <v/>
      </c>
      <c r="Y170" s="1"/>
      <c r="Z170" s="1"/>
      <c r="AA170" s="1"/>
      <c r="AB170" s="1"/>
      <c r="AC170" s="1"/>
      <c r="AD170" s="1"/>
    </row>
    <row r="171" customFormat="false" ht="30" hidden="false" customHeight="true" outlineLevel="0" collapsed="false">
      <c r="A171" s="1"/>
      <c r="B171" s="49" t="str">
        <f aca="false">IF($C171="","",ROW()-8)</f>
        <v/>
      </c>
      <c r="C171" s="35"/>
      <c r="D171" s="8"/>
      <c r="E171" s="26"/>
      <c r="F171" s="26"/>
      <c r="G171" s="50"/>
      <c r="H171" s="50"/>
      <c r="I171" s="30" t="str">
        <f aca="false">IF($C171="","",IFERROR(S171/T171,"—"))</f>
        <v/>
      </c>
      <c r="J171" s="30" t="str">
        <f aca="false">IF($C171="","",IFERROR(V171/W171,"—"))</f>
        <v/>
      </c>
      <c r="K171" s="41" t="str">
        <f aca="false">IF($C171="","",IFERROR(J171/I171-1,""))</f>
        <v/>
      </c>
      <c r="L171" s="41" t="str">
        <f aca="false">IF($C171="","",IFERROR((U171-S171)/S171,"—"))</f>
        <v/>
      </c>
      <c r="M171" s="41" t="str">
        <f aca="false">IF($C171="","",IFERROR((X171-V171)/V171,"—"))</f>
        <v/>
      </c>
      <c r="N171" s="39" t="str">
        <f aca="false">IF($C171="","",T171/$D$5)</f>
        <v/>
      </c>
      <c r="O171" s="39" t="str">
        <f aca="false">IF($C171="","",W171/$D$5)</f>
        <v/>
      </c>
      <c r="P171" s="51" t="str">
        <f aca="false">IF($C171="","",IF(MAX(Статистика!$B$7:$B$1006)&lt;$C171+$D$5,"Чекаємо даних",IF(S171=0,"Новий (без бази)",IF(OR(T171=0,W171=0),"Мало даних",IF(K171&lt;=-$F$5,"Покращило",IF(K171&gt;=$F$5,"Погіршило","Без змін"))))))</f>
        <v/>
      </c>
      <c r="Q171" s="50"/>
      <c r="R171" s="1"/>
      <c r="S171" s="52" t="str">
        <f aca="false">IF($C171="","",SUMIFS(Статистика!$E$7:$E$1006,Статистика!$B$7:$B$1006,"&gt;="&amp;($C171-$D$5),Статистика!$B$7:$B$1006,"&lt;="&amp;($C171-1),Статистика!$C$7:$C$1006,IF($D171="","&lt;&gt;§",$D171),Статистика!$D$7:$D$1006,IF($E171="","&lt;&gt;§",$E171)))</f>
        <v/>
      </c>
      <c r="T171" s="52" t="str">
        <f aca="false">IF($C171="","",SUMIFS(Статистика!$H$7:$H$1006,Статистика!$B$7:$B$1006,"&gt;="&amp;($C171-$D$5),Статистика!$B$7:$B$1006,"&lt;="&amp;($C171-1),Статистика!$C$7:$C$1006,IF($D171="","&lt;&gt;§",$D171),Статистика!$D$7:$D$1006,IF($E171="","&lt;&gt;§",$E171)))</f>
        <v/>
      </c>
      <c r="U171" s="52" t="str">
        <f aca="false">IF($C171="","",SUMIFS(Статистика!$T$7:$T$1006,Статистика!$B$7:$B$1006,"&gt;="&amp;($C171-$D$5),Статистика!$B$7:$B$1006,"&lt;="&amp;($C171-1),Статистика!$C$7:$C$1006,IF($D171="","&lt;&gt;§",$D171),Статистика!$D$7:$D$1006,IF($E171="","&lt;&gt;§",$E171)))</f>
        <v/>
      </c>
      <c r="V171" s="52" t="str">
        <f aca="false">IF($C171="","",SUMIFS(Статистика!$E$7:$E$1006,Статистика!$B$7:$B$1006,"&gt;="&amp;($C171+1),Статистика!$B$7:$B$1006,"&lt;="&amp;($C171+$D$5),Статистика!$C$7:$C$1006,IF($D171="","&lt;&gt;§",$D171),Статистика!$D$7:$D$1006,IF($E171="","&lt;&gt;§",$E171)))</f>
        <v/>
      </c>
      <c r="W171" s="52" t="str">
        <f aca="false">IF($C171="","",SUMIFS(Статистика!$H$7:$H$1006,Статистика!$B$7:$B$1006,"&gt;="&amp;($C171+1),Статистика!$B$7:$B$1006,"&lt;="&amp;($C171+$D$5),Статистика!$C$7:$C$1006,IF($D171="","&lt;&gt;§",$D171),Статистика!$D$7:$D$1006,IF($E171="","&lt;&gt;§",$E171)))</f>
        <v/>
      </c>
      <c r="X171" s="52" t="str">
        <f aca="false">IF($C171="","",SUMIFS(Статистика!$T$7:$T$1006,Статистика!$B$7:$B$1006,"&gt;="&amp;($C171+1),Статистика!$B$7:$B$1006,"&lt;="&amp;($C171+$D$5),Статистика!$C$7:$C$1006,IF($D171="","&lt;&gt;§",$D171),Статистика!$D$7:$D$1006,IF($E171="","&lt;&gt;§",$E171)))</f>
        <v/>
      </c>
      <c r="Y171" s="1"/>
      <c r="Z171" s="1"/>
      <c r="AA171" s="1"/>
      <c r="AB171" s="1"/>
      <c r="AC171" s="1"/>
      <c r="AD171" s="1"/>
    </row>
    <row r="172" customFormat="false" ht="30" hidden="false" customHeight="true" outlineLevel="0" collapsed="false">
      <c r="A172" s="1"/>
      <c r="B172" s="49" t="str">
        <f aca="false">IF($C172="","",ROW()-8)</f>
        <v/>
      </c>
      <c r="C172" s="35"/>
      <c r="D172" s="8"/>
      <c r="E172" s="26"/>
      <c r="F172" s="26"/>
      <c r="G172" s="50"/>
      <c r="H172" s="50"/>
      <c r="I172" s="30" t="str">
        <f aca="false">IF($C172="","",IFERROR(S172/T172,"—"))</f>
        <v/>
      </c>
      <c r="J172" s="30" t="str">
        <f aca="false">IF($C172="","",IFERROR(V172/W172,"—"))</f>
        <v/>
      </c>
      <c r="K172" s="41" t="str">
        <f aca="false">IF($C172="","",IFERROR(J172/I172-1,""))</f>
        <v/>
      </c>
      <c r="L172" s="41" t="str">
        <f aca="false">IF($C172="","",IFERROR((U172-S172)/S172,"—"))</f>
        <v/>
      </c>
      <c r="M172" s="41" t="str">
        <f aca="false">IF($C172="","",IFERROR((X172-V172)/V172,"—"))</f>
        <v/>
      </c>
      <c r="N172" s="39" t="str">
        <f aca="false">IF($C172="","",T172/$D$5)</f>
        <v/>
      </c>
      <c r="O172" s="39" t="str">
        <f aca="false">IF($C172="","",W172/$D$5)</f>
        <v/>
      </c>
      <c r="P172" s="51" t="str">
        <f aca="false">IF($C172="","",IF(MAX(Статистика!$B$7:$B$1006)&lt;$C172+$D$5,"Чекаємо даних",IF(S172=0,"Новий (без бази)",IF(OR(T172=0,W172=0),"Мало даних",IF(K172&lt;=-$F$5,"Покращило",IF(K172&gt;=$F$5,"Погіршило","Без змін"))))))</f>
        <v/>
      </c>
      <c r="Q172" s="50"/>
      <c r="R172" s="1"/>
      <c r="S172" s="52" t="str">
        <f aca="false">IF($C172="","",SUMIFS(Статистика!$E$7:$E$1006,Статистика!$B$7:$B$1006,"&gt;="&amp;($C172-$D$5),Статистика!$B$7:$B$1006,"&lt;="&amp;($C172-1),Статистика!$C$7:$C$1006,IF($D172="","&lt;&gt;§",$D172),Статистика!$D$7:$D$1006,IF($E172="","&lt;&gt;§",$E172)))</f>
        <v/>
      </c>
      <c r="T172" s="52" t="str">
        <f aca="false">IF($C172="","",SUMIFS(Статистика!$H$7:$H$1006,Статистика!$B$7:$B$1006,"&gt;="&amp;($C172-$D$5),Статистика!$B$7:$B$1006,"&lt;="&amp;($C172-1),Статистика!$C$7:$C$1006,IF($D172="","&lt;&gt;§",$D172),Статистика!$D$7:$D$1006,IF($E172="","&lt;&gt;§",$E172)))</f>
        <v/>
      </c>
      <c r="U172" s="52" t="str">
        <f aca="false">IF($C172="","",SUMIFS(Статистика!$T$7:$T$1006,Статистика!$B$7:$B$1006,"&gt;="&amp;($C172-$D$5),Статистика!$B$7:$B$1006,"&lt;="&amp;($C172-1),Статистика!$C$7:$C$1006,IF($D172="","&lt;&gt;§",$D172),Статистика!$D$7:$D$1006,IF($E172="","&lt;&gt;§",$E172)))</f>
        <v/>
      </c>
      <c r="V172" s="52" t="str">
        <f aca="false">IF($C172="","",SUMIFS(Статистика!$E$7:$E$1006,Статистика!$B$7:$B$1006,"&gt;="&amp;($C172+1),Статистика!$B$7:$B$1006,"&lt;="&amp;($C172+$D$5),Статистика!$C$7:$C$1006,IF($D172="","&lt;&gt;§",$D172),Статистика!$D$7:$D$1006,IF($E172="","&lt;&gt;§",$E172)))</f>
        <v/>
      </c>
      <c r="W172" s="52" t="str">
        <f aca="false">IF($C172="","",SUMIFS(Статистика!$H$7:$H$1006,Статистика!$B$7:$B$1006,"&gt;="&amp;($C172+1),Статистика!$B$7:$B$1006,"&lt;="&amp;($C172+$D$5),Статистика!$C$7:$C$1006,IF($D172="","&lt;&gt;§",$D172),Статистика!$D$7:$D$1006,IF($E172="","&lt;&gt;§",$E172)))</f>
        <v/>
      </c>
      <c r="X172" s="52" t="str">
        <f aca="false">IF($C172="","",SUMIFS(Статистика!$T$7:$T$1006,Статистика!$B$7:$B$1006,"&gt;="&amp;($C172+1),Статистика!$B$7:$B$1006,"&lt;="&amp;($C172+$D$5),Статистика!$C$7:$C$1006,IF($D172="","&lt;&gt;§",$D172),Статистика!$D$7:$D$1006,IF($E172="","&lt;&gt;§",$E172)))</f>
        <v/>
      </c>
      <c r="Y172" s="1"/>
      <c r="Z172" s="1"/>
      <c r="AA172" s="1"/>
      <c r="AB172" s="1"/>
      <c r="AC172" s="1"/>
      <c r="AD172" s="1"/>
    </row>
    <row r="173" customFormat="false" ht="30" hidden="false" customHeight="true" outlineLevel="0" collapsed="false">
      <c r="A173" s="1"/>
      <c r="B173" s="49" t="str">
        <f aca="false">IF($C173="","",ROW()-8)</f>
        <v/>
      </c>
      <c r="C173" s="35"/>
      <c r="D173" s="8"/>
      <c r="E173" s="26"/>
      <c r="F173" s="26"/>
      <c r="G173" s="50"/>
      <c r="H173" s="50"/>
      <c r="I173" s="30" t="str">
        <f aca="false">IF($C173="","",IFERROR(S173/T173,"—"))</f>
        <v/>
      </c>
      <c r="J173" s="30" t="str">
        <f aca="false">IF($C173="","",IFERROR(V173/W173,"—"))</f>
        <v/>
      </c>
      <c r="K173" s="41" t="str">
        <f aca="false">IF($C173="","",IFERROR(J173/I173-1,""))</f>
        <v/>
      </c>
      <c r="L173" s="41" t="str">
        <f aca="false">IF($C173="","",IFERROR((U173-S173)/S173,"—"))</f>
        <v/>
      </c>
      <c r="M173" s="41" t="str">
        <f aca="false">IF($C173="","",IFERROR((X173-V173)/V173,"—"))</f>
        <v/>
      </c>
      <c r="N173" s="39" t="str">
        <f aca="false">IF($C173="","",T173/$D$5)</f>
        <v/>
      </c>
      <c r="O173" s="39" t="str">
        <f aca="false">IF($C173="","",W173/$D$5)</f>
        <v/>
      </c>
      <c r="P173" s="51" t="str">
        <f aca="false">IF($C173="","",IF(MAX(Статистика!$B$7:$B$1006)&lt;$C173+$D$5,"Чекаємо даних",IF(S173=0,"Новий (без бази)",IF(OR(T173=0,W173=0),"Мало даних",IF(K173&lt;=-$F$5,"Покращило",IF(K173&gt;=$F$5,"Погіршило","Без змін"))))))</f>
        <v/>
      </c>
      <c r="Q173" s="50"/>
      <c r="R173" s="1"/>
      <c r="S173" s="52" t="str">
        <f aca="false">IF($C173="","",SUMIFS(Статистика!$E$7:$E$1006,Статистика!$B$7:$B$1006,"&gt;="&amp;($C173-$D$5),Статистика!$B$7:$B$1006,"&lt;="&amp;($C173-1),Статистика!$C$7:$C$1006,IF($D173="","&lt;&gt;§",$D173),Статистика!$D$7:$D$1006,IF($E173="","&lt;&gt;§",$E173)))</f>
        <v/>
      </c>
      <c r="T173" s="52" t="str">
        <f aca="false">IF($C173="","",SUMIFS(Статистика!$H$7:$H$1006,Статистика!$B$7:$B$1006,"&gt;="&amp;($C173-$D$5),Статистика!$B$7:$B$1006,"&lt;="&amp;($C173-1),Статистика!$C$7:$C$1006,IF($D173="","&lt;&gt;§",$D173),Статистика!$D$7:$D$1006,IF($E173="","&lt;&gt;§",$E173)))</f>
        <v/>
      </c>
      <c r="U173" s="52" t="str">
        <f aca="false">IF($C173="","",SUMIFS(Статистика!$T$7:$T$1006,Статистика!$B$7:$B$1006,"&gt;="&amp;($C173-$D$5),Статистика!$B$7:$B$1006,"&lt;="&amp;($C173-1),Статистика!$C$7:$C$1006,IF($D173="","&lt;&gt;§",$D173),Статистика!$D$7:$D$1006,IF($E173="","&lt;&gt;§",$E173)))</f>
        <v/>
      </c>
      <c r="V173" s="52" t="str">
        <f aca="false">IF($C173="","",SUMIFS(Статистика!$E$7:$E$1006,Статистика!$B$7:$B$1006,"&gt;="&amp;($C173+1),Статистика!$B$7:$B$1006,"&lt;="&amp;($C173+$D$5),Статистика!$C$7:$C$1006,IF($D173="","&lt;&gt;§",$D173),Статистика!$D$7:$D$1006,IF($E173="","&lt;&gt;§",$E173)))</f>
        <v/>
      </c>
      <c r="W173" s="52" t="str">
        <f aca="false">IF($C173="","",SUMIFS(Статистика!$H$7:$H$1006,Статистика!$B$7:$B$1006,"&gt;="&amp;($C173+1),Статистика!$B$7:$B$1006,"&lt;="&amp;($C173+$D$5),Статистика!$C$7:$C$1006,IF($D173="","&lt;&gt;§",$D173),Статистика!$D$7:$D$1006,IF($E173="","&lt;&gt;§",$E173)))</f>
        <v/>
      </c>
      <c r="X173" s="52" t="str">
        <f aca="false">IF($C173="","",SUMIFS(Статистика!$T$7:$T$1006,Статистика!$B$7:$B$1006,"&gt;="&amp;($C173+1),Статистика!$B$7:$B$1006,"&lt;="&amp;($C173+$D$5),Статистика!$C$7:$C$1006,IF($D173="","&lt;&gt;§",$D173),Статистика!$D$7:$D$1006,IF($E173="","&lt;&gt;§",$E173)))</f>
        <v/>
      </c>
      <c r="Y173" s="1"/>
      <c r="Z173" s="1"/>
      <c r="AA173" s="1"/>
      <c r="AB173" s="1"/>
      <c r="AC173" s="1"/>
      <c r="AD173" s="1"/>
    </row>
    <row r="174" customFormat="false" ht="30" hidden="false" customHeight="true" outlineLevel="0" collapsed="false">
      <c r="A174" s="1"/>
      <c r="B174" s="49" t="str">
        <f aca="false">IF($C174="","",ROW()-8)</f>
        <v/>
      </c>
      <c r="C174" s="35"/>
      <c r="D174" s="8"/>
      <c r="E174" s="26"/>
      <c r="F174" s="26"/>
      <c r="G174" s="50"/>
      <c r="H174" s="50"/>
      <c r="I174" s="30" t="str">
        <f aca="false">IF($C174="","",IFERROR(S174/T174,"—"))</f>
        <v/>
      </c>
      <c r="J174" s="30" t="str">
        <f aca="false">IF($C174="","",IFERROR(V174/W174,"—"))</f>
        <v/>
      </c>
      <c r="K174" s="41" t="str">
        <f aca="false">IF($C174="","",IFERROR(J174/I174-1,""))</f>
        <v/>
      </c>
      <c r="L174" s="41" t="str">
        <f aca="false">IF($C174="","",IFERROR((U174-S174)/S174,"—"))</f>
        <v/>
      </c>
      <c r="M174" s="41" t="str">
        <f aca="false">IF($C174="","",IFERROR((X174-V174)/V174,"—"))</f>
        <v/>
      </c>
      <c r="N174" s="39" t="str">
        <f aca="false">IF($C174="","",T174/$D$5)</f>
        <v/>
      </c>
      <c r="O174" s="39" t="str">
        <f aca="false">IF($C174="","",W174/$D$5)</f>
        <v/>
      </c>
      <c r="P174" s="51" t="str">
        <f aca="false">IF($C174="","",IF(MAX(Статистика!$B$7:$B$1006)&lt;$C174+$D$5,"Чекаємо даних",IF(S174=0,"Новий (без бази)",IF(OR(T174=0,W174=0),"Мало даних",IF(K174&lt;=-$F$5,"Покращило",IF(K174&gt;=$F$5,"Погіршило","Без змін"))))))</f>
        <v/>
      </c>
      <c r="Q174" s="50"/>
      <c r="R174" s="1"/>
      <c r="S174" s="52" t="str">
        <f aca="false">IF($C174="","",SUMIFS(Статистика!$E$7:$E$1006,Статистика!$B$7:$B$1006,"&gt;="&amp;($C174-$D$5),Статистика!$B$7:$B$1006,"&lt;="&amp;($C174-1),Статистика!$C$7:$C$1006,IF($D174="","&lt;&gt;§",$D174),Статистика!$D$7:$D$1006,IF($E174="","&lt;&gt;§",$E174)))</f>
        <v/>
      </c>
      <c r="T174" s="52" t="str">
        <f aca="false">IF($C174="","",SUMIFS(Статистика!$H$7:$H$1006,Статистика!$B$7:$B$1006,"&gt;="&amp;($C174-$D$5),Статистика!$B$7:$B$1006,"&lt;="&amp;($C174-1),Статистика!$C$7:$C$1006,IF($D174="","&lt;&gt;§",$D174),Статистика!$D$7:$D$1006,IF($E174="","&lt;&gt;§",$E174)))</f>
        <v/>
      </c>
      <c r="U174" s="52" t="str">
        <f aca="false">IF($C174="","",SUMIFS(Статистика!$T$7:$T$1006,Статистика!$B$7:$B$1006,"&gt;="&amp;($C174-$D$5),Статистика!$B$7:$B$1006,"&lt;="&amp;($C174-1),Статистика!$C$7:$C$1006,IF($D174="","&lt;&gt;§",$D174),Статистика!$D$7:$D$1006,IF($E174="","&lt;&gt;§",$E174)))</f>
        <v/>
      </c>
      <c r="V174" s="52" t="str">
        <f aca="false">IF($C174="","",SUMIFS(Статистика!$E$7:$E$1006,Статистика!$B$7:$B$1006,"&gt;="&amp;($C174+1),Статистика!$B$7:$B$1006,"&lt;="&amp;($C174+$D$5),Статистика!$C$7:$C$1006,IF($D174="","&lt;&gt;§",$D174),Статистика!$D$7:$D$1006,IF($E174="","&lt;&gt;§",$E174)))</f>
        <v/>
      </c>
      <c r="W174" s="52" t="str">
        <f aca="false">IF($C174="","",SUMIFS(Статистика!$H$7:$H$1006,Статистика!$B$7:$B$1006,"&gt;="&amp;($C174+1),Статистика!$B$7:$B$1006,"&lt;="&amp;($C174+$D$5),Статистика!$C$7:$C$1006,IF($D174="","&lt;&gt;§",$D174),Статистика!$D$7:$D$1006,IF($E174="","&lt;&gt;§",$E174)))</f>
        <v/>
      </c>
      <c r="X174" s="52" t="str">
        <f aca="false">IF($C174="","",SUMIFS(Статистика!$T$7:$T$1006,Статистика!$B$7:$B$1006,"&gt;="&amp;($C174+1),Статистика!$B$7:$B$1006,"&lt;="&amp;($C174+$D$5),Статистика!$C$7:$C$1006,IF($D174="","&lt;&gt;§",$D174),Статистика!$D$7:$D$1006,IF($E174="","&lt;&gt;§",$E174)))</f>
        <v/>
      </c>
      <c r="Y174" s="1"/>
      <c r="Z174" s="1"/>
      <c r="AA174" s="1"/>
      <c r="AB174" s="1"/>
      <c r="AC174" s="1"/>
      <c r="AD174" s="1"/>
    </row>
    <row r="175" customFormat="false" ht="30" hidden="false" customHeight="true" outlineLevel="0" collapsed="false">
      <c r="A175" s="1"/>
      <c r="B175" s="49" t="str">
        <f aca="false">IF($C175="","",ROW()-8)</f>
        <v/>
      </c>
      <c r="C175" s="35"/>
      <c r="D175" s="8"/>
      <c r="E175" s="26"/>
      <c r="F175" s="26"/>
      <c r="G175" s="50"/>
      <c r="H175" s="50"/>
      <c r="I175" s="30" t="str">
        <f aca="false">IF($C175="","",IFERROR(S175/T175,"—"))</f>
        <v/>
      </c>
      <c r="J175" s="30" t="str">
        <f aca="false">IF($C175="","",IFERROR(V175/W175,"—"))</f>
        <v/>
      </c>
      <c r="K175" s="41" t="str">
        <f aca="false">IF($C175="","",IFERROR(J175/I175-1,""))</f>
        <v/>
      </c>
      <c r="L175" s="41" t="str">
        <f aca="false">IF($C175="","",IFERROR((U175-S175)/S175,"—"))</f>
        <v/>
      </c>
      <c r="M175" s="41" t="str">
        <f aca="false">IF($C175="","",IFERROR((X175-V175)/V175,"—"))</f>
        <v/>
      </c>
      <c r="N175" s="39" t="str">
        <f aca="false">IF($C175="","",T175/$D$5)</f>
        <v/>
      </c>
      <c r="O175" s="39" t="str">
        <f aca="false">IF($C175="","",W175/$D$5)</f>
        <v/>
      </c>
      <c r="P175" s="51" t="str">
        <f aca="false">IF($C175="","",IF(MAX(Статистика!$B$7:$B$1006)&lt;$C175+$D$5,"Чекаємо даних",IF(S175=0,"Новий (без бази)",IF(OR(T175=0,W175=0),"Мало даних",IF(K175&lt;=-$F$5,"Покращило",IF(K175&gt;=$F$5,"Погіршило","Без змін"))))))</f>
        <v/>
      </c>
      <c r="Q175" s="50"/>
      <c r="R175" s="1"/>
      <c r="S175" s="52" t="str">
        <f aca="false">IF($C175="","",SUMIFS(Статистика!$E$7:$E$1006,Статистика!$B$7:$B$1006,"&gt;="&amp;($C175-$D$5),Статистика!$B$7:$B$1006,"&lt;="&amp;($C175-1),Статистика!$C$7:$C$1006,IF($D175="","&lt;&gt;§",$D175),Статистика!$D$7:$D$1006,IF($E175="","&lt;&gt;§",$E175)))</f>
        <v/>
      </c>
      <c r="T175" s="52" t="str">
        <f aca="false">IF($C175="","",SUMIFS(Статистика!$H$7:$H$1006,Статистика!$B$7:$B$1006,"&gt;="&amp;($C175-$D$5),Статистика!$B$7:$B$1006,"&lt;="&amp;($C175-1),Статистика!$C$7:$C$1006,IF($D175="","&lt;&gt;§",$D175),Статистика!$D$7:$D$1006,IF($E175="","&lt;&gt;§",$E175)))</f>
        <v/>
      </c>
      <c r="U175" s="52" t="str">
        <f aca="false">IF($C175="","",SUMIFS(Статистика!$T$7:$T$1006,Статистика!$B$7:$B$1006,"&gt;="&amp;($C175-$D$5),Статистика!$B$7:$B$1006,"&lt;="&amp;($C175-1),Статистика!$C$7:$C$1006,IF($D175="","&lt;&gt;§",$D175),Статистика!$D$7:$D$1006,IF($E175="","&lt;&gt;§",$E175)))</f>
        <v/>
      </c>
      <c r="V175" s="52" t="str">
        <f aca="false">IF($C175="","",SUMIFS(Статистика!$E$7:$E$1006,Статистика!$B$7:$B$1006,"&gt;="&amp;($C175+1),Статистика!$B$7:$B$1006,"&lt;="&amp;($C175+$D$5),Статистика!$C$7:$C$1006,IF($D175="","&lt;&gt;§",$D175),Статистика!$D$7:$D$1006,IF($E175="","&lt;&gt;§",$E175)))</f>
        <v/>
      </c>
      <c r="W175" s="52" t="str">
        <f aca="false">IF($C175="","",SUMIFS(Статистика!$H$7:$H$1006,Статистика!$B$7:$B$1006,"&gt;="&amp;($C175+1),Статистика!$B$7:$B$1006,"&lt;="&amp;($C175+$D$5),Статистика!$C$7:$C$1006,IF($D175="","&lt;&gt;§",$D175),Статистика!$D$7:$D$1006,IF($E175="","&lt;&gt;§",$E175)))</f>
        <v/>
      </c>
      <c r="X175" s="52" t="str">
        <f aca="false">IF($C175="","",SUMIFS(Статистика!$T$7:$T$1006,Статистика!$B$7:$B$1006,"&gt;="&amp;($C175+1),Статистика!$B$7:$B$1006,"&lt;="&amp;($C175+$D$5),Статистика!$C$7:$C$1006,IF($D175="","&lt;&gt;§",$D175),Статистика!$D$7:$D$1006,IF($E175="","&lt;&gt;§",$E175)))</f>
        <v/>
      </c>
      <c r="Y175" s="1"/>
      <c r="Z175" s="1"/>
      <c r="AA175" s="1"/>
      <c r="AB175" s="1"/>
      <c r="AC175" s="1"/>
      <c r="AD175" s="1"/>
    </row>
    <row r="176" customFormat="false" ht="30" hidden="false" customHeight="true" outlineLevel="0" collapsed="false">
      <c r="A176" s="1"/>
      <c r="B176" s="49" t="str">
        <f aca="false">IF($C176="","",ROW()-8)</f>
        <v/>
      </c>
      <c r="C176" s="35"/>
      <c r="D176" s="8"/>
      <c r="E176" s="26"/>
      <c r="F176" s="26"/>
      <c r="G176" s="50"/>
      <c r="H176" s="50"/>
      <c r="I176" s="30" t="str">
        <f aca="false">IF($C176="","",IFERROR(S176/T176,"—"))</f>
        <v/>
      </c>
      <c r="J176" s="30" t="str">
        <f aca="false">IF($C176="","",IFERROR(V176/W176,"—"))</f>
        <v/>
      </c>
      <c r="K176" s="41" t="str">
        <f aca="false">IF($C176="","",IFERROR(J176/I176-1,""))</f>
        <v/>
      </c>
      <c r="L176" s="41" t="str">
        <f aca="false">IF($C176="","",IFERROR((U176-S176)/S176,"—"))</f>
        <v/>
      </c>
      <c r="M176" s="41" t="str">
        <f aca="false">IF($C176="","",IFERROR((X176-V176)/V176,"—"))</f>
        <v/>
      </c>
      <c r="N176" s="39" t="str">
        <f aca="false">IF($C176="","",T176/$D$5)</f>
        <v/>
      </c>
      <c r="O176" s="39" t="str">
        <f aca="false">IF($C176="","",W176/$D$5)</f>
        <v/>
      </c>
      <c r="P176" s="51" t="str">
        <f aca="false">IF($C176="","",IF(MAX(Статистика!$B$7:$B$1006)&lt;$C176+$D$5,"Чекаємо даних",IF(S176=0,"Новий (без бази)",IF(OR(T176=0,W176=0),"Мало даних",IF(K176&lt;=-$F$5,"Покращило",IF(K176&gt;=$F$5,"Погіршило","Без змін"))))))</f>
        <v/>
      </c>
      <c r="Q176" s="50"/>
      <c r="R176" s="1"/>
      <c r="S176" s="52" t="str">
        <f aca="false">IF($C176="","",SUMIFS(Статистика!$E$7:$E$1006,Статистика!$B$7:$B$1006,"&gt;="&amp;($C176-$D$5),Статистика!$B$7:$B$1006,"&lt;="&amp;($C176-1),Статистика!$C$7:$C$1006,IF($D176="","&lt;&gt;§",$D176),Статистика!$D$7:$D$1006,IF($E176="","&lt;&gt;§",$E176)))</f>
        <v/>
      </c>
      <c r="T176" s="52" t="str">
        <f aca="false">IF($C176="","",SUMIFS(Статистика!$H$7:$H$1006,Статистика!$B$7:$B$1006,"&gt;="&amp;($C176-$D$5),Статистика!$B$7:$B$1006,"&lt;="&amp;($C176-1),Статистика!$C$7:$C$1006,IF($D176="","&lt;&gt;§",$D176),Статистика!$D$7:$D$1006,IF($E176="","&lt;&gt;§",$E176)))</f>
        <v/>
      </c>
      <c r="U176" s="52" t="str">
        <f aca="false">IF($C176="","",SUMIFS(Статистика!$T$7:$T$1006,Статистика!$B$7:$B$1006,"&gt;="&amp;($C176-$D$5),Статистика!$B$7:$B$1006,"&lt;="&amp;($C176-1),Статистика!$C$7:$C$1006,IF($D176="","&lt;&gt;§",$D176),Статистика!$D$7:$D$1006,IF($E176="","&lt;&gt;§",$E176)))</f>
        <v/>
      </c>
      <c r="V176" s="52" t="str">
        <f aca="false">IF($C176="","",SUMIFS(Статистика!$E$7:$E$1006,Статистика!$B$7:$B$1006,"&gt;="&amp;($C176+1),Статистика!$B$7:$B$1006,"&lt;="&amp;($C176+$D$5),Статистика!$C$7:$C$1006,IF($D176="","&lt;&gt;§",$D176),Статистика!$D$7:$D$1006,IF($E176="","&lt;&gt;§",$E176)))</f>
        <v/>
      </c>
      <c r="W176" s="52" t="str">
        <f aca="false">IF($C176="","",SUMIFS(Статистика!$H$7:$H$1006,Статистика!$B$7:$B$1006,"&gt;="&amp;($C176+1),Статистика!$B$7:$B$1006,"&lt;="&amp;($C176+$D$5),Статистика!$C$7:$C$1006,IF($D176="","&lt;&gt;§",$D176),Статистика!$D$7:$D$1006,IF($E176="","&lt;&gt;§",$E176)))</f>
        <v/>
      </c>
      <c r="X176" s="52" t="str">
        <f aca="false">IF($C176="","",SUMIFS(Статистика!$T$7:$T$1006,Статистика!$B$7:$B$1006,"&gt;="&amp;($C176+1),Статистика!$B$7:$B$1006,"&lt;="&amp;($C176+$D$5),Статистика!$C$7:$C$1006,IF($D176="","&lt;&gt;§",$D176),Статистика!$D$7:$D$1006,IF($E176="","&lt;&gt;§",$E176)))</f>
        <v/>
      </c>
      <c r="Y176" s="1"/>
      <c r="Z176" s="1"/>
      <c r="AA176" s="1"/>
      <c r="AB176" s="1"/>
      <c r="AC176" s="1"/>
      <c r="AD176" s="1"/>
    </row>
    <row r="177" customFormat="false" ht="30" hidden="false" customHeight="true" outlineLevel="0" collapsed="false">
      <c r="A177" s="1"/>
      <c r="B177" s="49" t="str">
        <f aca="false">IF($C177="","",ROW()-8)</f>
        <v/>
      </c>
      <c r="C177" s="35"/>
      <c r="D177" s="8"/>
      <c r="E177" s="26"/>
      <c r="F177" s="26"/>
      <c r="G177" s="50"/>
      <c r="H177" s="50"/>
      <c r="I177" s="30" t="str">
        <f aca="false">IF($C177="","",IFERROR(S177/T177,"—"))</f>
        <v/>
      </c>
      <c r="J177" s="30" t="str">
        <f aca="false">IF($C177="","",IFERROR(V177/W177,"—"))</f>
        <v/>
      </c>
      <c r="K177" s="41" t="str">
        <f aca="false">IF($C177="","",IFERROR(J177/I177-1,""))</f>
        <v/>
      </c>
      <c r="L177" s="41" t="str">
        <f aca="false">IF($C177="","",IFERROR((U177-S177)/S177,"—"))</f>
        <v/>
      </c>
      <c r="M177" s="41" t="str">
        <f aca="false">IF($C177="","",IFERROR((X177-V177)/V177,"—"))</f>
        <v/>
      </c>
      <c r="N177" s="39" t="str">
        <f aca="false">IF($C177="","",T177/$D$5)</f>
        <v/>
      </c>
      <c r="O177" s="39" t="str">
        <f aca="false">IF($C177="","",W177/$D$5)</f>
        <v/>
      </c>
      <c r="P177" s="51" t="str">
        <f aca="false">IF($C177="","",IF(MAX(Статистика!$B$7:$B$1006)&lt;$C177+$D$5,"Чекаємо даних",IF(S177=0,"Новий (без бази)",IF(OR(T177=0,W177=0),"Мало даних",IF(K177&lt;=-$F$5,"Покращило",IF(K177&gt;=$F$5,"Погіршило","Без змін"))))))</f>
        <v/>
      </c>
      <c r="Q177" s="50"/>
      <c r="R177" s="1"/>
      <c r="S177" s="52" t="str">
        <f aca="false">IF($C177="","",SUMIFS(Статистика!$E$7:$E$1006,Статистика!$B$7:$B$1006,"&gt;="&amp;($C177-$D$5),Статистика!$B$7:$B$1006,"&lt;="&amp;($C177-1),Статистика!$C$7:$C$1006,IF($D177="","&lt;&gt;§",$D177),Статистика!$D$7:$D$1006,IF($E177="","&lt;&gt;§",$E177)))</f>
        <v/>
      </c>
      <c r="T177" s="52" t="str">
        <f aca="false">IF($C177="","",SUMIFS(Статистика!$H$7:$H$1006,Статистика!$B$7:$B$1006,"&gt;="&amp;($C177-$D$5),Статистика!$B$7:$B$1006,"&lt;="&amp;($C177-1),Статистика!$C$7:$C$1006,IF($D177="","&lt;&gt;§",$D177),Статистика!$D$7:$D$1006,IF($E177="","&lt;&gt;§",$E177)))</f>
        <v/>
      </c>
      <c r="U177" s="52" t="str">
        <f aca="false">IF($C177="","",SUMIFS(Статистика!$T$7:$T$1006,Статистика!$B$7:$B$1006,"&gt;="&amp;($C177-$D$5),Статистика!$B$7:$B$1006,"&lt;="&amp;($C177-1),Статистика!$C$7:$C$1006,IF($D177="","&lt;&gt;§",$D177),Статистика!$D$7:$D$1006,IF($E177="","&lt;&gt;§",$E177)))</f>
        <v/>
      </c>
      <c r="V177" s="52" t="str">
        <f aca="false">IF($C177="","",SUMIFS(Статистика!$E$7:$E$1006,Статистика!$B$7:$B$1006,"&gt;="&amp;($C177+1),Статистика!$B$7:$B$1006,"&lt;="&amp;($C177+$D$5),Статистика!$C$7:$C$1006,IF($D177="","&lt;&gt;§",$D177),Статистика!$D$7:$D$1006,IF($E177="","&lt;&gt;§",$E177)))</f>
        <v/>
      </c>
      <c r="W177" s="52" t="str">
        <f aca="false">IF($C177="","",SUMIFS(Статистика!$H$7:$H$1006,Статистика!$B$7:$B$1006,"&gt;="&amp;($C177+1),Статистика!$B$7:$B$1006,"&lt;="&amp;($C177+$D$5),Статистика!$C$7:$C$1006,IF($D177="","&lt;&gt;§",$D177),Статистика!$D$7:$D$1006,IF($E177="","&lt;&gt;§",$E177)))</f>
        <v/>
      </c>
      <c r="X177" s="52" t="str">
        <f aca="false">IF($C177="","",SUMIFS(Статистика!$T$7:$T$1006,Статистика!$B$7:$B$1006,"&gt;="&amp;($C177+1),Статистика!$B$7:$B$1006,"&lt;="&amp;($C177+$D$5),Статистика!$C$7:$C$1006,IF($D177="","&lt;&gt;§",$D177),Статистика!$D$7:$D$1006,IF($E177="","&lt;&gt;§",$E177)))</f>
        <v/>
      </c>
      <c r="Y177" s="1"/>
      <c r="Z177" s="1"/>
      <c r="AA177" s="1"/>
      <c r="AB177" s="1"/>
      <c r="AC177" s="1"/>
      <c r="AD177" s="1"/>
    </row>
    <row r="178" customFormat="false" ht="30" hidden="false" customHeight="true" outlineLevel="0" collapsed="false">
      <c r="A178" s="1"/>
      <c r="B178" s="49" t="str">
        <f aca="false">IF($C178="","",ROW()-8)</f>
        <v/>
      </c>
      <c r="C178" s="35"/>
      <c r="D178" s="8"/>
      <c r="E178" s="26"/>
      <c r="F178" s="26"/>
      <c r="G178" s="50"/>
      <c r="H178" s="50"/>
      <c r="I178" s="30" t="str">
        <f aca="false">IF($C178="","",IFERROR(S178/T178,"—"))</f>
        <v/>
      </c>
      <c r="J178" s="30" t="str">
        <f aca="false">IF($C178="","",IFERROR(V178/W178,"—"))</f>
        <v/>
      </c>
      <c r="K178" s="41" t="str">
        <f aca="false">IF($C178="","",IFERROR(J178/I178-1,""))</f>
        <v/>
      </c>
      <c r="L178" s="41" t="str">
        <f aca="false">IF($C178="","",IFERROR((U178-S178)/S178,"—"))</f>
        <v/>
      </c>
      <c r="M178" s="41" t="str">
        <f aca="false">IF($C178="","",IFERROR((X178-V178)/V178,"—"))</f>
        <v/>
      </c>
      <c r="N178" s="39" t="str">
        <f aca="false">IF($C178="","",T178/$D$5)</f>
        <v/>
      </c>
      <c r="O178" s="39" t="str">
        <f aca="false">IF($C178="","",W178/$D$5)</f>
        <v/>
      </c>
      <c r="P178" s="51" t="str">
        <f aca="false">IF($C178="","",IF(MAX(Статистика!$B$7:$B$1006)&lt;$C178+$D$5,"Чекаємо даних",IF(S178=0,"Новий (без бази)",IF(OR(T178=0,W178=0),"Мало даних",IF(K178&lt;=-$F$5,"Покращило",IF(K178&gt;=$F$5,"Погіршило","Без змін"))))))</f>
        <v/>
      </c>
      <c r="Q178" s="50"/>
      <c r="R178" s="1"/>
      <c r="S178" s="52" t="str">
        <f aca="false">IF($C178="","",SUMIFS(Статистика!$E$7:$E$1006,Статистика!$B$7:$B$1006,"&gt;="&amp;($C178-$D$5),Статистика!$B$7:$B$1006,"&lt;="&amp;($C178-1),Статистика!$C$7:$C$1006,IF($D178="","&lt;&gt;§",$D178),Статистика!$D$7:$D$1006,IF($E178="","&lt;&gt;§",$E178)))</f>
        <v/>
      </c>
      <c r="T178" s="52" t="str">
        <f aca="false">IF($C178="","",SUMIFS(Статистика!$H$7:$H$1006,Статистика!$B$7:$B$1006,"&gt;="&amp;($C178-$D$5),Статистика!$B$7:$B$1006,"&lt;="&amp;($C178-1),Статистика!$C$7:$C$1006,IF($D178="","&lt;&gt;§",$D178),Статистика!$D$7:$D$1006,IF($E178="","&lt;&gt;§",$E178)))</f>
        <v/>
      </c>
      <c r="U178" s="52" t="str">
        <f aca="false">IF($C178="","",SUMIFS(Статистика!$T$7:$T$1006,Статистика!$B$7:$B$1006,"&gt;="&amp;($C178-$D$5),Статистика!$B$7:$B$1006,"&lt;="&amp;($C178-1),Статистика!$C$7:$C$1006,IF($D178="","&lt;&gt;§",$D178),Статистика!$D$7:$D$1006,IF($E178="","&lt;&gt;§",$E178)))</f>
        <v/>
      </c>
      <c r="V178" s="52" t="str">
        <f aca="false">IF($C178="","",SUMIFS(Статистика!$E$7:$E$1006,Статистика!$B$7:$B$1006,"&gt;="&amp;($C178+1),Статистика!$B$7:$B$1006,"&lt;="&amp;($C178+$D$5),Статистика!$C$7:$C$1006,IF($D178="","&lt;&gt;§",$D178),Статистика!$D$7:$D$1006,IF($E178="","&lt;&gt;§",$E178)))</f>
        <v/>
      </c>
      <c r="W178" s="52" t="str">
        <f aca="false">IF($C178="","",SUMIFS(Статистика!$H$7:$H$1006,Статистика!$B$7:$B$1006,"&gt;="&amp;($C178+1),Статистика!$B$7:$B$1006,"&lt;="&amp;($C178+$D$5),Статистика!$C$7:$C$1006,IF($D178="","&lt;&gt;§",$D178),Статистика!$D$7:$D$1006,IF($E178="","&lt;&gt;§",$E178)))</f>
        <v/>
      </c>
      <c r="X178" s="52" t="str">
        <f aca="false">IF($C178="","",SUMIFS(Статистика!$T$7:$T$1006,Статистика!$B$7:$B$1006,"&gt;="&amp;($C178+1),Статистика!$B$7:$B$1006,"&lt;="&amp;($C178+$D$5),Статистика!$C$7:$C$1006,IF($D178="","&lt;&gt;§",$D178),Статистика!$D$7:$D$1006,IF($E178="","&lt;&gt;§",$E178)))</f>
        <v/>
      </c>
      <c r="Y178" s="1"/>
      <c r="Z178" s="1"/>
      <c r="AA178" s="1"/>
      <c r="AB178" s="1"/>
      <c r="AC178" s="1"/>
      <c r="AD178" s="1"/>
    </row>
    <row r="179" customFormat="false" ht="30" hidden="false" customHeight="true" outlineLevel="0" collapsed="false">
      <c r="A179" s="1"/>
      <c r="B179" s="49" t="str">
        <f aca="false">IF($C179="","",ROW()-8)</f>
        <v/>
      </c>
      <c r="C179" s="35"/>
      <c r="D179" s="8"/>
      <c r="E179" s="26"/>
      <c r="F179" s="26"/>
      <c r="G179" s="50"/>
      <c r="H179" s="50"/>
      <c r="I179" s="30" t="str">
        <f aca="false">IF($C179="","",IFERROR(S179/T179,"—"))</f>
        <v/>
      </c>
      <c r="J179" s="30" t="str">
        <f aca="false">IF($C179="","",IFERROR(V179/W179,"—"))</f>
        <v/>
      </c>
      <c r="K179" s="41" t="str">
        <f aca="false">IF($C179="","",IFERROR(J179/I179-1,""))</f>
        <v/>
      </c>
      <c r="L179" s="41" t="str">
        <f aca="false">IF($C179="","",IFERROR((U179-S179)/S179,"—"))</f>
        <v/>
      </c>
      <c r="M179" s="41" t="str">
        <f aca="false">IF($C179="","",IFERROR((X179-V179)/V179,"—"))</f>
        <v/>
      </c>
      <c r="N179" s="39" t="str">
        <f aca="false">IF($C179="","",T179/$D$5)</f>
        <v/>
      </c>
      <c r="O179" s="39" t="str">
        <f aca="false">IF($C179="","",W179/$D$5)</f>
        <v/>
      </c>
      <c r="P179" s="51" t="str">
        <f aca="false">IF($C179="","",IF(MAX(Статистика!$B$7:$B$1006)&lt;$C179+$D$5,"Чекаємо даних",IF(S179=0,"Новий (без бази)",IF(OR(T179=0,W179=0),"Мало даних",IF(K179&lt;=-$F$5,"Покращило",IF(K179&gt;=$F$5,"Погіршило","Без змін"))))))</f>
        <v/>
      </c>
      <c r="Q179" s="50"/>
      <c r="R179" s="1"/>
      <c r="S179" s="52" t="str">
        <f aca="false">IF($C179="","",SUMIFS(Статистика!$E$7:$E$1006,Статистика!$B$7:$B$1006,"&gt;="&amp;($C179-$D$5),Статистика!$B$7:$B$1006,"&lt;="&amp;($C179-1),Статистика!$C$7:$C$1006,IF($D179="","&lt;&gt;§",$D179),Статистика!$D$7:$D$1006,IF($E179="","&lt;&gt;§",$E179)))</f>
        <v/>
      </c>
      <c r="T179" s="52" t="str">
        <f aca="false">IF($C179="","",SUMIFS(Статистика!$H$7:$H$1006,Статистика!$B$7:$B$1006,"&gt;="&amp;($C179-$D$5),Статистика!$B$7:$B$1006,"&lt;="&amp;($C179-1),Статистика!$C$7:$C$1006,IF($D179="","&lt;&gt;§",$D179),Статистика!$D$7:$D$1006,IF($E179="","&lt;&gt;§",$E179)))</f>
        <v/>
      </c>
      <c r="U179" s="52" t="str">
        <f aca="false">IF($C179="","",SUMIFS(Статистика!$T$7:$T$1006,Статистика!$B$7:$B$1006,"&gt;="&amp;($C179-$D$5),Статистика!$B$7:$B$1006,"&lt;="&amp;($C179-1),Статистика!$C$7:$C$1006,IF($D179="","&lt;&gt;§",$D179),Статистика!$D$7:$D$1006,IF($E179="","&lt;&gt;§",$E179)))</f>
        <v/>
      </c>
      <c r="V179" s="52" t="str">
        <f aca="false">IF($C179="","",SUMIFS(Статистика!$E$7:$E$1006,Статистика!$B$7:$B$1006,"&gt;="&amp;($C179+1),Статистика!$B$7:$B$1006,"&lt;="&amp;($C179+$D$5),Статистика!$C$7:$C$1006,IF($D179="","&lt;&gt;§",$D179),Статистика!$D$7:$D$1006,IF($E179="","&lt;&gt;§",$E179)))</f>
        <v/>
      </c>
      <c r="W179" s="52" t="str">
        <f aca="false">IF($C179="","",SUMIFS(Статистика!$H$7:$H$1006,Статистика!$B$7:$B$1006,"&gt;="&amp;($C179+1),Статистика!$B$7:$B$1006,"&lt;="&amp;($C179+$D$5),Статистика!$C$7:$C$1006,IF($D179="","&lt;&gt;§",$D179),Статистика!$D$7:$D$1006,IF($E179="","&lt;&gt;§",$E179)))</f>
        <v/>
      </c>
      <c r="X179" s="52" t="str">
        <f aca="false">IF($C179="","",SUMIFS(Статистика!$T$7:$T$1006,Статистика!$B$7:$B$1006,"&gt;="&amp;($C179+1),Статистика!$B$7:$B$1006,"&lt;="&amp;($C179+$D$5),Статистика!$C$7:$C$1006,IF($D179="","&lt;&gt;§",$D179),Статистика!$D$7:$D$1006,IF($E179="","&lt;&gt;§",$E179)))</f>
        <v/>
      </c>
      <c r="Y179" s="1"/>
      <c r="Z179" s="1"/>
      <c r="AA179" s="1"/>
      <c r="AB179" s="1"/>
      <c r="AC179" s="1"/>
      <c r="AD179" s="1"/>
    </row>
    <row r="180" customFormat="false" ht="30" hidden="false" customHeight="true" outlineLevel="0" collapsed="false">
      <c r="A180" s="1"/>
      <c r="B180" s="49" t="str">
        <f aca="false">IF($C180="","",ROW()-8)</f>
        <v/>
      </c>
      <c r="C180" s="35"/>
      <c r="D180" s="8"/>
      <c r="E180" s="26"/>
      <c r="F180" s="26"/>
      <c r="G180" s="50"/>
      <c r="H180" s="50"/>
      <c r="I180" s="30" t="str">
        <f aca="false">IF($C180="","",IFERROR(S180/T180,"—"))</f>
        <v/>
      </c>
      <c r="J180" s="30" t="str">
        <f aca="false">IF($C180="","",IFERROR(V180/W180,"—"))</f>
        <v/>
      </c>
      <c r="K180" s="41" t="str">
        <f aca="false">IF($C180="","",IFERROR(J180/I180-1,""))</f>
        <v/>
      </c>
      <c r="L180" s="41" t="str">
        <f aca="false">IF($C180="","",IFERROR((U180-S180)/S180,"—"))</f>
        <v/>
      </c>
      <c r="M180" s="41" t="str">
        <f aca="false">IF($C180="","",IFERROR((X180-V180)/V180,"—"))</f>
        <v/>
      </c>
      <c r="N180" s="39" t="str">
        <f aca="false">IF($C180="","",T180/$D$5)</f>
        <v/>
      </c>
      <c r="O180" s="39" t="str">
        <f aca="false">IF($C180="","",W180/$D$5)</f>
        <v/>
      </c>
      <c r="P180" s="51" t="str">
        <f aca="false">IF($C180="","",IF(MAX(Статистика!$B$7:$B$1006)&lt;$C180+$D$5,"Чекаємо даних",IF(S180=0,"Новий (без бази)",IF(OR(T180=0,W180=0),"Мало даних",IF(K180&lt;=-$F$5,"Покращило",IF(K180&gt;=$F$5,"Погіршило","Без змін"))))))</f>
        <v/>
      </c>
      <c r="Q180" s="50"/>
      <c r="R180" s="1"/>
      <c r="S180" s="52" t="str">
        <f aca="false">IF($C180="","",SUMIFS(Статистика!$E$7:$E$1006,Статистика!$B$7:$B$1006,"&gt;="&amp;($C180-$D$5),Статистика!$B$7:$B$1006,"&lt;="&amp;($C180-1),Статистика!$C$7:$C$1006,IF($D180="","&lt;&gt;§",$D180),Статистика!$D$7:$D$1006,IF($E180="","&lt;&gt;§",$E180)))</f>
        <v/>
      </c>
      <c r="T180" s="52" t="str">
        <f aca="false">IF($C180="","",SUMIFS(Статистика!$H$7:$H$1006,Статистика!$B$7:$B$1006,"&gt;="&amp;($C180-$D$5),Статистика!$B$7:$B$1006,"&lt;="&amp;($C180-1),Статистика!$C$7:$C$1006,IF($D180="","&lt;&gt;§",$D180),Статистика!$D$7:$D$1006,IF($E180="","&lt;&gt;§",$E180)))</f>
        <v/>
      </c>
      <c r="U180" s="52" t="str">
        <f aca="false">IF($C180="","",SUMIFS(Статистика!$T$7:$T$1006,Статистика!$B$7:$B$1006,"&gt;="&amp;($C180-$D$5),Статистика!$B$7:$B$1006,"&lt;="&amp;($C180-1),Статистика!$C$7:$C$1006,IF($D180="","&lt;&gt;§",$D180),Статистика!$D$7:$D$1006,IF($E180="","&lt;&gt;§",$E180)))</f>
        <v/>
      </c>
      <c r="V180" s="52" t="str">
        <f aca="false">IF($C180="","",SUMIFS(Статистика!$E$7:$E$1006,Статистика!$B$7:$B$1006,"&gt;="&amp;($C180+1),Статистика!$B$7:$B$1006,"&lt;="&amp;($C180+$D$5),Статистика!$C$7:$C$1006,IF($D180="","&lt;&gt;§",$D180),Статистика!$D$7:$D$1006,IF($E180="","&lt;&gt;§",$E180)))</f>
        <v/>
      </c>
      <c r="W180" s="52" t="str">
        <f aca="false">IF($C180="","",SUMIFS(Статистика!$H$7:$H$1006,Статистика!$B$7:$B$1006,"&gt;="&amp;($C180+1),Статистика!$B$7:$B$1006,"&lt;="&amp;($C180+$D$5),Статистика!$C$7:$C$1006,IF($D180="","&lt;&gt;§",$D180),Статистика!$D$7:$D$1006,IF($E180="","&lt;&gt;§",$E180)))</f>
        <v/>
      </c>
      <c r="X180" s="52" t="str">
        <f aca="false">IF($C180="","",SUMIFS(Статистика!$T$7:$T$1006,Статистика!$B$7:$B$1006,"&gt;="&amp;($C180+1),Статистика!$B$7:$B$1006,"&lt;="&amp;($C180+$D$5),Статистика!$C$7:$C$1006,IF($D180="","&lt;&gt;§",$D180),Статистика!$D$7:$D$1006,IF($E180="","&lt;&gt;§",$E180)))</f>
        <v/>
      </c>
      <c r="Y180" s="1"/>
      <c r="Z180" s="1"/>
      <c r="AA180" s="1"/>
      <c r="AB180" s="1"/>
      <c r="AC180" s="1"/>
      <c r="AD180" s="1"/>
    </row>
    <row r="181" customFormat="false" ht="30" hidden="false" customHeight="true" outlineLevel="0" collapsed="false">
      <c r="A181" s="1"/>
      <c r="B181" s="49" t="str">
        <f aca="false">IF($C181="","",ROW()-8)</f>
        <v/>
      </c>
      <c r="C181" s="35"/>
      <c r="D181" s="8"/>
      <c r="E181" s="26"/>
      <c r="F181" s="26"/>
      <c r="G181" s="50"/>
      <c r="H181" s="50"/>
      <c r="I181" s="30" t="str">
        <f aca="false">IF($C181="","",IFERROR(S181/T181,"—"))</f>
        <v/>
      </c>
      <c r="J181" s="30" t="str">
        <f aca="false">IF($C181="","",IFERROR(V181/W181,"—"))</f>
        <v/>
      </c>
      <c r="K181" s="41" t="str">
        <f aca="false">IF($C181="","",IFERROR(J181/I181-1,""))</f>
        <v/>
      </c>
      <c r="L181" s="41" t="str">
        <f aca="false">IF($C181="","",IFERROR((U181-S181)/S181,"—"))</f>
        <v/>
      </c>
      <c r="M181" s="41" t="str">
        <f aca="false">IF($C181="","",IFERROR((X181-V181)/V181,"—"))</f>
        <v/>
      </c>
      <c r="N181" s="39" t="str">
        <f aca="false">IF($C181="","",T181/$D$5)</f>
        <v/>
      </c>
      <c r="O181" s="39" t="str">
        <f aca="false">IF($C181="","",W181/$D$5)</f>
        <v/>
      </c>
      <c r="P181" s="51" t="str">
        <f aca="false">IF($C181="","",IF(MAX(Статистика!$B$7:$B$1006)&lt;$C181+$D$5,"Чекаємо даних",IF(S181=0,"Новий (без бази)",IF(OR(T181=0,W181=0),"Мало даних",IF(K181&lt;=-$F$5,"Покращило",IF(K181&gt;=$F$5,"Погіршило","Без змін"))))))</f>
        <v/>
      </c>
      <c r="Q181" s="50"/>
      <c r="R181" s="1"/>
      <c r="S181" s="52" t="str">
        <f aca="false">IF($C181="","",SUMIFS(Статистика!$E$7:$E$1006,Статистика!$B$7:$B$1006,"&gt;="&amp;($C181-$D$5),Статистика!$B$7:$B$1006,"&lt;="&amp;($C181-1),Статистика!$C$7:$C$1006,IF($D181="","&lt;&gt;§",$D181),Статистика!$D$7:$D$1006,IF($E181="","&lt;&gt;§",$E181)))</f>
        <v/>
      </c>
      <c r="T181" s="52" t="str">
        <f aca="false">IF($C181="","",SUMIFS(Статистика!$H$7:$H$1006,Статистика!$B$7:$B$1006,"&gt;="&amp;($C181-$D$5),Статистика!$B$7:$B$1006,"&lt;="&amp;($C181-1),Статистика!$C$7:$C$1006,IF($D181="","&lt;&gt;§",$D181),Статистика!$D$7:$D$1006,IF($E181="","&lt;&gt;§",$E181)))</f>
        <v/>
      </c>
      <c r="U181" s="52" t="str">
        <f aca="false">IF($C181="","",SUMIFS(Статистика!$T$7:$T$1006,Статистика!$B$7:$B$1006,"&gt;="&amp;($C181-$D$5),Статистика!$B$7:$B$1006,"&lt;="&amp;($C181-1),Статистика!$C$7:$C$1006,IF($D181="","&lt;&gt;§",$D181),Статистика!$D$7:$D$1006,IF($E181="","&lt;&gt;§",$E181)))</f>
        <v/>
      </c>
      <c r="V181" s="52" t="str">
        <f aca="false">IF($C181="","",SUMIFS(Статистика!$E$7:$E$1006,Статистика!$B$7:$B$1006,"&gt;="&amp;($C181+1),Статистика!$B$7:$B$1006,"&lt;="&amp;($C181+$D$5),Статистика!$C$7:$C$1006,IF($D181="","&lt;&gt;§",$D181),Статистика!$D$7:$D$1006,IF($E181="","&lt;&gt;§",$E181)))</f>
        <v/>
      </c>
      <c r="W181" s="52" t="str">
        <f aca="false">IF($C181="","",SUMIFS(Статистика!$H$7:$H$1006,Статистика!$B$7:$B$1006,"&gt;="&amp;($C181+1),Статистика!$B$7:$B$1006,"&lt;="&amp;($C181+$D$5),Статистика!$C$7:$C$1006,IF($D181="","&lt;&gt;§",$D181),Статистика!$D$7:$D$1006,IF($E181="","&lt;&gt;§",$E181)))</f>
        <v/>
      </c>
      <c r="X181" s="52" t="str">
        <f aca="false">IF($C181="","",SUMIFS(Статистика!$T$7:$T$1006,Статистика!$B$7:$B$1006,"&gt;="&amp;($C181+1),Статистика!$B$7:$B$1006,"&lt;="&amp;($C181+$D$5),Статистика!$C$7:$C$1006,IF($D181="","&lt;&gt;§",$D181),Статистика!$D$7:$D$1006,IF($E181="","&lt;&gt;§",$E181)))</f>
        <v/>
      </c>
      <c r="Y181" s="1"/>
      <c r="Z181" s="1"/>
      <c r="AA181" s="1"/>
      <c r="AB181" s="1"/>
      <c r="AC181" s="1"/>
      <c r="AD181" s="1"/>
    </row>
    <row r="182" customFormat="false" ht="30" hidden="false" customHeight="true" outlineLevel="0" collapsed="false">
      <c r="A182" s="1"/>
      <c r="B182" s="49" t="str">
        <f aca="false">IF($C182="","",ROW()-8)</f>
        <v/>
      </c>
      <c r="C182" s="35"/>
      <c r="D182" s="8"/>
      <c r="E182" s="26"/>
      <c r="F182" s="26"/>
      <c r="G182" s="50"/>
      <c r="H182" s="50"/>
      <c r="I182" s="30" t="str">
        <f aca="false">IF($C182="","",IFERROR(S182/T182,"—"))</f>
        <v/>
      </c>
      <c r="J182" s="30" t="str">
        <f aca="false">IF($C182="","",IFERROR(V182/W182,"—"))</f>
        <v/>
      </c>
      <c r="K182" s="41" t="str">
        <f aca="false">IF($C182="","",IFERROR(J182/I182-1,""))</f>
        <v/>
      </c>
      <c r="L182" s="41" t="str">
        <f aca="false">IF($C182="","",IFERROR((U182-S182)/S182,"—"))</f>
        <v/>
      </c>
      <c r="M182" s="41" t="str">
        <f aca="false">IF($C182="","",IFERROR((X182-V182)/V182,"—"))</f>
        <v/>
      </c>
      <c r="N182" s="39" t="str">
        <f aca="false">IF($C182="","",T182/$D$5)</f>
        <v/>
      </c>
      <c r="O182" s="39" t="str">
        <f aca="false">IF($C182="","",W182/$D$5)</f>
        <v/>
      </c>
      <c r="P182" s="51" t="str">
        <f aca="false">IF($C182="","",IF(MAX(Статистика!$B$7:$B$1006)&lt;$C182+$D$5,"Чекаємо даних",IF(S182=0,"Новий (без бази)",IF(OR(T182=0,W182=0),"Мало даних",IF(K182&lt;=-$F$5,"Покращило",IF(K182&gt;=$F$5,"Погіршило","Без змін"))))))</f>
        <v/>
      </c>
      <c r="Q182" s="50"/>
      <c r="R182" s="1"/>
      <c r="S182" s="52" t="str">
        <f aca="false">IF($C182="","",SUMIFS(Статистика!$E$7:$E$1006,Статистика!$B$7:$B$1006,"&gt;="&amp;($C182-$D$5),Статистика!$B$7:$B$1006,"&lt;="&amp;($C182-1),Статистика!$C$7:$C$1006,IF($D182="","&lt;&gt;§",$D182),Статистика!$D$7:$D$1006,IF($E182="","&lt;&gt;§",$E182)))</f>
        <v/>
      </c>
      <c r="T182" s="52" t="str">
        <f aca="false">IF($C182="","",SUMIFS(Статистика!$H$7:$H$1006,Статистика!$B$7:$B$1006,"&gt;="&amp;($C182-$D$5),Статистика!$B$7:$B$1006,"&lt;="&amp;($C182-1),Статистика!$C$7:$C$1006,IF($D182="","&lt;&gt;§",$D182),Статистика!$D$7:$D$1006,IF($E182="","&lt;&gt;§",$E182)))</f>
        <v/>
      </c>
      <c r="U182" s="52" t="str">
        <f aca="false">IF($C182="","",SUMIFS(Статистика!$T$7:$T$1006,Статистика!$B$7:$B$1006,"&gt;="&amp;($C182-$D$5),Статистика!$B$7:$B$1006,"&lt;="&amp;($C182-1),Статистика!$C$7:$C$1006,IF($D182="","&lt;&gt;§",$D182),Статистика!$D$7:$D$1006,IF($E182="","&lt;&gt;§",$E182)))</f>
        <v/>
      </c>
      <c r="V182" s="52" t="str">
        <f aca="false">IF($C182="","",SUMIFS(Статистика!$E$7:$E$1006,Статистика!$B$7:$B$1006,"&gt;="&amp;($C182+1),Статистика!$B$7:$B$1006,"&lt;="&amp;($C182+$D$5),Статистика!$C$7:$C$1006,IF($D182="","&lt;&gt;§",$D182),Статистика!$D$7:$D$1006,IF($E182="","&lt;&gt;§",$E182)))</f>
        <v/>
      </c>
      <c r="W182" s="52" t="str">
        <f aca="false">IF($C182="","",SUMIFS(Статистика!$H$7:$H$1006,Статистика!$B$7:$B$1006,"&gt;="&amp;($C182+1),Статистика!$B$7:$B$1006,"&lt;="&amp;($C182+$D$5),Статистика!$C$7:$C$1006,IF($D182="","&lt;&gt;§",$D182),Статистика!$D$7:$D$1006,IF($E182="","&lt;&gt;§",$E182)))</f>
        <v/>
      </c>
      <c r="X182" s="52" t="str">
        <f aca="false">IF($C182="","",SUMIFS(Статистика!$T$7:$T$1006,Статистика!$B$7:$B$1006,"&gt;="&amp;($C182+1),Статистика!$B$7:$B$1006,"&lt;="&amp;($C182+$D$5),Статистика!$C$7:$C$1006,IF($D182="","&lt;&gt;§",$D182),Статистика!$D$7:$D$1006,IF($E182="","&lt;&gt;§",$E182)))</f>
        <v/>
      </c>
      <c r="Y182" s="1"/>
      <c r="Z182" s="1"/>
      <c r="AA182" s="1"/>
      <c r="AB182" s="1"/>
      <c r="AC182" s="1"/>
      <c r="AD182" s="1"/>
    </row>
    <row r="183" customFormat="false" ht="30" hidden="false" customHeight="true" outlineLevel="0" collapsed="false">
      <c r="A183" s="1"/>
      <c r="B183" s="49" t="str">
        <f aca="false">IF($C183="","",ROW()-8)</f>
        <v/>
      </c>
      <c r="C183" s="35"/>
      <c r="D183" s="8"/>
      <c r="E183" s="26"/>
      <c r="F183" s="26"/>
      <c r="G183" s="50"/>
      <c r="H183" s="50"/>
      <c r="I183" s="30" t="str">
        <f aca="false">IF($C183="","",IFERROR(S183/T183,"—"))</f>
        <v/>
      </c>
      <c r="J183" s="30" t="str">
        <f aca="false">IF($C183="","",IFERROR(V183/W183,"—"))</f>
        <v/>
      </c>
      <c r="K183" s="41" t="str">
        <f aca="false">IF($C183="","",IFERROR(J183/I183-1,""))</f>
        <v/>
      </c>
      <c r="L183" s="41" t="str">
        <f aca="false">IF($C183="","",IFERROR((U183-S183)/S183,"—"))</f>
        <v/>
      </c>
      <c r="M183" s="41" t="str">
        <f aca="false">IF($C183="","",IFERROR((X183-V183)/V183,"—"))</f>
        <v/>
      </c>
      <c r="N183" s="39" t="str">
        <f aca="false">IF($C183="","",T183/$D$5)</f>
        <v/>
      </c>
      <c r="O183" s="39" t="str">
        <f aca="false">IF($C183="","",W183/$D$5)</f>
        <v/>
      </c>
      <c r="P183" s="51" t="str">
        <f aca="false">IF($C183="","",IF(MAX(Статистика!$B$7:$B$1006)&lt;$C183+$D$5,"Чекаємо даних",IF(S183=0,"Новий (без бази)",IF(OR(T183=0,W183=0),"Мало даних",IF(K183&lt;=-$F$5,"Покращило",IF(K183&gt;=$F$5,"Погіршило","Без змін"))))))</f>
        <v/>
      </c>
      <c r="Q183" s="50"/>
      <c r="R183" s="1"/>
      <c r="S183" s="52" t="str">
        <f aca="false">IF($C183="","",SUMIFS(Статистика!$E$7:$E$1006,Статистика!$B$7:$B$1006,"&gt;="&amp;($C183-$D$5),Статистика!$B$7:$B$1006,"&lt;="&amp;($C183-1),Статистика!$C$7:$C$1006,IF($D183="","&lt;&gt;§",$D183),Статистика!$D$7:$D$1006,IF($E183="","&lt;&gt;§",$E183)))</f>
        <v/>
      </c>
      <c r="T183" s="52" t="str">
        <f aca="false">IF($C183="","",SUMIFS(Статистика!$H$7:$H$1006,Статистика!$B$7:$B$1006,"&gt;="&amp;($C183-$D$5),Статистика!$B$7:$B$1006,"&lt;="&amp;($C183-1),Статистика!$C$7:$C$1006,IF($D183="","&lt;&gt;§",$D183),Статистика!$D$7:$D$1006,IF($E183="","&lt;&gt;§",$E183)))</f>
        <v/>
      </c>
      <c r="U183" s="52" t="str">
        <f aca="false">IF($C183="","",SUMIFS(Статистика!$T$7:$T$1006,Статистика!$B$7:$B$1006,"&gt;="&amp;($C183-$D$5),Статистика!$B$7:$B$1006,"&lt;="&amp;($C183-1),Статистика!$C$7:$C$1006,IF($D183="","&lt;&gt;§",$D183),Статистика!$D$7:$D$1006,IF($E183="","&lt;&gt;§",$E183)))</f>
        <v/>
      </c>
      <c r="V183" s="52" t="str">
        <f aca="false">IF($C183="","",SUMIFS(Статистика!$E$7:$E$1006,Статистика!$B$7:$B$1006,"&gt;="&amp;($C183+1),Статистика!$B$7:$B$1006,"&lt;="&amp;($C183+$D$5),Статистика!$C$7:$C$1006,IF($D183="","&lt;&gt;§",$D183),Статистика!$D$7:$D$1006,IF($E183="","&lt;&gt;§",$E183)))</f>
        <v/>
      </c>
      <c r="W183" s="52" t="str">
        <f aca="false">IF($C183="","",SUMIFS(Статистика!$H$7:$H$1006,Статистика!$B$7:$B$1006,"&gt;="&amp;($C183+1),Статистика!$B$7:$B$1006,"&lt;="&amp;($C183+$D$5),Статистика!$C$7:$C$1006,IF($D183="","&lt;&gt;§",$D183),Статистика!$D$7:$D$1006,IF($E183="","&lt;&gt;§",$E183)))</f>
        <v/>
      </c>
      <c r="X183" s="52" t="str">
        <f aca="false">IF($C183="","",SUMIFS(Статистика!$T$7:$T$1006,Статистика!$B$7:$B$1006,"&gt;="&amp;($C183+1),Статистика!$B$7:$B$1006,"&lt;="&amp;($C183+$D$5),Статистика!$C$7:$C$1006,IF($D183="","&lt;&gt;§",$D183),Статистика!$D$7:$D$1006,IF($E183="","&lt;&gt;§",$E183)))</f>
        <v/>
      </c>
      <c r="Y183" s="1"/>
      <c r="Z183" s="1"/>
      <c r="AA183" s="1"/>
      <c r="AB183" s="1"/>
      <c r="AC183" s="1"/>
      <c r="AD183" s="1"/>
    </row>
    <row r="184" customFormat="false" ht="30" hidden="false" customHeight="true" outlineLevel="0" collapsed="false">
      <c r="A184" s="1"/>
      <c r="B184" s="49" t="str">
        <f aca="false">IF($C184="","",ROW()-8)</f>
        <v/>
      </c>
      <c r="C184" s="35"/>
      <c r="D184" s="8"/>
      <c r="E184" s="26"/>
      <c r="F184" s="26"/>
      <c r="G184" s="50"/>
      <c r="H184" s="50"/>
      <c r="I184" s="30" t="str">
        <f aca="false">IF($C184="","",IFERROR(S184/T184,"—"))</f>
        <v/>
      </c>
      <c r="J184" s="30" t="str">
        <f aca="false">IF($C184="","",IFERROR(V184/W184,"—"))</f>
        <v/>
      </c>
      <c r="K184" s="41" t="str">
        <f aca="false">IF($C184="","",IFERROR(J184/I184-1,""))</f>
        <v/>
      </c>
      <c r="L184" s="41" t="str">
        <f aca="false">IF($C184="","",IFERROR((U184-S184)/S184,"—"))</f>
        <v/>
      </c>
      <c r="M184" s="41" t="str">
        <f aca="false">IF($C184="","",IFERROR((X184-V184)/V184,"—"))</f>
        <v/>
      </c>
      <c r="N184" s="39" t="str">
        <f aca="false">IF($C184="","",T184/$D$5)</f>
        <v/>
      </c>
      <c r="O184" s="39" t="str">
        <f aca="false">IF($C184="","",W184/$D$5)</f>
        <v/>
      </c>
      <c r="P184" s="51" t="str">
        <f aca="false">IF($C184="","",IF(MAX(Статистика!$B$7:$B$1006)&lt;$C184+$D$5,"Чекаємо даних",IF(S184=0,"Новий (без бази)",IF(OR(T184=0,W184=0),"Мало даних",IF(K184&lt;=-$F$5,"Покращило",IF(K184&gt;=$F$5,"Погіршило","Без змін"))))))</f>
        <v/>
      </c>
      <c r="Q184" s="50"/>
      <c r="R184" s="1"/>
      <c r="S184" s="52" t="str">
        <f aca="false">IF($C184="","",SUMIFS(Статистика!$E$7:$E$1006,Статистика!$B$7:$B$1006,"&gt;="&amp;($C184-$D$5),Статистика!$B$7:$B$1006,"&lt;="&amp;($C184-1),Статистика!$C$7:$C$1006,IF($D184="","&lt;&gt;§",$D184),Статистика!$D$7:$D$1006,IF($E184="","&lt;&gt;§",$E184)))</f>
        <v/>
      </c>
      <c r="T184" s="52" t="str">
        <f aca="false">IF($C184="","",SUMIFS(Статистика!$H$7:$H$1006,Статистика!$B$7:$B$1006,"&gt;="&amp;($C184-$D$5),Статистика!$B$7:$B$1006,"&lt;="&amp;($C184-1),Статистика!$C$7:$C$1006,IF($D184="","&lt;&gt;§",$D184),Статистика!$D$7:$D$1006,IF($E184="","&lt;&gt;§",$E184)))</f>
        <v/>
      </c>
      <c r="U184" s="52" t="str">
        <f aca="false">IF($C184="","",SUMIFS(Статистика!$T$7:$T$1006,Статистика!$B$7:$B$1006,"&gt;="&amp;($C184-$D$5),Статистика!$B$7:$B$1006,"&lt;="&amp;($C184-1),Статистика!$C$7:$C$1006,IF($D184="","&lt;&gt;§",$D184),Статистика!$D$7:$D$1006,IF($E184="","&lt;&gt;§",$E184)))</f>
        <v/>
      </c>
      <c r="V184" s="52" t="str">
        <f aca="false">IF($C184="","",SUMIFS(Статистика!$E$7:$E$1006,Статистика!$B$7:$B$1006,"&gt;="&amp;($C184+1),Статистика!$B$7:$B$1006,"&lt;="&amp;($C184+$D$5),Статистика!$C$7:$C$1006,IF($D184="","&lt;&gt;§",$D184),Статистика!$D$7:$D$1006,IF($E184="","&lt;&gt;§",$E184)))</f>
        <v/>
      </c>
      <c r="W184" s="52" t="str">
        <f aca="false">IF($C184="","",SUMIFS(Статистика!$H$7:$H$1006,Статистика!$B$7:$B$1006,"&gt;="&amp;($C184+1),Статистика!$B$7:$B$1006,"&lt;="&amp;($C184+$D$5),Статистика!$C$7:$C$1006,IF($D184="","&lt;&gt;§",$D184),Статистика!$D$7:$D$1006,IF($E184="","&lt;&gt;§",$E184)))</f>
        <v/>
      </c>
      <c r="X184" s="52" t="str">
        <f aca="false">IF($C184="","",SUMIFS(Статистика!$T$7:$T$1006,Статистика!$B$7:$B$1006,"&gt;="&amp;($C184+1),Статистика!$B$7:$B$1006,"&lt;="&amp;($C184+$D$5),Статистика!$C$7:$C$1006,IF($D184="","&lt;&gt;§",$D184),Статистика!$D$7:$D$1006,IF($E184="","&lt;&gt;§",$E184)))</f>
        <v/>
      </c>
      <c r="Y184" s="1"/>
      <c r="Z184" s="1"/>
      <c r="AA184" s="1"/>
      <c r="AB184" s="1"/>
      <c r="AC184" s="1"/>
      <c r="AD184" s="1"/>
    </row>
    <row r="185" customFormat="false" ht="30" hidden="false" customHeight="true" outlineLevel="0" collapsed="false">
      <c r="A185" s="1"/>
      <c r="B185" s="49" t="str">
        <f aca="false">IF($C185="","",ROW()-8)</f>
        <v/>
      </c>
      <c r="C185" s="35"/>
      <c r="D185" s="8"/>
      <c r="E185" s="26"/>
      <c r="F185" s="26"/>
      <c r="G185" s="50"/>
      <c r="H185" s="50"/>
      <c r="I185" s="30" t="str">
        <f aca="false">IF($C185="","",IFERROR(S185/T185,"—"))</f>
        <v/>
      </c>
      <c r="J185" s="30" t="str">
        <f aca="false">IF($C185="","",IFERROR(V185/W185,"—"))</f>
        <v/>
      </c>
      <c r="K185" s="41" t="str">
        <f aca="false">IF($C185="","",IFERROR(J185/I185-1,""))</f>
        <v/>
      </c>
      <c r="L185" s="41" t="str">
        <f aca="false">IF($C185="","",IFERROR((U185-S185)/S185,"—"))</f>
        <v/>
      </c>
      <c r="M185" s="41" t="str">
        <f aca="false">IF($C185="","",IFERROR((X185-V185)/V185,"—"))</f>
        <v/>
      </c>
      <c r="N185" s="39" t="str">
        <f aca="false">IF($C185="","",T185/$D$5)</f>
        <v/>
      </c>
      <c r="O185" s="39" t="str">
        <f aca="false">IF($C185="","",W185/$D$5)</f>
        <v/>
      </c>
      <c r="P185" s="51" t="str">
        <f aca="false">IF($C185="","",IF(MAX(Статистика!$B$7:$B$1006)&lt;$C185+$D$5,"Чекаємо даних",IF(S185=0,"Новий (без бази)",IF(OR(T185=0,W185=0),"Мало даних",IF(K185&lt;=-$F$5,"Покращило",IF(K185&gt;=$F$5,"Погіршило","Без змін"))))))</f>
        <v/>
      </c>
      <c r="Q185" s="50"/>
      <c r="R185" s="1"/>
      <c r="S185" s="52" t="str">
        <f aca="false">IF($C185="","",SUMIFS(Статистика!$E$7:$E$1006,Статистика!$B$7:$B$1006,"&gt;="&amp;($C185-$D$5),Статистика!$B$7:$B$1006,"&lt;="&amp;($C185-1),Статистика!$C$7:$C$1006,IF($D185="","&lt;&gt;§",$D185),Статистика!$D$7:$D$1006,IF($E185="","&lt;&gt;§",$E185)))</f>
        <v/>
      </c>
      <c r="T185" s="52" t="str">
        <f aca="false">IF($C185="","",SUMIFS(Статистика!$H$7:$H$1006,Статистика!$B$7:$B$1006,"&gt;="&amp;($C185-$D$5),Статистика!$B$7:$B$1006,"&lt;="&amp;($C185-1),Статистика!$C$7:$C$1006,IF($D185="","&lt;&gt;§",$D185),Статистика!$D$7:$D$1006,IF($E185="","&lt;&gt;§",$E185)))</f>
        <v/>
      </c>
      <c r="U185" s="52" t="str">
        <f aca="false">IF($C185="","",SUMIFS(Статистика!$T$7:$T$1006,Статистика!$B$7:$B$1006,"&gt;="&amp;($C185-$D$5),Статистика!$B$7:$B$1006,"&lt;="&amp;($C185-1),Статистика!$C$7:$C$1006,IF($D185="","&lt;&gt;§",$D185),Статистика!$D$7:$D$1006,IF($E185="","&lt;&gt;§",$E185)))</f>
        <v/>
      </c>
      <c r="V185" s="52" t="str">
        <f aca="false">IF($C185="","",SUMIFS(Статистика!$E$7:$E$1006,Статистика!$B$7:$B$1006,"&gt;="&amp;($C185+1),Статистика!$B$7:$B$1006,"&lt;="&amp;($C185+$D$5),Статистика!$C$7:$C$1006,IF($D185="","&lt;&gt;§",$D185),Статистика!$D$7:$D$1006,IF($E185="","&lt;&gt;§",$E185)))</f>
        <v/>
      </c>
      <c r="W185" s="52" t="str">
        <f aca="false">IF($C185="","",SUMIFS(Статистика!$H$7:$H$1006,Статистика!$B$7:$B$1006,"&gt;="&amp;($C185+1),Статистика!$B$7:$B$1006,"&lt;="&amp;($C185+$D$5),Статистика!$C$7:$C$1006,IF($D185="","&lt;&gt;§",$D185),Статистика!$D$7:$D$1006,IF($E185="","&lt;&gt;§",$E185)))</f>
        <v/>
      </c>
      <c r="X185" s="52" t="str">
        <f aca="false">IF($C185="","",SUMIFS(Статистика!$T$7:$T$1006,Статистика!$B$7:$B$1006,"&gt;="&amp;($C185+1),Статистика!$B$7:$B$1006,"&lt;="&amp;($C185+$D$5),Статистика!$C$7:$C$1006,IF($D185="","&lt;&gt;§",$D185),Статистика!$D$7:$D$1006,IF($E185="","&lt;&gt;§",$E185)))</f>
        <v/>
      </c>
      <c r="Y185" s="1"/>
      <c r="Z185" s="1"/>
      <c r="AA185" s="1"/>
      <c r="AB185" s="1"/>
      <c r="AC185" s="1"/>
      <c r="AD185" s="1"/>
    </row>
    <row r="186" customFormat="false" ht="30" hidden="false" customHeight="true" outlineLevel="0" collapsed="false">
      <c r="A186" s="1"/>
      <c r="B186" s="49" t="str">
        <f aca="false">IF($C186="","",ROW()-8)</f>
        <v/>
      </c>
      <c r="C186" s="35"/>
      <c r="D186" s="8"/>
      <c r="E186" s="26"/>
      <c r="F186" s="26"/>
      <c r="G186" s="50"/>
      <c r="H186" s="50"/>
      <c r="I186" s="30" t="str">
        <f aca="false">IF($C186="","",IFERROR(S186/T186,"—"))</f>
        <v/>
      </c>
      <c r="J186" s="30" t="str">
        <f aca="false">IF($C186="","",IFERROR(V186/W186,"—"))</f>
        <v/>
      </c>
      <c r="K186" s="41" t="str">
        <f aca="false">IF($C186="","",IFERROR(J186/I186-1,""))</f>
        <v/>
      </c>
      <c r="L186" s="41" t="str">
        <f aca="false">IF($C186="","",IFERROR((U186-S186)/S186,"—"))</f>
        <v/>
      </c>
      <c r="M186" s="41" t="str">
        <f aca="false">IF($C186="","",IFERROR((X186-V186)/V186,"—"))</f>
        <v/>
      </c>
      <c r="N186" s="39" t="str">
        <f aca="false">IF($C186="","",T186/$D$5)</f>
        <v/>
      </c>
      <c r="O186" s="39" t="str">
        <f aca="false">IF($C186="","",W186/$D$5)</f>
        <v/>
      </c>
      <c r="P186" s="51" t="str">
        <f aca="false">IF($C186="","",IF(MAX(Статистика!$B$7:$B$1006)&lt;$C186+$D$5,"Чекаємо даних",IF(S186=0,"Новий (без бази)",IF(OR(T186=0,W186=0),"Мало даних",IF(K186&lt;=-$F$5,"Покращило",IF(K186&gt;=$F$5,"Погіршило","Без змін"))))))</f>
        <v/>
      </c>
      <c r="Q186" s="50"/>
      <c r="R186" s="1"/>
      <c r="S186" s="52" t="str">
        <f aca="false">IF($C186="","",SUMIFS(Статистика!$E$7:$E$1006,Статистика!$B$7:$B$1006,"&gt;="&amp;($C186-$D$5),Статистика!$B$7:$B$1006,"&lt;="&amp;($C186-1),Статистика!$C$7:$C$1006,IF($D186="","&lt;&gt;§",$D186),Статистика!$D$7:$D$1006,IF($E186="","&lt;&gt;§",$E186)))</f>
        <v/>
      </c>
      <c r="T186" s="52" t="str">
        <f aca="false">IF($C186="","",SUMIFS(Статистика!$H$7:$H$1006,Статистика!$B$7:$B$1006,"&gt;="&amp;($C186-$D$5),Статистика!$B$7:$B$1006,"&lt;="&amp;($C186-1),Статистика!$C$7:$C$1006,IF($D186="","&lt;&gt;§",$D186),Статистика!$D$7:$D$1006,IF($E186="","&lt;&gt;§",$E186)))</f>
        <v/>
      </c>
      <c r="U186" s="52" t="str">
        <f aca="false">IF($C186="","",SUMIFS(Статистика!$T$7:$T$1006,Статистика!$B$7:$B$1006,"&gt;="&amp;($C186-$D$5),Статистика!$B$7:$B$1006,"&lt;="&amp;($C186-1),Статистика!$C$7:$C$1006,IF($D186="","&lt;&gt;§",$D186),Статистика!$D$7:$D$1006,IF($E186="","&lt;&gt;§",$E186)))</f>
        <v/>
      </c>
      <c r="V186" s="52" t="str">
        <f aca="false">IF($C186="","",SUMIFS(Статистика!$E$7:$E$1006,Статистика!$B$7:$B$1006,"&gt;="&amp;($C186+1),Статистика!$B$7:$B$1006,"&lt;="&amp;($C186+$D$5),Статистика!$C$7:$C$1006,IF($D186="","&lt;&gt;§",$D186),Статистика!$D$7:$D$1006,IF($E186="","&lt;&gt;§",$E186)))</f>
        <v/>
      </c>
      <c r="W186" s="52" t="str">
        <f aca="false">IF($C186="","",SUMIFS(Статистика!$H$7:$H$1006,Статистика!$B$7:$B$1006,"&gt;="&amp;($C186+1),Статистика!$B$7:$B$1006,"&lt;="&amp;($C186+$D$5),Статистика!$C$7:$C$1006,IF($D186="","&lt;&gt;§",$D186),Статистика!$D$7:$D$1006,IF($E186="","&lt;&gt;§",$E186)))</f>
        <v/>
      </c>
      <c r="X186" s="52" t="str">
        <f aca="false">IF($C186="","",SUMIFS(Статистика!$T$7:$T$1006,Статистика!$B$7:$B$1006,"&gt;="&amp;($C186+1),Статистика!$B$7:$B$1006,"&lt;="&amp;($C186+$D$5),Статистика!$C$7:$C$1006,IF($D186="","&lt;&gt;§",$D186),Статистика!$D$7:$D$1006,IF($E186="","&lt;&gt;§",$E186)))</f>
        <v/>
      </c>
      <c r="Y186" s="1"/>
      <c r="Z186" s="1"/>
      <c r="AA186" s="1"/>
      <c r="AB186" s="1"/>
      <c r="AC186" s="1"/>
      <c r="AD186" s="1"/>
    </row>
    <row r="187" customFormat="false" ht="30" hidden="false" customHeight="true" outlineLevel="0" collapsed="false">
      <c r="A187" s="1"/>
      <c r="B187" s="49" t="str">
        <f aca="false">IF($C187="","",ROW()-8)</f>
        <v/>
      </c>
      <c r="C187" s="35"/>
      <c r="D187" s="8"/>
      <c r="E187" s="26"/>
      <c r="F187" s="26"/>
      <c r="G187" s="50"/>
      <c r="H187" s="50"/>
      <c r="I187" s="30" t="str">
        <f aca="false">IF($C187="","",IFERROR(S187/T187,"—"))</f>
        <v/>
      </c>
      <c r="J187" s="30" t="str">
        <f aca="false">IF($C187="","",IFERROR(V187/W187,"—"))</f>
        <v/>
      </c>
      <c r="K187" s="41" t="str">
        <f aca="false">IF($C187="","",IFERROR(J187/I187-1,""))</f>
        <v/>
      </c>
      <c r="L187" s="41" t="str">
        <f aca="false">IF($C187="","",IFERROR((U187-S187)/S187,"—"))</f>
        <v/>
      </c>
      <c r="M187" s="41" t="str">
        <f aca="false">IF($C187="","",IFERROR((X187-V187)/V187,"—"))</f>
        <v/>
      </c>
      <c r="N187" s="39" t="str">
        <f aca="false">IF($C187="","",T187/$D$5)</f>
        <v/>
      </c>
      <c r="O187" s="39" t="str">
        <f aca="false">IF($C187="","",W187/$D$5)</f>
        <v/>
      </c>
      <c r="P187" s="51" t="str">
        <f aca="false">IF($C187="","",IF(MAX(Статистика!$B$7:$B$1006)&lt;$C187+$D$5,"Чекаємо даних",IF(S187=0,"Новий (без бази)",IF(OR(T187=0,W187=0),"Мало даних",IF(K187&lt;=-$F$5,"Покращило",IF(K187&gt;=$F$5,"Погіршило","Без змін"))))))</f>
        <v/>
      </c>
      <c r="Q187" s="50"/>
      <c r="R187" s="1"/>
      <c r="S187" s="52" t="str">
        <f aca="false">IF($C187="","",SUMIFS(Статистика!$E$7:$E$1006,Статистика!$B$7:$B$1006,"&gt;="&amp;($C187-$D$5),Статистика!$B$7:$B$1006,"&lt;="&amp;($C187-1),Статистика!$C$7:$C$1006,IF($D187="","&lt;&gt;§",$D187),Статистика!$D$7:$D$1006,IF($E187="","&lt;&gt;§",$E187)))</f>
        <v/>
      </c>
      <c r="T187" s="52" t="str">
        <f aca="false">IF($C187="","",SUMIFS(Статистика!$H$7:$H$1006,Статистика!$B$7:$B$1006,"&gt;="&amp;($C187-$D$5),Статистика!$B$7:$B$1006,"&lt;="&amp;($C187-1),Статистика!$C$7:$C$1006,IF($D187="","&lt;&gt;§",$D187),Статистика!$D$7:$D$1006,IF($E187="","&lt;&gt;§",$E187)))</f>
        <v/>
      </c>
      <c r="U187" s="52" t="str">
        <f aca="false">IF($C187="","",SUMIFS(Статистика!$T$7:$T$1006,Статистика!$B$7:$B$1006,"&gt;="&amp;($C187-$D$5),Статистика!$B$7:$B$1006,"&lt;="&amp;($C187-1),Статистика!$C$7:$C$1006,IF($D187="","&lt;&gt;§",$D187),Статистика!$D$7:$D$1006,IF($E187="","&lt;&gt;§",$E187)))</f>
        <v/>
      </c>
      <c r="V187" s="52" t="str">
        <f aca="false">IF($C187="","",SUMIFS(Статистика!$E$7:$E$1006,Статистика!$B$7:$B$1006,"&gt;="&amp;($C187+1),Статистика!$B$7:$B$1006,"&lt;="&amp;($C187+$D$5),Статистика!$C$7:$C$1006,IF($D187="","&lt;&gt;§",$D187),Статистика!$D$7:$D$1006,IF($E187="","&lt;&gt;§",$E187)))</f>
        <v/>
      </c>
      <c r="W187" s="52" t="str">
        <f aca="false">IF($C187="","",SUMIFS(Статистика!$H$7:$H$1006,Статистика!$B$7:$B$1006,"&gt;="&amp;($C187+1),Статистика!$B$7:$B$1006,"&lt;="&amp;($C187+$D$5),Статистика!$C$7:$C$1006,IF($D187="","&lt;&gt;§",$D187),Статистика!$D$7:$D$1006,IF($E187="","&lt;&gt;§",$E187)))</f>
        <v/>
      </c>
      <c r="X187" s="52" t="str">
        <f aca="false">IF($C187="","",SUMIFS(Статистика!$T$7:$T$1006,Статистика!$B$7:$B$1006,"&gt;="&amp;($C187+1),Статистика!$B$7:$B$1006,"&lt;="&amp;($C187+$D$5),Статистика!$C$7:$C$1006,IF($D187="","&lt;&gt;§",$D187),Статистика!$D$7:$D$1006,IF($E187="","&lt;&gt;§",$E187)))</f>
        <v/>
      </c>
      <c r="Y187" s="1"/>
      <c r="Z187" s="1"/>
      <c r="AA187" s="1"/>
      <c r="AB187" s="1"/>
      <c r="AC187" s="1"/>
      <c r="AD187" s="1"/>
    </row>
    <row r="188" customFormat="false" ht="30" hidden="false" customHeight="true" outlineLevel="0" collapsed="false">
      <c r="A188" s="1"/>
      <c r="B188" s="49" t="str">
        <f aca="false">IF($C188="","",ROW()-8)</f>
        <v/>
      </c>
      <c r="C188" s="35"/>
      <c r="D188" s="8"/>
      <c r="E188" s="26"/>
      <c r="F188" s="26"/>
      <c r="G188" s="50"/>
      <c r="H188" s="50"/>
      <c r="I188" s="30" t="str">
        <f aca="false">IF($C188="","",IFERROR(S188/T188,"—"))</f>
        <v/>
      </c>
      <c r="J188" s="30" t="str">
        <f aca="false">IF($C188="","",IFERROR(V188/W188,"—"))</f>
        <v/>
      </c>
      <c r="K188" s="41" t="str">
        <f aca="false">IF($C188="","",IFERROR(J188/I188-1,""))</f>
        <v/>
      </c>
      <c r="L188" s="41" t="str">
        <f aca="false">IF($C188="","",IFERROR((U188-S188)/S188,"—"))</f>
        <v/>
      </c>
      <c r="M188" s="41" t="str">
        <f aca="false">IF($C188="","",IFERROR((X188-V188)/V188,"—"))</f>
        <v/>
      </c>
      <c r="N188" s="39" t="str">
        <f aca="false">IF($C188="","",T188/$D$5)</f>
        <v/>
      </c>
      <c r="O188" s="39" t="str">
        <f aca="false">IF($C188="","",W188/$D$5)</f>
        <v/>
      </c>
      <c r="P188" s="51" t="str">
        <f aca="false">IF($C188="","",IF(MAX(Статистика!$B$7:$B$1006)&lt;$C188+$D$5,"Чекаємо даних",IF(S188=0,"Новий (без бази)",IF(OR(T188=0,W188=0),"Мало даних",IF(K188&lt;=-$F$5,"Покращило",IF(K188&gt;=$F$5,"Погіршило","Без змін"))))))</f>
        <v/>
      </c>
      <c r="Q188" s="50"/>
      <c r="R188" s="1"/>
      <c r="S188" s="52" t="str">
        <f aca="false">IF($C188="","",SUMIFS(Статистика!$E$7:$E$1006,Статистика!$B$7:$B$1006,"&gt;="&amp;($C188-$D$5),Статистика!$B$7:$B$1006,"&lt;="&amp;($C188-1),Статистика!$C$7:$C$1006,IF($D188="","&lt;&gt;§",$D188),Статистика!$D$7:$D$1006,IF($E188="","&lt;&gt;§",$E188)))</f>
        <v/>
      </c>
      <c r="T188" s="52" t="str">
        <f aca="false">IF($C188="","",SUMIFS(Статистика!$H$7:$H$1006,Статистика!$B$7:$B$1006,"&gt;="&amp;($C188-$D$5),Статистика!$B$7:$B$1006,"&lt;="&amp;($C188-1),Статистика!$C$7:$C$1006,IF($D188="","&lt;&gt;§",$D188),Статистика!$D$7:$D$1006,IF($E188="","&lt;&gt;§",$E188)))</f>
        <v/>
      </c>
      <c r="U188" s="52" t="str">
        <f aca="false">IF($C188="","",SUMIFS(Статистика!$T$7:$T$1006,Статистика!$B$7:$B$1006,"&gt;="&amp;($C188-$D$5),Статистика!$B$7:$B$1006,"&lt;="&amp;($C188-1),Статистика!$C$7:$C$1006,IF($D188="","&lt;&gt;§",$D188),Статистика!$D$7:$D$1006,IF($E188="","&lt;&gt;§",$E188)))</f>
        <v/>
      </c>
      <c r="V188" s="52" t="str">
        <f aca="false">IF($C188="","",SUMIFS(Статистика!$E$7:$E$1006,Статистика!$B$7:$B$1006,"&gt;="&amp;($C188+1),Статистика!$B$7:$B$1006,"&lt;="&amp;($C188+$D$5),Статистика!$C$7:$C$1006,IF($D188="","&lt;&gt;§",$D188),Статистика!$D$7:$D$1006,IF($E188="","&lt;&gt;§",$E188)))</f>
        <v/>
      </c>
      <c r="W188" s="52" t="str">
        <f aca="false">IF($C188="","",SUMIFS(Статистика!$H$7:$H$1006,Статистика!$B$7:$B$1006,"&gt;="&amp;($C188+1),Статистика!$B$7:$B$1006,"&lt;="&amp;($C188+$D$5),Статистика!$C$7:$C$1006,IF($D188="","&lt;&gt;§",$D188),Статистика!$D$7:$D$1006,IF($E188="","&lt;&gt;§",$E188)))</f>
        <v/>
      </c>
      <c r="X188" s="52" t="str">
        <f aca="false">IF($C188="","",SUMIFS(Статистика!$T$7:$T$1006,Статистика!$B$7:$B$1006,"&gt;="&amp;($C188+1),Статистика!$B$7:$B$1006,"&lt;="&amp;($C188+$D$5),Статистика!$C$7:$C$1006,IF($D188="","&lt;&gt;§",$D188),Статистика!$D$7:$D$1006,IF($E188="","&lt;&gt;§",$E188)))</f>
        <v/>
      </c>
      <c r="Y188" s="1"/>
      <c r="Z188" s="1"/>
      <c r="AA188" s="1"/>
      <c r="AB188" s="1"/>
      <c r="AC188" s="1"/>
      <c r="AD188" s="1"/>
    </row>
    <row r="189" customFormat="false" ht="30" hidden="false" customHeight="true" outlineLevel="0" collapsed="false">
      <c r="A189" s="1"/>
      <c r="B189" s="49" t="str">
        <f aca="false">IF($C189="","",ROW()-8)</f>
        <v/>
      </c>
      <c r="C189" s="35"/>
      <c r="D189" s="8"/>
      <c r="E189" s="26"/>
      <c r="F189" s="26"/>
      <c r="G189" s="50"/>
      <c r="H189" s="50"/>
      <c r="I189" s="30" t="str">
        <f aca="false">IF($C189="","",IFERROR(S189/T189,"—"))</f>
        <v/>
      </c>
      <c r="J189" s="30" t="str">
        <f aca="false">IF($C189="","",IFERROR(V189/W189,"—"))</f>
        <v/>
      </c>
      <c r="K189" s="41" t="str">
        <f aca="false">IF($C189="","",IFERROR(J189/I189-1,""))</f>
        <v/>
      </c>
      <c r="L189" s="41" t="str">
        <f aca="false">IF($C189="","",IFERROR((U189-S189)/S189,"—"))</f>
        <v/>
      </c>
      <c r="M189" s="41" t="str">
        <f aca="false">IF($C189="","",IFERROR((X189-V189)/V189,"—"))</f>
        <v/>
      </c>
      <c r="N189" s="39" t="str">
        <f aca="false">IF($C189="","",T189/$D$5)</f>
        <v/>
      </c>
      <c r="O189" s="39" t="str">
        <f aca="false">IF($C189="","",W189/$D$5)</f>
        <v/>
      </c>
      <c r="P189" s="51" t="str">
        <f aca="false">IF($C189="","",IF(MAX(Статистика!$B$7:$B$1006)&lt;$C189+$D$5,"Чекаємо даних",IF(S189=0,"Новий (без бази)",IF(OR(T189=0,W189=0),"Мало даних",IF(K189&lt;=-$F$5,"Покращило",IF(K189&gt;=$F$5,"Погіршило","Без змін"))))))</f>
        <v/>
      </c>
      <c r="Q189" s="50"/>
      <c r="R189" s="1"/>
      <c r="S189" s="52" t="str">
        <f aca="false">IF($C189="","",SUMIFS(Статистика!$E$7:$E$1006,Статистика!$B$7:$B$1006,"&gt;="&amp;($C189-$D$5),Статистика!$B$7:$B$1006,"&lt;="&amp;($C189-1),Статистика!$C$7:$C$1006,IF($D189="","&lt;&gt;§",$D189),Статистика!$D$7:$D$1006,IF($E189="","&lt;&gt;§",$E189)))</f>
        <v/>
      </c>
      <c r="T189" s="52" t="str">
        <f aca="false">IF($C189="","",SUMIFS(Статистика!$H$7:$H$1006,Статистика!$B$7:$B$1006,"&gt;="&amp;($C189-$D$5),Статистика!$B$7:$B$1006,"&lt;="&amp;($C189-1),Статистика!$C$7:$C$1006,IF($D189="","&lt;&gt;§",$D189),Статистика!$D$7:$D$1006,IF($E189="","&lt;&gt;§",$E189)))</f>
        <v/>
      </c>
      <c r="U189" s="52" t="str">
        <f aca="false">IF($C189="","",SUMIFS(Статистика!$T$7:$T$1006,Статистика!$B$7:$B$1006,"&gt;="&amp;($C189-$D$5),Статистика!$B$7:$B$1006,"&lt;="&amp;($C189-1),Статистика!$C$7:$C$1006,IF($D189="","&lt;&gt;§",$D189),Статистика!$D$7:$D$1006,IF($E189="","&lt;&gt;§",$E189)))</f>
        <v/>
      </c>
      <c r="V189" s="52" t="str">
        <f aca="false">IF($C189="","",SUMIFS(Статистика!$E$7:$E$1006,Статистика!$B$7:$B$1006,"&gt;="&amp;($C189+1),Статистика!$B$7:$B$1006,"&lt;="&amp;($C189+$D$5),Статистика!$C$7:$C$1006,IF($D189="","&lt;&gt;§",$D189),Статистика!$D$7:$D$1006,IF($E189="","&lt;&gt;§",$E189)))</f>
        <v/>
      </c>
      <c r="W189" s="52" t="str">
        <f aca="false">IF($C189="","",SUMIFS(Статистика!$H$7:$H$1006,Статистика!$B$7:$B$1006,"&gt;="&amp;($C189+1),Статистика!$B$7:$B$1006,"&lt;="&amp;($C189+$D$5),Статистика!$C$7:$C$1006,IF($D189="","&lt;&gt;§",$D189),Статистика!$D$7:$D$1006,IF($E189="","&lt;&gt;§",$E189)))</f>
        <v/>
      </c>
      <c r="X189" s="52" t="str">
        <f aca="false">IF($C189="","",SUMIFS(Статистика!$T$7:$T$1006,Статистика!$B$7:$B$1006,"&gt;="&amp;($C189+1),Статистика!$B$7:$B$1006,"&lt;="&amp;($C189+$D$5),Статистика!$C$7:$C$1006,IF($D189="","&lt;&gt;§",$D189),Статистика!$D$7:$D$1006,IF($E189="","&lt;&gt;§",$E189)))</f>
        <v/>
      </c>
      <c r="Y189" s="1"/>
      <c r="Z189" s="1"/>
      <c r="AA189" s="1"/>
      <c r="AB189" s="1"/>
      <c r="AC189" s="1"/>
      <c r="AD189" s="1"/>
    </row>
    <row r="190" customFormat="false" ht="30" hidden="false" customHeight="true" outlineLevel="0" collapsed="false">
      <c r="A190" s="1"/>
      <c r="B190" s="49" t="str">
        <f aca="false">IF($C190="","",ROW()-8)</f>
        <v/>
      </c>
      <c r="C190" s="35"/>
      <c r="D190" s="8"/>
      <c r="E190" s="26"/>
      <c r="F190" s="26"/>
      <c r="G190" s="50"/>
      <c r="H190" s="50"/>
      <c r="I190" s="30" t="str">
        <f aca="false">IF($C190="","",IFERROR(S190/T190,"—"))</f>
        <v/>
      </c>
      <c r="J190" s="30" t="str">
        <f aca="false">IF($C190="","",IFERROR(V190/W190,"—"))</f>
        <v/>
      </c>
      <c r="K190" s="41" t="str">
        <f aca="false">IF($C190="","",IFERROR(J190/I190-1,""))</f>
        <v/>
      </c>
      <c r="L190" s="41" t="str">
        <f aca="false">IF($C190="","",IFERROR((U190-S190)/S190,"—"))</f>
        <v/>
      </c>
      <c r="M190" s="41" t="str">
        <f aca="false">IF($C190="","",IFERROR((X190-V190)/V190,"—"))</f>
        <v/>
      </c>
      <c r="N190" s="39" t="str">
        <f aca="false">IF($C190="","",T190/$D$5)</f>
        <v/>
      </c>
      <c r="O190" s="39" t="str">
        <f aca="false">IF($C190="","",W190/$D$5)</f>
        <v/>
      </c>
      <c r="P190" s="51" t="str">
        <f aca="false">IF($C190="","",IF(MAX(Статистика!$B$7:$B$1006)&lt;$C190+$D$5,"Чекаємо даних",IF(S190=0,"Новий (без бази)",IF(OR(T190=0,W190=0),"Мало даних",IF(K190&lt;=-$F$5,"Покращило",IF(K190&gt;=$F$5,"Погіршило","Без змін"))))))</f>
        <v/>
      </c>
      <c r="Q190" s="50"/>
      <c r="R190" s="1"/>
      <c r="S190" s="52" t="str">
        <f aca="false">IF($C190="","",SUMIFS(Статистика!$E$7:$E$1006,Статистика!$B$7:$B$1006,"&gt;="&amp;($C190-$D$5),Статистика!$B$7:$B$1006,"&lt;="&amp;($C190-1),Статистика!$C$7:$C$1006,IF($D190="","&lt;&gt;§",$D190),Статистика!$D$7:$D$1006,IF($E190="","&lt;&gt;§",$E190)))</f>
        <v/>
      </c>
      <c r="T190" s="52" t="str">
        <f aca="false">IF($C190="","",SUMIFS(Статистика!$H$7:$H$1006,Статистика!$B$7:$B$1006,"&gt;="&amp;($C190-$D$5),Статистика!$B$7:$B$1006,"&lt;="&amp;($C190-1),Статистика!$C$7:$C$1006,IF($D190="","&lt;&gt;§",$D190),Статистика!$D$7:$D$1006,IF($E190="","&lt;&gt;§",$E190)))</f>
        <v/>
      </c>
      <c r="U190" s="52" t="str">
        <f aca="false">IF($C190="","",SUMIFS(Статистика!$T$7:$T$1006,Статистика!$B$7:$B$1006,"&gt;="&amp;($C190-$D$5),Статистика!$B$7:$B$1006,"&lt;="&amp;($C190-1),Статистика!$C$7:$C$1006,IF($D190="","&lt;&gt;§",$D190),Статистика!$D$7:$D$1006,IF($E190="","&lt;&gt;§",$E190)))</f>
        <v/>
      </c>
      <c r="V190" s="52" t="str">
        <f aca="false">IF($C190="","",SUMIFS(Статистика!$E$7:$E$1006,Статистика!$B$7:$B$1006,"&gt;="&amp;($C190+1),Статистика!$B$7:$B$1006,"&lt;="&amp;($C190+$D$5),Статистика!$C$7:$C$1006,IF($D190="","&lt;&gt;§",$D190),Статистика!$D$7:$D$1006,IF($E190="","&lt;&gt;§",$E190)))</f>
        <v/>
      </c>
      <c r="W190" s="52" t="str">
        <f aca="false">IF($C190="","",SUMIFS(Статистика!$H$7:$H$1006,Статистика!$B$7:$B$1006,"&gt;="&amp;($C190+1),Статистика!$B$7:$B$1006,"&lt;="&amp;($C190+$D$5),Статистика!$C$7:$C$1006,IF($D190="","&lt;&gt;§",$D190),Статистика!$D$7:$D$1006,IF($E190="","&lt;&gt;§",$E190)))</f>
        <v/>
      </c>
      <c r="X190" s="52" t="str">
        <f aca="false">IF($C190="","",SUMIFS(Статистика!$T$7:$T$1006,Статистика!$B$7:$B$1006,"&gt;="&amp;($C190+1),Статистика!$B$7:$B$1006,"&lt;="&amp;($C190+$D$5),Статистика!$C$7:$C$1006,IF($D190="","&lt;&gt;§",$D190),Статистика!$D$7:$D$1006,IF($E190="","&lt;&gt;§",$E190)))</f>
        <v/>
      </c>
      <c r="Y190" s="1"/>
      <c r="Z190" s="1"/>
      <c r="AA190" s="1"/>
      <c r="AB190" s="1"/>
      <c r="AC190" s="1"/>
      <c r="AD190" s="1"/>
    </row>
    <row r="191" customFormat="false" ht="30" hidden="false" customHeight="true" outlineLevel="0" collapsed="false">
      <c r="A191" s="1"/>
      <c r="B191" s="49" t="str">
        <f aca="false">IF($C191="","",ROW()-8)</f>
        <v/>
      </c>
      <c r="C191" s="35"/>
      <c r="D191" s="8"/>
      <c r="E191" s="26"/>
      <c r="F191" s="26"/>
      <c r="G191" s="50"/>
      <c r="H191" s="50"/>
      <c r="I191" s="30" t="str">
        <f aca="false">IF($C191="","",IFERROR(S191/T191,"—"))</f>
        <v/>
      </c>
      <c r="J191" s="30" t="str">
        <f aca="false">IF($C191="","",IFERROR(V191/W191,"—"))</f>
        <v/>
      </c>
      <c r="K191" s="41" t="str">
        <f aca="false">IF($C191="","",IFERROR(J191/I191-1,""))</f>
        <v/>
      </c>
      <c r="L191" s="41" t="str">
        <f aca="false">IF($C191="","",IFERROR((U191-S191)/S191,"—"))</f>
        <v/>
      </c>
      <c r="M191" s="41" t="str">
        <f aca="false">IF($C191="","",IFERROR((X191-V191)/V191,"—"))</f>
        <v/>
      </c>
      <c r="N191" s="39" t="str">
        <f aca="false">IF($C191="","",T191/$D$5)</f>
        <v/>
      </c>
      <c r="O191" s="39" t="str">
        <f aca="false">IF($C191="","",W191/$D$5)</f>
        <v/>
      </c>
      <c r="P191" s="51" t="str">
        <f aca="false">IF($C191="","",IF(MAX(Статистика!$B$7:$B$1006)&lt;$C191+$D$5,"Чекаємо даних",IF(S191=0,"Новий (без бази)",IF(OR(T191=0,W191=0),"Мало даних",IF(K191&lt;=-$F$5,"Покращило",IF(K191&gt;=$F$5,"Погіршило","Без змін"))))))</f>
        <v/>
      </c>
      <c r="Q191" s="50"/>
      <c r="R191" s="1"/>
      <c r="S191" s="52" t="str">
        <f aca="false">IF($C191="","",SUMIFS(Статистика!$E$7:$E$1006,Статистика!$B$7:$B$1006,"&gt;="&amp;($C191-$D$5),Статистика!$B$7:$B$1006,"&lt;="&amp;($C191-1),Статистика!$C$7:$C$1006,IF($D191="","&lt;&gt;§",$D191),Статистика!$D$7:$D$1006,IF($E191="","&lt;&gt;§",$E191)))</f>
        <v/>
      </c>
      <c r="T191" s="52" t="str">
        <f aca="false">IF($C191="","",SUMIFS(Статистика!$H$7:$H$1006,Статистика!$B$7:$B$1006,"&gt;="&amp;($C191-$D$5),Статистика!$B$7:$B$1006,"&lt;="&amp;($C191-1),Статистика!$C$7:$C$1006,IF($D191="","&lt;&gt;§",$D191),Статистика!$D$7:$D$1006,IF($E191="","&lt;&gt;§",$E191)))</f>
        <v/>
      </c>
      <c r="U191" s="52" t="str">
        <f aca="false">IF($C191="","",SUMIFS(Статистика!$T$7:$T$1006,Статистика!$B$7:$B$1006,"&gt;="&amp;($C191-$D$5),Статистика!$B$7:$B$1006,"&lt;="&amp;($C191-1),Статистика!$C$7:$C$1006,IF($D191="","&lt;&gt;§",$D191),Статистика!$D$7:$D$1006,IF($E191="","&lt;&gt;§",$E191)))</f>
        <v/>
      </c>
      <c r="V191" s="52" t="str">
        <f aca="false">IF($C191="","",SUMIFS(Статистика!$E$7:$E$1006,Статистика!$B$7:$B$1006,"&gt;="&amp;($C191+1),Статистика!$B$7:$B$1006,"&lt;="&amp;($C191+$D$5),Статистика!$C$7:$C$1006,IF($D191="","&lt;&gt;§",$D191),Статистика!$D$7:$D$1006,IF($E191="","&lt;&gt;§",$E191)))</f>
        <v/>
      </c>
      <c r="W191" s="52" t="str">
        <f aca="false">IF($C191="","",SUMIFS(Статистика!$H$7:$H$1006,Статистика!$B$7:$B$1006,"&gt;="&amp;($C191+1),Статистика!$B$7:$B$1006,"&lt;="&amp;($C191+$D$5),Статистика!$C$7:$C$1006,IF($D191="","&lt;&gt;§",$D191),Статистика!$D$7:$D$1006,IF($E191="","&lt;&gt;§",$E191)))</f>
        <v/>
      </c>
      <c r="X191" s="52" t="str">
        <f aca="false">IF($C191="","",SUMIFS(Статистика!$T$7:$T$1006,Статистика!$B$7:$B$1006,"&gt;="&amp;($C191+1),Статистика!$B$7:$B$1006,"&lt;="&amp;($C191+$D$5),Статистика!$C$7:$C$1006,IF($D191="","&lt;&gt;§",$D191),Статистика!$D$7:$D$1006,IF($E191="","&lt;&gt;§",$E191)))</f>
        <v/>
      </c>
      <c r="Y191" s="1"/>
      <c r="Z191" s="1"/>
      <c r="AA191" s="1"/>
      <c r="AB191" s="1"/>
      <c r="AC191" s="1"/>
      <c r="AD191" s="1"/>
    </row>
    <row r="192" customFormat="false" ht="30" hidden="false" customHeight="true" outlineLevel="0" collapsed="false">
      <c r="A192" s="1"/>
      <c r="B192" s="49" t="str">
        <f aca="false">IF($C192="","",ROW()-8)</f>
        <v/>
      </c>
      <c r="C192" s="35"/>
      <c r="D192" s="8"/>
      <c r="E192" s="26"/>
      <c r="F192" s="26"/>
      <c r="G192" s="50"/>
      <c r="H192" s="50"/>
      <c r="I192" s="30" t="str">
        <f aca="false">IF($C192="","",IFERROR(S192/T192,"—"))</f>
        <v/>
      </c>
      <c r="J192" s="30" t="str">
        <f aca="false">IF($C192="","",IFERROR(V192/W192,"—"))</f>
        <v/>
      </c>
      <c r="K192" s="41" t="str">
        <f aca="false">IF($C192="","",IFERROR(J192/I192-1,""))</f>
        <v/>
      </c>
      <c r="L192" s="41" t="str">
        <f aca="false">IF($C192="","",IFERROR((U192-S192)/S192,"—"))</f>
        <v/>
      </c>
      <c r="M192" s="41" t="str">
        <f aca="false">IF($C192="","",IFERROR((X192-V192)/V192,"—"))</f>
        <v/>
      </c>
      <c r="N192" s="39" t="str">
        <f aca="false">IF($C192="","",T192/$D$5)</f>
        <v/>
      </c>
      <c r="O192" s="39" t="str">
        <f aca="false">IF($C192="","",W192/$D$5)</f>
        <v/>
      </c>
      <c r="P192" s="51" t="str">
        <f aca="false">IF($C192="","",IF(MAX(Статистика!$B$7:$B$1006)&lt;$C192+$D$5,"Чекаємо даних",IF(S192=0,"Новий (без бази)",IF(OR(T192=0,W192=0),"Мало даних",IF(K192&lt;=-$F$5,"Покращило",IF(K192&gt;=$F$5,"Погіршило","Без змін"))))))</f>
        <v/>
      </c>
      <c r="Q192" s="50"/>
      <c r="R192" s="1"/>
      <c r="S192" s="52" t="str">
        <f aca="false">IF($C192="","",SUMIFS(Статистика!$E$7:$E$1006,Статистика!$B$7:$B$1006,"&gt;="&amp;($C192-$D$5),Статистика!$B$7:$B$1006,"&lt;="&amp;($C192-1),Статистика!$C$7:$C$1006,IF($D192="","&lt;&gt;§",$D192),Статистика!$D$7:$D$1006,IF($E192="","&lt;&gt;§",$E192)))</f>
        <v/>
      </c>
      <c r="T192" s="52" t="str">
        <f aca="false">IF($C192="","",SUMIFS(Статистика!$H$7:$H$1006,Статистика!$B$7:$B$1006,"&gt;="&amp;($C192-$D$5),Статистика!$B$7:$B$1006,"&lt;="&amp;($C192-1),Статистика!$C$7:$C$1006,IF($D192="","&lt;&gt;§",$D192),Статистика!$D$7:$D$1006,IF($E192="","&lt;&gt;§",$E192)))</f>
        <v/>
      </c>
      <c r="U192" s="52" t="str">
        <f aca="false">IF($C192="","",SUMIFS(Статистика!$T$7:$T$1006,Статистика!$B$7:$B$1006,"&gt;="&amp;($C192-$D$5),Статистика!$B$7:$B$1006,"&lt;="&amp;($C192-1),Статистика!$C$7:$C$1006,IF($D192="","&lt;&gt;§",$D192),Статистика!$D$7:$D$1006,IF($E192="","&lt;&gt;§",$E192)))</f>
        <v/>
      </c>
      <c r="V192" s="52" t="str">
        <f aca="false">IF($C192="","",SUMIFS(Статистика!$E$7:$E$1006,Статистика!$B$7:$B$1006,"&gt;="&amp;($C192+1),Статистика!$B$7:$B$1006,"&lt;="&amp;($C192+$D$5),Статистика!$C$7:$C$1006,IF($D192="","&lt;&gt;§",$D192),Статистика!$D$7:$D$1006,IF($E192="","&lt;&gt;§",$E192)))</f>
        <v/>
      </c>
      <c r="W192" s="52" t="str">
        <f aca="false">IF($C192="","",SUMIFS(Статистика!$H$7:$H$1006,Статистика!$B$7:$B$1006,"&gt;="&amp;($C192+1),Статистика!$B$7:$B$1006,"&lt;="&amp;($C192+$D$5),Статистика!$C$7:$C$1006,IF($D192="","&lt;&gt;§",$D192),Статистика!$D$7:$D$1006,IF($E192="","&lt;&gt;§",$E192)))</f>
        <v/>
      </c>
      <c r="X192" s="52" t="str">
        <f aca="false">IF($C192="","",SUMIFS(Статистика!$T$7:$T$1006,Статистика!$B$7:$B$1006,"&gt;="&amp;($C192+1),Статистика!$B$7:$B$1006,"&lt;="&amp;($C192+$D$5),Статистика!$C$7:$C$1006,IF($D192="","&lt;&gt;§",$D192),Статистика!$D$7:$D$1006,IF($E192="","&lt;&gt;§",$E192)))</f>
        <v/>
      </c>
      <c r="Y192" s="1"/>
      <c r="Z192" s="1"/>
      <c r="AA192" s="1"/>
      <c r="AB192" s="1"/>
      <c r="AC192" s="1"/>
      <c r="AD192" s="1"/>
    </row>
    <row r="193" customFormat="false" ht="30" hidden="false" customHeight="true" outlineLevel="0" collapsed="false">
      <c r="A193" s="1"/>
      <c r="B193" s="49" t="str">
        <f aca="false">IF($C193="","",ROW()-8)</f>
        <v/>
      </c>
      <c r="C193" s="35"/>
      <c r="D193" s="8"/>
      <c r="E193" s="26"/>
      <c r="F193" s="26"/>
      <c r="G193" s="50"/>
      <c r="H193" s="50"/>
      <c r="I193" s="30" t="str">
        <f aca="false">IF($C193="","",IFERROR(S193/T193,"—"))</f>
        <v/>
      </c>
      <c r="J193" s="30" t="str">
        <f aca="false">IF($C193="","",IFERROR(V193/W193,"—"))</f>
        <v/>
      </c>
      <c r="K193" s="41" t="str">
        <f aca="false">IF($C193="","",IFERROR(J193/I193-1,""))</f>
        <v/>
      </c>
      <c r="L193" s="41" t="str">
        <f aca="false">IF($C193="","",IFERROR((U193-S193)/S193,"—"))</f>
        <v/>
      </c>
      <c r="M193" s="41" t="str">
        <f aca="false">IF($C193="","",IFERROR((X193-V193)/V193,"—"))</f>
        <v/>
      </c>
      <c r="N193" s="39" t="str">
        <f aca="false">IF($C193="","",T193/$D$5)</f>
        <v/>
      </c>
      <c r="O193" s="39" t="str">
        <f aca="false">IF($C193="","",W193/$D$5)</f>
        <v/>
      </c>
      <c r="P193" s="51" t="str">
        <f aca="false">IF($C193="","",IF(MAX(Статистика!$B$7:$B$1006)&lt;$C193+$D$5,"Чекаємо даних",IF(S193=0,"Новий (без бази)",IF(OR(T193=0,W193=0),"Мало даних",IF(K193&lt;=-$F$5,"Покращило",IF(K193&gt;=$F$5,"Погіршило","Без змін"))))))</f>
        <v/>
      </c>
      <c r="Q193" s="50"/>
      <c r="R193" s="1"/>
      <c r="S193" s="52" t="str">
        <f aca="false">IF($C193="","",SUMIFS(Статистика!$E$7:$E$1006,Статистика!$B$7:$B$1006,"&gt;="&amp;($C193-$D$5),Статистика!$B$7:$B$1006,"&lt;="&amp;($C193-1),Статистика!$C$7:$C$1006,IF($D193="","&lt;&gt;§",$D193),Статистика!$D$7:$D$1006,IF($E193="","&lt;&gt;§",$E193)))</f>
        <v/>
      </c>
      <c r="T193" s="52" t="str">
        <f aca="false">IF($C193="","",SUMIFS(Статистика!$H$7:$H$1006,Статистика!$B$7:$B$1006,"&gt;="&amp;($C193-$D$5),Статистика!$B$7:$B$1006,"&lt;="&amp;($C193-1),Статистика!$C$7:$C$1006,IF($D193="","&lt;&gt;§",$D193),Статистика!$D$7:$D$1006,IF($E193="","&lt;&gt;§",$E193)))</f>
        <v/>
      </c>
      <c r="U193" s="52" t="str">
        <f aca="false">IF($C193="","",SUMIFS(Статистика!$T$7:$T$1006,Статистика!$B$7:$B$1006,"&gt;="&amp;($C193-$D$5),Статистика!$B$7:$B$1006,"&lt;="&amp;($C193-1),Статистика!$C$7:$C$1006,IF($D193="","&lt;&gt;§",$D193),Статистика!$D$7:$D$1006,IF($E193="","&lt;&gt;§",$E193)))</f>
        <v/>
      </c>
      <c r="V193" s="52" t="str">
        <f aca="false">IF($C193="","",SUMIFS(Статистика!$E$7:$E$1006,Статистика!$B$7:$B$1006,"&gt;="&amp;($C193+1),Статистика!$B$7:$B$1006,"&lt;="&amp;($C193+$D$5),Статистика!$C$7:$C$1006,IF($D193="","&lt;&gt;§",$D193),Статистика!$D$7:$D$1006,IF($E193="","&lt;&gt;§",$E193)))</f>
        <v/>
      </c>
      <c r="W193" s="52" t="str">
        <f aca="false">IF($C193="","",SUMIFS(Статистика!$H$7:$H$1006,Статистика!$B$7:$B$1006,"&gt;="&amp;($C193+1),Статистика!$B$7:$B$1006,"&lt;="&amp;($C193+$D$5),Статистика!$C$7:$C$1006,IF($D193="","&lt;&gt;§",$D193),Статистика!$D$7:$D$1006,IF($E193="","&lt;&gt;§",$E193)))</f>
        <v/>
      </c>
      <c r="X193" s="52" t="str">
        <f aca="false">IF($C193="","",SUMIFS(Статистика!$T$7:$T$1006,Статистика!$B$7:$B$1006,"&gt;="&amp;($C193+1),Статистика!$B$7:$B$1006,"&lt;="&amp;($C193+$D$5),Статистика!$C$7:$C$1006,IF($D193="","&lt;&gt;§",$D193),Статистика!$D$7:$D$1006,IF($E193="","&lt;&gt;§",$E193)))</f>
        <v/>
      </c>
      <c r="Y193" s="1"/>
      <c r="Z193" s="1"/>
      <c r="AA193" s="1"/>
      <c r="AB193" s="1"/>
      <c r="AC193" s="1"/>
      <c r="AD193" s="1"/>
    </row>
    <row r="194" customFormat="false" ht="30" hidden="false" customHeight="true" outlineLevel="0" collapsed="false">
      <c r="A194" s="1"/>
      <c r="B194" s="49" t="str">
        <f aca="false">IF($C194="","",ROW()-8)</f>
        <v/>
      </c>
      <c r="C194" s="35"/>
      <c r="D194" s="8"/>
      <c r="E194" s="26"/>
      <c r="F194" s="26"/>
      <c r="G194" s="50"/>
      <c r="H194" s="50"/>
      <c r="I194" s="30" t="str">
        <f aca="false">IF($C194="","",IFERROR(S194/T194,"—"))</f>
        <v/>
      </c>
      <c r="J194" s="30" t="str">
        <f aca="false">IF($C194="","",IFERROR(V194/W194,"—"))</f>
        <v/>
      </c>
      <c r="K194" s="41" t="str">
        <f aca="false">IF($C194="","",IFERROR(J194/I194-1,""))</f>
        <v/>
      </c>
      <c r="L194" s="41" t="str">
        <f aca="false">IF($C194="","",IFERROR((U194-S194)/S194,"—"))</f>
        <v/>
      </c>
      <c r="M194" s="41" t="str">
        <f aca="false">IF($C194="","",IFERROR((X194-V194)/V194,"—"))</f>
        <v/>
      </c>
      <c r="N194" s="39" t="str">
        <f aca="false">IF($C194="","",T194/$D$5)</f>
        <v/>
      </c>
      <c r="O194" s="39" t="str">
        <f aca="false">IF($C194="","",W194/$D$5)</f>
        <v/>
      </c>
      <c r="P194" s="51" t="str">
        <f aca="false">IF($C194="","",IF(MAX(Статистика!$B$7:$B$1006)&lt;$C194+$D$5,"Чекаємо даних",IF(S194=0,"Новий (без бази)",IF(OR(T194=0,W194=0),"Мало даних",IF(K194&lt;=-$F$5,"Покращило",IF(K194&gt;=$F$5,"Погіршило","Без змін"))))))</f>
        <v/>
      </c>
      <c r="Q194" s="50"/>
      <c r="R194" s="1"/>
      <c r="S194" s="52" t="str">
        <f aca="false">IF($C194="","",SUMIFS(Статистика!$E$7:$E$1006,Статистика!$B$7:$B$1006,"&gt;="&amp;($C194-$D$5),Статистика!$B$7:$B$1006,"&lt;="&amp;($C194-1),Статистика!$C$7:$C$1006,IF($D194="","&lt;&gt;§",$D194),Статистика!$D$7:$D$1006,IF($E194="","&lt;&gt;§",$E194)))</f>
        <v/>
      </c>
      <c r="T194" s="52" t="str">
        <f aca="false">IF($C194="","",SUMIFS(Статистика!$H$7:$H$1006,Статистика!$B$7:$B$1006,"&gt;="&amp;($C194-$D$5),Статистика!$B$7:$B$1006,"&lt;="&amp;($C194-1),Статистика!$C$7:$C$1006,IF($D194="","&lt;&gt;§",$D194),Статистика!$D$7:$D$1006,IF($E194="","&lt;&gt;§",$E194)))</f>
        <v/>
      </c>
      <c r="U194" s="52" t="str">
        <f aca="false">IF($C194="","",SUMIFS(Статистика!$T$7:$T$1006,Статистика!$B$7:$B$1006,"&gt;="&amp;($C194-$D$5),Статистика!$B$7:$B$1006,"&lt;="&amp;($C194-1),Статистика!$C$7:$C$1006,IF($D194="","&lt;&gt;§",$D194),Статистика!$D$7:$D$1006,IF($E194="","&lt;&gt;§",$E194)))</f>
        <v/>
      </c>
      <c r="V194" s="52" t="str">
        <f aca="false">IF($C194="","",SUMIFS(Статистика!$E$7:$E$1006,Статистика!$B$7:$B$1006,"&gt;="&amp;($C194+1),Статистика!$B$7:$B$1006,"&lt;="&amp;($C194+$D$5),Статистика!$C$7:$C$1006,IF($D194="","&lt;&gt;§",$D194),Статистика!$D$7:$D$1006,IF($E194="","&lt;&gt;§",$E194)))</f>
        <v/>
      </c>
      <c r="W194" s="52" t="str">
        <f aca="false">IF($C194="","",SUMIFS(Статистика!$H$7:$H$1006,Статистика!$B$7:$B$1006,"&gt;="&amp;($C194+1),Статистика!$B$7:$B$1006,"&lt;="&amp;($C194+$D$5),Статистика!$C$7:$C$1006,IF($D194="","&lt;&gt;§",$D194),Статистика!$D$7:$D$1006,IF($E194="","&lt;&gt;§",$E194)))</f>
        <v/>
      </c>
      <c r="X194" s="52" t="str">
        <f aca="false">IF($C194="","",SUMIFS(Статистика!$T$7:$T$1006,Статистика!$B$7:$B$1006,"&gt;="&amp;($C194+1),Статистика!$B$7:$B$1006,"&lt;="&amp;($C194+$D$5),Статистика!$C$7:$C$1006,IF($D194="","&lt;&gt;§",$D194),Статистика!$D$7:$D$1006,IF($E194="","&lt;&gt;§",$E194)))</f>
        <v/>
      </c>
      <c r="Y194" s="1"/>
      <c r="Z194" s="1"/>
      <c r="AA194" s="1"/>
      <c r="AB194" s="1"/>
      <c r="AC194" s="1"/>
      <c r="AD194" s="1"/>
    </row>
    <row r="195" customFormat="false" ht="30" hidden="false" customHeight="true" outlineLevel="0" collapsed="false">
      <c r="A195" s="1"/>
      <c r="B195" s="49" t="str">
        <f aca="false">IF($C195="","",ROW()-8)</f>
        <v/>
      </c>
      <c r="C195" s="35"/>
      <c r="D195" s="8"/>
      <c r="E195" s="26"/>
      <c r="F195" s="26"/>
      <c r="G195" s="50"/>
      <c r="H195" s="50"/>
      <c r="I195" s="30" t="str">
        <f aca="false">IF($C195="","",IFERROR(S195/T195,"—"))</f>
        <v/>
      </c>
      <c r="J195" s="30" t="str">
        <f aca="false">IF($C195="","",IFERROR(V195/W195,"—"))</f>
        <v/>
      </c>
      <c r="K195" s="41" t="str">
        <f aca="false">IF($C195="","",IFERROR(J195/I195-1,""))</f>
        <v/>
      </c>
      <c r="L195" s="41" t="str">
        <f aca="false">IF($C195="","",IFERROR((U195-S195)/S195,"—"))</f>
        <v/>
      </c>
      <c r="M195" s="41" t="str">
        <f aca="false">IF($C195="","",IFERROR((X195-V195)/V195,"—"))</f>
        <v/>
      </c>
      <c r="N195" s="39" t="str">
        <f aca="false">IF($C195="","",T195/$D$5)</f>
        <v/>
      </c>
      <c r="O195" s="39" t="str">
        <f aca="false">IF($C195="","",W195/$D$5)</f>
        <v/>
      </c>
      <c r="P195" s="51" t="str">
        <f aca="false">IF($C195="","",IF(MAX(Статистика!$B$7:$B$1006)&lt;$C195+$D$5,"Чекаємо даних",IF(S195=0,"Новий (без бази)",IF(OR(T195=0,W195=0),"Мало даних",IF(K195&lt;=-$F$5,"Покращило",IF(K195&gt;=$F$5,"Погіршило","Без змін"))))))</f>
        <v/>
      </c>
      <c r="Q195" s="50"/>
      <c r="R195" s="1"/>
      <c r="S195" s="52" t="str">
        <f aca="false">IF($C195="","",SUMIFS(Статистика!$E$7:$E$1006,Статистика!$B$7:$B$1006,"&gt;="&amp;($C195-$D$5),Статистика!$B$7:$B$1006,"&lt;="&amp;($C195-1),Статистика!$C$7:$C$1006,IF($D195="","&lt;&gt;§",$D195),Статистика!$D$7:$D$1006,IF($E195="","&lt;&gt;§",$E195)))</f>
        <v/>
      </c>
      <c r="T195" s="52" t="str">
        <f aca="false">IF($C195="","",SUMIFS(Статистика!$H$7:$H$1006,Статистика!$B$7:$B$1006,"&gt;="&amp;($C195-$D$5),Статистика!$B$7:$B$1006,"&lt;="&amp;($C195-1),Статистика!$C$7:$C$1006,IF($D195="","&lt;&gt;§",$D195),Статистика!$D$7:$D$1006,IF($E195="","&lt;&gt;§",$E195)))</f>
        <v/>
      </c>
      <c r="U195" s="52" t="str">
        <f aca="false">IF($C195="","",SUMIFS(Статистика!$T$7:$T$1006,Статистика!$B$7:$B$1006,"&gt;="&amp;($C195-$D$5),Статистика!$B$7:$B$1006,"&lt;="&amp;($C195-1),Статистика!$C$7:$C$1006,IF($D195="","&lt;&gt;§",$D195),Статистика!$D$7:$D$1006,IF($E195="","&lt;&gt;§",$E195)))</f>
        <v/>
      </c>
      <c r="V195" s="52" t="str">
        <f aca="false">IF($C195="","",SUMIFS(Статистика!$E$7:$E$1006,Статистика!$B$7:$B$1006,"&gt;="&amp;($C195+1),Статистика!$B$7:$B$1006,"&lt;="&amp;($C195+$D$5),Статистика!$C$7:$C$1006,IF($D195="","&lt;&gt;§",$D195),Статистика!$D$7:$D$1006,IF($E195="","&lt;&gt;§",$E195)))</f>
        <v/>
      </c>
      <c r="W195" s="52" t="str">
        <f aca="false">IF($C195="","",SUMIFS(Статистика!$H$7:$H$1006,Статистика!$B$7:$B$1006,"&gt;="&amp;($C195+1),Статистика!$B$7:$B$1006,"&lt;="&amp;($C195+$D$5),Статистика!$C$7:$C$1006,IF($D195="","&lt;&gt;§",$D195),Статистика!$D$7:$D$1006,IF($E195="","&lt;&gt;§",$E195)))</f>
        <v/>
      </c>
      <c r="X195" s="52" t="str">
        <f aca="false">IF($C195="","",SUMIFS(Статистика!$T$7:$T$1006,Статистика!$B$7:$B$1006,"&gt;="&amp;($C195+1),Статистика!$B$7:$B$1006,"&lt;="&amp;($C195+$D$5),Статистика!$C$7:$C$1006,IF($D195="","&lt;&gt;§",$D195),Статистика!$D$7:$D$1006,IF($E195="","&lt;&gt;§",$E195)))</f>
        <v/>
      </c>
      <c r="Y195" s="1"/>
      <c r="Z195" s="1"/>
      <c r="AA195" s="1"/>
      <c r="AB195" s="1"/>
      <c r="AC195" s="1"/>
      <c r="AD195" s="1"/>
    </row>
    <row r="196" customFormat="false" ht="30" hidden="false" customHeight="true" outlineLevel="0" collapsed="false">
      <c r="A196" s="1"/>
      <c r="B196" s="49" t="str">
        <f aca="false">IF($C196="","",ROW()-8)</f>
        <v/>
      </c>
      <c r="C196" s="35"/>
      <c r="D196" s="8"/>
      <c r="E196" s="26"/>
      <c r="F196" s="26"/>
      <c r="G196" s="50"/>
      <c r="H196" s="50"/>
      <c r="I196" s="30" t="str">
        <f aca="false">IF($C196="","",IFERROR(S196/T196,"—"))</f>
        <v/>
      </c>
      <c r="J196" s="30" t="str">
        <f aca="false">IF($C196="","",IFERROR(V196/W196,"—"))</f>
        <v/>
      </c>
      <c r="K196" s="41" t="str">
        <f aca="false">IF($C196="","",IFERROR(J196/I196-1,""))</f>
        <v/>
      </c>
      <c r="L196" s="41" t="str">
        <f aca="false">IF($C196="","",IFERROR((U196-S196)/S196,"—"))</f>
        <v/>
      </c>
      <c r="M196" s="41" t="str">
        <f aca="false">IF($C196="","",IFERROR((X196-V196)/V196,"—"))</f>
        <v/>
      </c>
      <c r="N196" s="39" t="str">
        <f aca="false">IF($C196="","",T196/$D$5)</f>
        <v/>
      </c>
      <c r="O196" s="39" t="str">
        <f aca="false">IF($C196="","",W196/$D$5)</f>
        <v/>
      </c>
      <c r="P196" s="51" t="str">
        <f aca="false">IF($C196="","",IF(MAX(Статистика!$B$7:$B$1006)&lt;$C196+$D$5,"Чекаємо даних",IF(S196=0,"Новий (без бази)",IF(OR(T196=0,W196=0),"Мало даних",IF(K196&lt;=-$F$5,"Покращило",IF(K196&gt;=$F$5,"Погіршило","Без змін"))))))</f>
        <v/>
      </c>
      <c r="Q196" s="50"/>
      <c r="R196" s="1"/>
      <c r="S196" s="52" t="str">
        <f aca="false">IF($C196="","",SUMIFS(Статистика!$E$7:$E$1006,Статистика!$B$7:$B$1006,"&gt;="&amp;($C196-$D$5),Статистика!$B$7:$B$1006,"&lt;="&amp;($C196-1),Статистика!$C$7:$C$1006,IF($D196="","&lt;&gt;§",$D196),Статистика!$D$7:$D$1006,IF($E196="","&lt;&gt;§",$E196)))</f>
        <v/>
      </c>
      <c r="T196" s="52" t="str">
        <f aca="false">IF($C196="","",SUMIFS(Статистика!$H$7:$H$1006,Статистика!$B$7:$B$1006,"&gt;="&amp;($C196-$D$5),Статистика!$B$7:$B$1006,"&lt;="&amp;($C196-1),Статистика!$C$7:$C$1006,IF($D196="","&lt;&gt;§",$D196),Статистика!$D$7:$D$1006,IF($E196="","&lt;&gt;§",$E196)))</f>
        <v/>
      </c>
      <c r="U196" s="52" t="str">
        <f aca="false">IF($C196="","",SUMIFS(Статистика!$T$7:$T$1006,Статистика!$B$7:$B$1006,"&gt;="&amp;($C196-$D$5),Статистика!$B$7:$B$1006,"&lt;="&amp;($C196-1),Статистика!$C$7:$C$1006,IF($D196="","&lt;&gt;§",$D196),Статистика!$D$7:$D$1006,IF($E196="","&lt;&gt;§",$E196)))</f>
        <v/>
      </c>
      <c r="V196" s="52" t="str">
        <f aca="false">IF($C196="","",SUMIFS(Статистика!$E$7:$E$1006,Статистика!$B$7:$B$1006,"&gt;="&amp;($C196+1),Статистика!$B$7:$B$1006,"&lt;="&amp;($C196+$D$5),Статистика!$C$7:$C$1006,IF($D196="","&lt;&gt;§",$D196),Статистика!$D$7:$D$1006,IF($E196="","&lt;&gt;§",$E196)))</f>
        <v/>
      </c>
      <c r="W196" s="52" t="str">
        <f aca="false">IF($C196="","",SUMIFS(Статистика!$H$7:$H$1006,Статистика!$B$7:$B$1006,"&gt;="&amp;($C196+1),Статистика!$B$7:$B$1006,"&lt;="&amp;($C196+$D$5),Статистика!$C$7:$C$1006,IF($D196="","&lt;&gt;§",$D196),Статистика!$D$7:$D$1006,IF($E196="","&lt;&gt;§",$E196)))</f>
        <v/>
      </c>
      <c r="X196" s="52" t="str">
        <f aca="false">IF($C196="","",SUMIFS(Статистика!$T$7:$T$1006,Статистика!$B$7:$B$1006,"&gt;="&amp;($C196+1),Статистика!$B$7:$B$1006,"&lt;="&amp;($C196+$D$5),Статистика!$C$7:$C$1006,IF($D196="","&lt;&gt;§",$D196),Статистика!$D$7:$D$1006,IF($E196="","&lt;&gt;§",$E196)))</f>
        <v/>
      </c>
      <c r="Y196" s="1"/>
      <c r="Z196" s="1"/>
      <c r="AA196" s="1"/>
      <c r="AB196" s="1"/>
      <c r="AC196" s="1"/>
      <c r="AD196" s="1"/>
    </row>
    <row r="197" customFormat="false" ht="30" hidden="false" customHeight="true" outlineLevel="0" collapsed="false">
      <c r="A197" s="1"/>
      <c r="B197" s="49" t="str">
        <f aca="false">IF($C197="","",ROW()-8)</f>
        <v/>
      </c>
      <c r="C197" s="35"/>
      <c r="D197" s="8"/>
      <c r="E197" s="26"/>
      <c r="F197" s="26"/>
      <c r="G197" s="50"/>
      <c r="H197" s="50"/>
      <c r="I197" s="30" t="str">
        <f aca="false">IF($C197="","",IFERROR(S197/T197,"—"))</f>
        <v/>
      </c>
      <c r="J197" s="30" t="str">
        <f aca="false">IF($C197="","",IFERROR(V197/W197,"—"))</f>
        <v/>
      </c>
      <c r="K197" s="41" t="str">
        <f aca="false">IF($C197="","",IFERROR(J197/I197-1,""))</f>
        <v/>
      </c>
      <c r="L197" s="41" t="str">
        <f aca="false">IF($C197="","",IFERROR((U197-S197)/S197,"—"))</f>
        <v/>
      </c>
      <c r="M197" s="41" t="str">
        <f aca="false">IF($C197="","",IFERROR((X197-V197)/V197,"—"))</f>
        <v/>
      </c>
      <c r="N197" s="39" t="str">
        <f aca="false">IF($C197="","",T197/$D$5)</f>
        <v/>
      </c>
      <c r="O197" s="39" t="str">
        <f aca="false">IF($C197="","",W197/$D$5)</f>
        <v/>
      </c>
      <c r="P197" s="51" t="str">
        <f aca="false">IF($C197="","",IF(MAX(Статистика!$B$7:$B$1006)&lt;$C197+$D$5,"Чекаємо даних",IF(S197=0,"Новий (без бази)",IF(OR(T197=0,W197=0),"Мало даних",IF(K197&lt;=-$F$5,"Покращило",IF(K197&gt;=$F$5,"Погіршило","Без змін"))))))</f>
        <v/>
      </c>
      <c r="Q197" s="50"/>
      <c r="R197" s="1"/>
      <c r="S197" s="52" t="str">
        <f aca="false">IF($C197="","",SUMIFS(Статистика!$E$7:$E$1006,Статистика!$B$7:$B$1006,"&gt;="&amp;($C197-$D$5),Статистика!$B$7:$B$1006,"&lt;="&amp;($C197-1),Статистика!$C$7:$C$1006,IF($D197="","&lt;&gt;§",$D197),Статистика!$D$7:$D$1006,IF($E197="","&lt;&gt;§",$E197)))</f>
        <v/>
      </c>
      <c r="T197" s="52" t="str">
        <f aca="false">IF($C197="","",SUMIFS(Статистика!$H$7:$H$1006,Статистика!$B$7:$B$1006,"&gt;="&amp;($C197-$D$5),Статистика!$B$7:$B$1006,"&lt;="&amp;($C197-1),Статистика!$C$7:$C$1006,IF($D197="","&lt;&gt;§",$D197),Статистика!$D$7:$D$1006,IF($E197="","&lt;&gt;§",$E197)))</f>
        <v/>
      </c>
      <c r="U197" s="52" t="str">
        <f aca="false">IF($C197="","",SUMIFS(Статистика!$T$7:$T$1006,Статистика!$B$7:$B$1006,"&gt;="&amp;($C197-$D$5),Статистика!$B$7:$B$1006,"&lt;="&amp;($C197-1),Статистика!$C$7:$C$1006,IF($D197="","&lt;&gt;§",$D197),Статистика!$D$7:$D$1006,IF($E197="","&lt;&gt;§",$E197)))</f>
        <v/>
      </c>
      <c r="V197" s="52" t="str">
        <f aca="false">IF($C197="","",SUMIFS(Статистика!$E$7:$E$1006,Статистика!$B$7:$B$1006,"&gt;="&amp;($C197+1),Статистика!$B$7:$B$1006,"&lt;="&amp;($C197+$D$5),Статистика!$C$7:$C$1006,IF($D197="","&lt;&gt;§",$D197),Статистика!$D$7:$D$1006,IF($E197="","&lt;&gt;§",$E197)))</f>
        <v/>
      </c>
      <c r="W197" s="52" t="str">
        <f aca="false">IF($C197="","",SUMIFS(Статистика!$H$7:$H$1006,Статистика!$B$7:$B$1006,"&gt;="&amp;($C197+1),Статистика!$B$7:$B$1006,"&lt;="&amp;($C197+$D$5),Статистика!$C$7:$C$1006,IF($D197="","&lt;&gt;§",$D197),Статистика!$D$7:$D$1006,IF($E197="","&lt;&gt;§",$E197)))</f>
        <v/>
      </c>
      <c r="X197" s="52" t="str">
        <f aca="false">IF($C197="","",SUMIFS(Статистика!$T$7:$T$1006,Статистика!$B$7:$B$1006,"&gt;="&amp;($C197+1),Статистика!$B$7:$B$1006,"&lt;="&amp;($C197+$D$5),Статистика!$C$7:$C$1006,IF($D197="","&lt;&gt;§",$D197),Статистика!$D$7:$D$1006,IF($E197="","&lt;&gt;§",$E197)))</f>
        <v/>
      </c>
      <c r="Y197" s="1"/>
      <c r="Z197" s="1"/>
      <c r="AA197" s="1"/>
      <c r="AB197" s="1"/>
      <c r="AC197" s="1"/>
      <c r="AD197" s="1"/>
    </row>
    <row r="198" customFormat="false" ht="30" hidden="false" customHeight="true" outlineLevel="0" collapsed="false">
      <c r="A198" s="1"/>
      <c r="B198" s="49" t="str">
        <f aca="false">IF($C198="","",ROW()-8)</f>
        <v/>
      </c>
      <c r="C198" s="35"/>
      <c r="D198" s="8"/>
      <c r="E198" s="26"/>
      <c r="F198" s="26"/>
      <c r="G198" s="50"/>
      <c r="H198" s="50"/>
      <c r="I198" s="30" t="str">
        <f aca="false">IF($C198="","",IFERROR(S198/T198,"—"))</f>
        <v/>
      </c>
      <c r="J198" s="30" t="str">
        <f aca="false">IF($C198="","",IFERROR(V198/W198,"—"))</f>
        <v/>
      </c>
      <c r="K198" s="41" t="str">
        <f aca="false">IF($C198="","",IFERROR(J198/I198-1,""))</f>
        <v/>
      </c>
      <c r="L198" s="41" t="str">
        <f aca="false">IF($C198="","",IFERROR((U198-S198)/S198,"—"))</f>
        <v/>
      </c>
      <c r="M198" s="41" t="str">
        <f aca="false">IF($C198="","",IFERROR((X198-V198)/V198,"—"))</f>
        <v/>
      </c>
      <c r="N198" s="39" t="str">
        <f aca="false">IF($C198="","",T198/$D$5)</f>
        <v/>
      </c>
      <c r="O198" s="39" t="str">
        <f aca="false">IF($C198="","",W198/$D$5)</f>
        <v/>
      </c>
      <c r="P198" s="51" t="str">
        <f aca="false">IF($C198="","",IF(MAX(Статистика!$B$7:$B$1006)&lt;$C198+$D$5,"Чекаємо даних",IF(S198=0,"Новий (без бази)",IF(OR(T198=0,W198=0),"Мало даних",IF(K198&lt;=-$F$5,"Покращило",IF(K198&gt;=$F$5,"Погіршило","Без змін"))))))</f>
        <v/>
      </c>
      <c r="Q198" s="50"/>
      <c r="R198" s="1"/>
      <c r="S198" s="52" t="str">
        <f aca="false">IF($C198="","",SUMIFS(Статистика!$E$7:$E$1006,Статистика!$B$7:$B$1006,"&gt;="&amp;($C198-$D$5),Статистика!$B$7:$B$1006,"&lt;="&amp;($C198-1),Статистика!$C$7:$C$1006,IF($D198="","&lt;&gt;§",$D198),Статистика!$D$7:$D$1006,IF($E198="","&lt;&gt;§",$E198)))</f>
        <v/>
      </c>
      <c r="T198" s="52" t="str">
        <f aca="false">IF($C198="","",SUMIFS(Статистика!$H$7:$H$1006,Статистика!$B$7:$B$1006,"&gt;="&amp;($C198-$D$5),Статистика!$B$7:$B$1006,"&lt;="&amp;($C198-1),Статистика!$C$7:$C$1006,IF($D198="","&lt;&gt;§",$D198),Статистика!$D$7:$D$1006,IF($E198="","&lt;&gt;§",$E198)))</f>
        <v/>
      </c>
      <c r="U198" s="52" t="str">
        <f aca="false">IF($C198="","",SUMIFS(Статистика!$T$7:$T$1006,Статистика!$B$7:$B$1006,"&gt;="&amp;($C198-$D$5),Статистика!$B$7:$B$1006,"&lt;="&amp;($C198-1),Статистика!$C$7:$C$1006,IF($D198="","&lt;&gt;§",$D198),Статистика!$D$7:$D$1006,IF($E198="","&lt;&gt;§",$E198)))</f>
        <v/>
      </c>
      <c r="V198" s="52" t="str">
        <f aca="false">IF($C198="","",SUMIFS(Статистика!$E$7:$E$1006,Статистика!$B$7:$B$1006,"&gt;="&amp;($C198+1),Статистика!$B$7:$B$1006,"&lt;="&amp;($C198+$D$5),Статистика!$C$7:$C$1006,IF($D198="","&lt;&gt;§",$D198),Статистика!$D$7:$D$1006,IF($E198="","&lt;&gt;§",$E198)))</f>
        <v/>
      </c>
      <c r="W198" s="52" t="str">
        <f aca="false">IF($C198="","",SUMIFS(Статистика!$H$7:$H$1006,Статистика!$B$7:$B$1006,"&gt;="&amp;($C198+1),Статистика!$B$7:$B$1006,"&lt;="&amp;($C198+$D$5),Статистика!$C$7:$C$1006,IF($D198="","&lt;&gt;§",$D198),Статистика!$D$7:$D$1006,IF($E198="","&lt;&gt;§",$E198)))</f>
        <v/>
      </c>
      <c r="X198" s="52" t="str">
        <f aca="false">IF($C198="","",SUMIFS(Статистика!$T$7:$T$1006,Статистика!$B$7:$B$1006,"&gt;="&amp;($C198+1),Статистика!$B$7:$B$1006,"&lt;="&amp;($C198+$D$5),Статистика!$C$7:$C$1006,IF($D198="","&lt;&gt;§",$D198),Статистика!$D$7:$D$1006,IF($E198="","&lt;&gt;§",$E198)))</f>
        <v/>
      </c>
      <c r="Y198" s="1"/>
      <c r="Z198" s="1"/>
      <c r="AA198" s="1"/>
      <c r="AB198" s="1"/>
      <c r="AC198" s="1"/>
      <c r="AD198" s="1"/>
    </row>
    <row r="199" customFormat="false" ht="30" hidden="false" customHeight="true" outlineLevel="0" collapsed="false">
      <c r="A199" s="1"/>
      <c r="B199" s="49" t="str">
        <f aca="false">IF($C199="","",ROW()-8)</f>
        <v/>
      </c>
      <c r="C199" s="35"/>
      <c r="D199" s="8"/>
      <c r="E199" s="26"/>
      <c r="F199" s="26"/>
      <c r="G199" s="50"/>
      <c r="H199" s="50"/>
      <c r="I199" s="30" t="str">
        <f aca="false">IF($C199="","",IFERROR(S199/T199,"—"))</f>
        <v/>
      </c>
      <c r="J199" s="30" t="str">
        <f aca="false">IF($C199="","",IFERROR(V199/W199,"—"))</f>
        <v/>
      </c>
      <c r="K199" s="41" t="str">
        <f aca="false">IF($C199="","",IFERROR(J199/I199-1,""))</f>
        <v/>
      </c>
      <c r="L199" s="41" t="str">
        <f aca="false">IF($C199="","",IFERROR((U199-S199)/S199,"—"))</f>
        <v/>
      </c>
      <c r="M199" s="41" t="str">
        <f aca="false">IF($C199="","",IFERROR((X199-V199)/V199,"—"))</f>
        <v/>
      </c>
      <c r="N199" s="39" t="str">
        <f aca="false">IF($C199="","",T199/$D$5)</f>
        <v/>
      </c>
      <c r="O199" s="39" t="str">
        <f aca="false">IF($C199="","",W199/$D$5)</f>
        <v/>
      </c>
      <c r="P199" s="51" t="str">
        <f aca="false">IF($C199="","",IF(MAX(Статистика!$B$7:$B$1006)&lt;$C199+$D$5,"Чекаємо даних",IF(S199=0,"Новий (без бази)",IF(OR(T199=0,W199=0),"Мало даних",IF(K199&lt;=-$F$5,"Покращило",IF(K199&gt;=$F$5,"Погіршило","Без змін"))))))</f>
        <v/>
      </c>
      <c r="Q199" s="50"/>
      <c r="R199" s="1"/>
      <c r="S199" s="52" t="str">
        <f aca="false">IF($C199="","",SUMIFS(Статистика!$E$7:$E$1006,Статистика!$B$7:$B$1006,"&gt;="&amp;($C199-$D$5),Статистика!$B$7:$B$1006,"&lt;="&amp;($C199-1),Статистика!$C$7:$C$1006,IF($D199="","&lt;&gt;§",$D199),Статистика!$D$7:$D$1006,IF($E199="","&lt;&gt;§",$E199)))</f>
        <v/>
      </c>
      <c r="T199" s="52" t="str">
        <f aca="false">IF($C199="","",SUMIFS(Статистика!$H$7:$H$1006,Статистика!$B$7:$B$1006,"&gt;="&amp;($C199-$D$5),Статистика!$B$7:$B$1006,"&lt;="&amp;($C199-1),Статистика!$C$7:$C$1006,IF($D199="","&lt;&gt;§",$D199),Статистика!$D$7:$D$1006,IF($E199="","&lt;&gt;§",$E199)))</f>
        <v/>
      </c>
      <c r="U199" s="52" t="str">
        <f aca="false">IF($C199="","",SUMIFS(Статистика!$T$7:$T$1006,Статистика!$B$7:$B$1006,"&gt;="&amp;($C199-$D$5),Статистика!$B$7:$B$1006,"&lt;="&amp;($C199-1),Статистика!$C$7:$C$1006,IF($D199="","&lt;&gt;§",$D199),Статистика!$D$7:$D$1006,IF($E199="","&lt;&gt;§",$E199)))</f>
        <v/>
      </c>
      <c r="V199" s="52" t="str">
        <f aca="false">IF($C199="","",SUMIFS(Статистика!$E$7:$E$1006,Статистика!$B$7:$B$1006,"&gt;="&amp;($C199+1),Статистика!$B$7:$B$1006,"&lt;="&amp;($C199+$D$5),Статистика!$C$7:$C$1006,IF($D199="","&lt;&gt;§",$D199),Статистика!$D$7:$D$1006,IF($E199="","&lt;&gt;§",$E199)))</f>
        <v/>
      </c>
      <c r="W199" s="52" t="str">
        <f aca="false">IF($C199="","",SUMIFS(Статистика!$H$7:$H$1006,Статистика!$B$7:$B$1006,"&gt;="&amp;($C199+1),Статистика!$B$7:$B$1006,"&lt;="&amp;($C199+$D$5),Статистика!$C$7:$C$1006,IF($D199="","&lt;&gt;§",$D199),Статистика!$D$7:$D$1006,IF($E199="","&lt;&gt;§",$E199)))</f>
        <v/>
      </c>
      <c r="X199" s="52" t="str">
        <f aca="false">IF($C199="","",SUMIFS(Статистика!$T$7:$T$1006,Статистика!$B$7:$B$1006,"&gt;="&amp;($C199+1),Статистика!$B$7:$B$1006,"&lt;="&amp;($C199+$D$5),Статистика!$C$7:$C$1006,IF($D199="","&lt;&gt;§",$D199),Статистика!$D$7:$D$1006,IF($E199="","&lt;&gt;§",$E199)))</f>
        <v/>
      </c>
      <c r="Y199" s="1"/>
      <c r="Z199" s="1"/>
      <c r="AA199" s="1"/>
      <c r="AB199" s="1"/>
      <c r="AC199" s="1"/>
      <c r="AD199" s="1"/>
    </row>
    <row r="200" customFormat="false" ht="30" hidden="false" customHeight="true" outlineLevel="0" collapsed="false">
      <c r="A200" s="1"/>
      <c r="B200" s="49" t="str">
        <f aca="false">IF($C200="","",ROW()-8)</f>
        <v/>
      </c>
      <c r="C200" s="35"/>
      <c r="D200" s="8"/>
      <c r="E200" s="26"/>
      <c r="F200" s="26"/>
      <c r="G200" s="50"/>
      <c r="H200" s="50"/>
      <c r="I200" s="30" t="str">
        <f aca="false">IF($C200="","",IFERROR(S200/T200,"—"))</f>
        <v/>
      </c>
      <c r="J200" s="30" t="str">
        <f aca="false">IF($C200="","",IFERROR(V200/W200,"—"))</f>
        <v/>
      </c>
      <c r="K200" s="41" t="str">
        <f aca="false">IF($C200="","",IFERROR(J200/I200-1,""))</f>
        <v/>
      </c>
      <c r="L200" s="41" t="str">
        <f aca="false">IF($C200="","",IFERROR((U200-S200)/S200,"—"))</f>
        <v/>
      </c>
      <c r="M200" s="41" t="str">
        <f aca="false">IF($C200="","",IFERROR((X200-V200)/V200,"—"))</f>
        <v/>
      </c>
      <c r="N200" s="39" t="str">
        <f aca="false">IF($C200="","",T200/$D$5)</f>
        <v/>
      </c>
      <c r="O200" s="39" t="str">
        <f aca="false">IF($C200="","",W200/$D$5)</f>
        <v/>
      </c>
      <c r="P200" s="51" t="str">
        <f aca="false">IF($C200="","",IF(MAX(Статистика!$B$7:$B$1006)&lt;$C200+$D$5,"Чекаємо даних",IF(S200=0,"Новий (без бази)",IF(OR(T200=0,W200=0),"Мало даних",IF(K200&lt;=-$F$5,"Покращило",IF(K200&gt;=$F$5,"Погіршило","Без змін"))))))</f>
        <v/>
      </c>
      <c r="Q200" s="50"/>
      <c r="R200" s="1"/>
      <c r="S200" s="52" t="str">
        <f aca="false">IF($C200="","",SUMIFS(Статистика!$E$7:$E$1006,Статистика!$B$7:$B$1006,"&gt;="&amp;($C200-$D$5),Статистика!$B$7:$B$1006,"&lt;="&amp;($C200-1),Статистика!$C$7:$C$1006,IF($D200="","&lt;&gt;§",$D200),Статистика!$D$7:$D$1006,IF($E200="","&lt;&gt;§",$E200)))</f>
        <v/>
      </c>
      <c r="T200" s="52" t="str">
        <f aca="false">IF($C200="","",SUMIFS(Статистика!$H$7:$H$1006,Статистика!$B$7:$B$1006,"&gt;="&amp;($C200-$D$5),Статистика!$B$7:$B$1006,"&lt;="&amp;($C200-1),Статистика!$C$7:$C$1006,IF($D200="","&lt;&gt;§",$D200),Статистика!$D$7:$D$1006,IF($E200="","&lt;&gt;§",$E200)))</f>
        <v/>
      </c>
      <c r="U200" s="52" t="str">
        <f aca="false">IF($C200="","",SUMIFS(Статистика!$T$7:$T$1006,Статистика!$B$7:$B$1006,"&gt;="&amp;($C200-$D$5),Статистика!$B$7:$B$1006,"&lt;="&amp;($C200-1),Статистика!$C$7:$C$1006,IF($D200="","&lt;&gt;§",$D200),Статистика!$D$7:$D$1006,IF($E200="","&lt;&gt;§",$E200)))</f>
        <v/>
      </c>
      <c r="V200" s="52" t="str">
        <f aca="false">IF($C200="","",SUMIFS(Статистика!$E$7:$E$1006,Статистика!$B$7:$B$1006,"&gt;="&amp;($C200+1),Статистика!$B$7:$B$1006,"&lt;="&amp;($C200+$D$5),Статистика!$C$7:$C$1006,IF($D200="","&lt;&gt;§",$D200),Статистика!$D$7:$D$1006,IF($E200="","&lt;&gt;§",$E200)))</f>
        <v/>
      </c>
      <c r="W200" s="52" t="str">
        <f aca="false">IF($C200="","",SUMIFS(Статистика!$H$7:$H$1006,Статистика!$B$7:$B$1006,"&gt;="&amp;($C200+1),Статистика!$B$7:$B$1006,"&lt;="&amp;($C200+$D$5),Статистика!$C$7:$C$1006,IF($D200="","&lt;&gt;§",$D200),Статистика!$D$7:$D$1006,IF($E200="","&lt;&gt;§",$E200)))</f>
        <v/>
      </c>
      <c r="X200" s="52" t="str">
        <f aca="false">IF($C200="","",SUMIFS(Статистика!$T$7:$T$1006,Статистика!$B$7:$B$1006,"&gt;="&amp;($C200+1),Статистика!$B$7:$B$1006,"&lt;="&amp;($C200+$D$5),Статистика!$C$7:$C$1006,IF($D200="","&lt;&gt;§",$D200),Статистика!$D$7:$D$1006,IF($E200="","&lt;&gt;§",$E200)))</f>
        <v/>
      </c>
      <c r="Y200" s="1"/>
      <c r="Z200" s="1"/>
      <c r="AA200" s="1"/>
      <c r="AB200" s="1"/>
      <c r="AC200" s="1"/>
      <c r="AD200" s="1"/>
    </row>
    <row r="201" customFormat="false" ht="30" hidden="false" customHeight="true" outlineLevel="0" collapsed="false">
      <c r="A201" s="1"/>
      <c r="B201" s="49" t="str">
        <f aca="false">IF($C201="","",ROW()-8)</f>
        <v/>
      </c>
      <c r="C201" s="35"/>
      <c r="D201" s="8"/>
      <c r="E201" s="26"/>
      <c r="F201" s="26"/>
      <c r="G201" s="50"/>
      <c r="H201" s="50"/>
      <c r="I201" s="30" t="str">
        <f aca="false">IF($C201="","",IFERROR(S201/T201,"—"))</f>
        <v/>
      </c>
      <c r="J201" s="30" t="str">
        <f aca="false">IF($C201="","",IFERROR(V201/W201,"—"))</f>
        <v/>
      </c>
      <c r="K201" s="41" t="str">
        <f aca="false">IF($C201="","",IFERROR(J201/I201-1,""))</f>
        <v/>
      </c>
      <c r="L201" s="41" t="str">
        <f aca="false">IF($C201="","",IFERROR((U201-S201)/S201,"—"))</f>
        <v/>
      </c>
      <c r="M201" s="41" t="str">
        <f aca="false">IF($C201="","",IFERROR((X201-V201)/V201,"—"))</f>
        <v/>
      </c>
      <c r="N201" s="39" t="str">
        <f aca="false">IF($C201="","",T201/$D$5)</f>
        <v/>
      </c>
      <c r="O201" s="39" t="str">
        <f aca="false">IF($C201="","",W201/$D$5)</f>
        <v/>
      </c>
      <c r="P201" s="51" t="str">
        <f aca="false">IF($C201="","",IF(MAX(Статистика!$B$7:$B$1006)&lt;$C201+$D$5,"Чекаємо даних",IF(S201=0,"Новий (без бази)",IF(OR(T201=0,W201=0),"Мало даних",IF(K201&lt;=-$F$5,"Покращило",IF(K201&gt;=$F$5,"Погіршило","Без змін"))))))</f>
        <v/>
      </c>
      <c r="Q201" s="50"/>
      <c r="R201" s="1"/>
      <c r="S201" s="52" t="str">
        <f aca="false">IF($C201="","",SUMIFS(Статистика!$E$7:$E$1006,Статистика!$B$7:$B$1006,"&gt;="&amp;($C201-$D$5),Статистика!$B$7:$B$1006,"&lt;="&amp;($C201-1),Статистика!$C$7:$C$1006,IF($D201="","&lt;&gt;§",$D201),Статистика!$D$7:$D$1006,IF($E201="","&lt;&gt;§",$E201)))</f>
        <v/>
      </c>
      <c r="T201" s="52" t="str">
        <f aca="false">IF($C201="","",SUMIFS(Статистика!$H$7:$H$1006,Статистика!$B$7:$B$1006,"&gt;="&amp;($C201-$D$5),Статистика!$B$7:$B$1006,"&lt;="&amp;($C201-1),Статистика!$C$7:$C$1006,IF($D201="","&lt;&gt;§",$D201),Статистика!$D$7:$D$1006,IF($E201="","&lt;&gt;§",$E201)))</f>
        <v/>
      </c>
      <c r="U201" s="52" t="str">
        <f aca="false">IF($C201="","",SUMIFS(Статистика!$T$7:$T$1006,Статистика!$B$7:$B$1006,"&gt;="&amp;($C201-$D$5),Статистика!$B$7:$B$1006,"&lt;="&amp;($C201-1),Статистика!$C$7:$C$1006,IF($D201="","&lt;&gt;§",$D201),Статистика!$D$7:$D$1006,IF($E201="","&lt;&gt;§",$E201)))</f>
        <v/>
      </c>
      <c r="V201" s="52" t="str">
        <f aca="false">IF($C201="","",SUMIFS(Статистика!$E$7:$E$1006,Статистика!$B$7:$B$1006,"&gt;="&amp;($C201+1),Статистика!$B$7:$B$1006,"&lt;="&amp;($C201+$D$5),Статистика!$C$7:$C$1006,IF($D201="","&lt;&gt;§",$D201),Статистика!$D$7:$D$1006,IF($E201="","&lt;&gt;§",$E201)))</f>
        <v/>
      </c>
      <c r="W201" s="52" t="str">
        <f aca="false">IF($C201="","",SUMIFS(Статистика!$H$7:$H$1006,Статистика!$B$7:$B$1006,"&gt;="&amp;($C201+1),Статистика!$B$7:$B$1006,"&lt;="&amp;($C201+$D$5),Статистика!$C$7:$C$1006,IF($D201="","&lt;&gt;§",$D201),Статистика!$D$7:$D$1006,IF($E201="","&lt;&gt;§",$E201)))</f>
        <v/>
      </c>
      <c r="X201" s="52" t="str">
        <f aca="false">IF($C201="","",SUMIFS(Статистика!$T$7:$T$1006,Статистика!$B$7:$B$1006,"&gt;="&amp;($C201+1),Статистика!$B$7:$B$1006,"&lt;="&amp;($C201+$D$5),Статистика!$C$7:$C$1006,IF($D201="","&lt;&gt;§",$D201),Статистика!$D$7:$D$1006,IF($E201="","&lt;&gt;§",$E201)))</f>
        <v/>
      </c>
      <c r="Y201" s="1"/>
      <c r="Z201" s="1"/>
      <c r="AA201" s="1"/>
      <c r="AB201" s="1"/>
      <c r="AC201" s="1"/>
      <c r="AD201" s="1"/>
    </row>
    <row r="202" customFormat="false" ht="30" hidden="false" customHeight="true" outlineLevel="0" collapsed="false">
      <c r="A202" s="1"/>
      <c r="B202" s="49" t="str">
        <f aca="false">IF($C202="","",ROW()-8)</f>
        <v/>
      </c>
      <c r="C202" s="35"/>
      <c r="D202" s="8"/>
      <c r="E202" s="26"/>
      <c r="F202" s="26"/>
      <c r="G202" s="50"/>
      <c r="H202" s="50"/>
      <c r="I202" s="30" t="str">
        <f aca="false">IF($C202="","",IFERROR(S202/T202,"—"))</f>
        <v/>
      </c>
      <c r="J202" s="30" t="str">
        <f aca="false">IF($C202="","",IFERROR(V202/W202,"—"))</f>
        <v/>
      </c>
      <c r="K202" s="41" t="str">
        <f aca="false">IF($C202="","",IFERROR(J202/I202-1,""))</f>
        <v/>
      </c>
      <c r="L202" s="41" t="str">
        <f aca="false">IF($C202="","",IFERROR((U202-S202)/S202,"—"))</f>
        <v/>
      </c>
      <c r="M202" s="41" t="str">
        <f aca="false">IF($C202="","",IFERROR((X202-V202)/V202,"—"))</f>
        <v/>
      </c>
      <c r="N202" s="39" t="str">
        <f aca="false">IF($C202="","",T202/$D$5)</f>
        <v/>
      </c>
      <c r="O202" s="39" t="str">
        <f aca="false">IF($C202="","",W202/$D$5)</f>
        <v/>
      </c>
      <c r="P202" s="51" t="str">
        <f aca="false">IF($C202="","",IF(MAX(Статистика!$B$7:$B$1006)&lt;$C202+$D$5,"Чекаємо даних",IF(S202=0,"Новий (без бази)",IF(OR(T202=0,W202=0),"Мало даних",IF(K202&lt;=-$F$5,"Покращило",IF(K202&gt;=$F$5,"Погіршило","Без змін"))))))</f>
        <v/>
      </c>
      <c r="Q202" s="50"/>
      <c r="R202" s="1"/>
      <c r="S202" s="52" t="str">
        <f aca="false">IF($C202="","",SUMIFS(Статистика!$E$7:$E$1006,Статистика!$B$7:$B$1006,"&gt;="&amp;($C202-$D$5),Статистика!$B$7:$B$1006,"&lt;="&amp;($C202-1),Статистика!$C$7:$C$1006,IF($D202="","&lt;&gt;§",$D202),Статистика!$D$7:$D$1006,IF($E202="","&lt;&gt;§",$E202)))</f>
        <v/>
      </c>
      <c r="T202" s="52" t="str">
        <f aca="false">IF($C202="","",SUMIFS(Статистика!$H$7:$H$1006,Статистика!$B$7:$B$1006,"&gt;="&amp;($C202-$D$5),Статистика!$B$7:$B$1006,"&lt;="&amp;($C202-1),Статистика!$C$7:$C$1006,IF($D202="","&lt;&gt;§",$D202),Статистика!$D$7:$D$1006,IF($E202="","&lt;&gt;§",$E202)))</f>
        <v/>
      </c>
      <c r="U202" s="52" t="str">
        <f aca="false">IF($C202="","",SUMIFS(Статистика!$T$7:$T$1006,Статистика!$B$7:$B$1006,"&gt;="&amp;($C202-$D$5),Статистика!$B$7:$B$1006,"&lt;="&amp;($C202-1),Статистика!$C$7:$C$1006,IF($D202="","&lt;&gt;§",$D202),Статистика!$D$7:$D$1006,IF($E202="","&lt;&gt;§",$E202)))</f>
        <v/>
      </c>
      <c r="V202" s="52" t="str">
        <f aca="false">IF($C202="","",SUMIFS(Статистика!$E$7:$E$1006,Статистика!$B$7:$B$1006,"&gt;="&amp;($C202+1),Статистика!$B$7:$B$1006,"&lt;="&amp;($C202+$D$5),Статистика!$C$7:$C$1006,IF($D202="","&lt;&gt;§",$D202),Статистика!$D$7:$D$1006,IF($E202="","&lt;&gt;§",$E202)))</f>
        <v/>
      </c>
      <c r="W202" s="52" t="str">
        <f aca="false">IF($C202="","",SUMIFS(Статистика!$H$7:$H$1006,Статистика!$B$7:$B$1006,"&gt;="&amp;($C202+1),Статистика!$B$7:$B$1006,"&lt;="&amp;($C202+$D$5),Статистика!$C$7:$C$1006,IF($D202="","&lt;&gt;§",$D202),Статистика!$D$7:$D$1006,IF($E202="","&lt;&gt;§",$E202)))</f>
        <v/>
      </c>
      <c r="X202" s="52" t="str">
        <f aca="false">IF($C202="","",SUMIFS(Статистика!$T$7:$T$1006,Статистика!$B$7:$B$1006,"&gt;="&amp;($C202+1),Статистика!$B$7:$B$1006,"&lt;="&amp;($C202+$D$5),Статистика!$C$7:$C$1006,IF($D202="","&lt;&gt;§",$D202),Статистика!$D$7:$D$1006,IF($E202="","&lt;&gt;§",$E202)))</f>
        <v/>
      </c>
      <c r="Y202" s="1"/>
      <c r="Z202" s="1"/>
      <c r="AA202" s="1"/>
      <c r="AB202" s="1"/>
      <c r="AC202" s="1"/>
      <c r="AD202" s="1"/>
    </row>
    <row r="203" customFormat="false" ht="30" hidden="false" customHeight="true" outlineLevel="0" collapsed="false">
      <c r="A203" s="1"/>
      <c r="B203" s="49" t="str">
        <f aca="false">IF($C203="","",ROW()-8)</f>
        <v/>
      </c>
      <c r="C203" s="35"/>
      <c r="D203" s="8"/>
      <c r="E203" s="26"/>
      <c r="F203" s="26"/>
      <c r="G203" s="50"/>
      <c r="H203" s="50"/>
      <c r="I203" s="30" t="str">
        <f aca="false">IF($C203="","",IFERROR(S203/T203,"—"))</f>
        <v/>
      </c>
      <c r="J203" s="30" t="str">
        <f aca="false">IF($C203="","",IFERROR(V203/W203,"—"))</f>
        <v/>
      </c>
      <c r="K203" s="41" t="str">
        <f aca="false">IF($C203="","",IFERROR(J203/I203-1,""))</f>
        <v/>
      </c>
      <c r="L203" s="41" t="str">
        <f aca="false">IF($C203="","",IFERROR((U203-S203)/S203,"—"))</f>
        <v/>
      </c>
      <c r="M203" s="41" t="str">
        <f aca="false">IF($C203="","",IFERROR((X203-V203)/V203,"—"))</f>
        <v/>
      </c>
      <c r="N203" s="39" t="str">
        <f aca="false">IF($C203="","",T203/$D$5)</f>
        <v/>
      </c>
      <c r="O203" s="39" t="str">
        <f aca="false">IF($C203="","",W203/$D$5)</f>
        <v/>
      </c>
      <c r="P203" s="51" t="str">
        <f aca="false">IF($C203="","",IF(MAX(Статистика!$B$7:$B$1006)&lt;$C203+$D$5,"Чекаємо даних",IF(S203=0,"Новий (без бази)",IF(OR(T203=0,W203=0),"Мало даних",IF(K203&lt;=-$F$5,"Покращило",IF(K203&gt;=$F$5,"Погіршило","Без змін"))))))</f>
        <v/>
      </c>
      <c r="Q203" s="50"/>
      <c r="R203" s="1"/>
      <c r="S203" s="52" t="str">
        <f aca="false">IF($C203="","",SUMIFS(Статистика!$E$7:$E$1006,Статистика!$B$7:$B$1006,"&gt;="&amp;($C203-$D$5),Статистика!$B$7:$B$1006,"&lt;="&amp;($C203-1),Статистика!$C$7:$C$1006,IF($D203="","&lt;&gt;§",$D203),Статистика!$D$7:$D$1006,IF($E203="","&lt;&gt;§",$E203)))</f>
        <v/>
      </c>
      <c r="T203" s="52" t="str">
        <f aca="false">IF($C203="","",SUMIFS(Статистика!$H$7:$H$1006,Статистика!$B$7:$B$1006,"&gt;="&amp;($C203-$D$5),Статистика!$B$7:$B$1006,"&lt;="&amp;($C203-1),Статистика!$C$7:$C$1006,IF($D203="","&lt;&gt;§",$D203),Статистика!$D$7:$D$1006,IF($E203="","&lt;&gt;§",$E203)))</f>
        <v/>
      </c>
      <c r="U203" s="52" t="str">
        <f aca="false">IF($C203="","",SUMIFS(Статистика!$T$7:$T$1006,Статистика!$B$7:$B$1006,"&gt;="&amp;($C203-$D$5),Статистика!$B$7:$B$1006,"&lt;="&amp;($C203-1),Статистика!$C$7:$C$1006,IF($D203="","&lt;&gt;§",$D203),Статистика!$D$7:$D$1006,IF($E203="","&lt;&gt;§",$E203)))</f>
        <v/>
      </c>
      <c r="V203" s="52" t="str">
        <f aca="false">IF($C203="","",SUMIFS(Статистика!$E$7:$E$1006,Статистика!$B$7:$B$1006,"&gt;="&amp;($C203+1),Статистика!$B$7:$B$1006,"&lt;="&amp;($C203+$D$5),Статистика!$C$7:$C$1006,IF($D203="","&lt;&gt;§",$D203),Статистика!$D$7:$D$1006,IF($E203="","&lt;&gt;§",$E203)))</f>
        <v/>
      </c>
      <c r="W203" s="52" t="str">
        <f aca="false">IF($C203="","",SUMIFS(Статистика!$H$7:$H$1006,Статистика!$B$7:$B$1006,"&gt;="&amp;($C203+1),Статистика!$B$7:$B$1006,"&lt;="&amp;($C203+$D$5),Статистика!$C$7:$C$1006,IF($D203="","&lt;&gt;§",$D203),Статистика!$D$7:$D$1006,IF($E203="","&lt;&gt;§",$E203)))</f>
        <v/>
      </c>
      <c r="X203" s="52" t="str">
        <f aca="false">IF($C203="","",SUMIFS(Статистика!$T$7:$T$1006,Статистика!$B$7:$B$1006,"&gt;="&amp;($C203+1),Статистика!$B$7:$B$1006,"&lt;="&amp;($C203+$D$5),Статистика!$C$7:$C$1006,IF($D203="","&lt;&gt;§",$D203),Статистика!$D$7:$D$1006,IF($E203="","&lt;&gt;§",$E203)))</f>
        <v/>
      </c>
      <c r="Y203" s="1"/>
      <c r="Z203" s="1"/>
      <c r="AA203" s="1"/>
      <c r="AB203" s="1"/>
      <c r="AC203" s="1"/>
      <c r="AD203" s="1"/>
    </row>
    <row r="204" customFormat="false" ht="30" hidden="false" customHeight="true" outlineLevel="0" collapsed="false">
      <c r="A204" s="1"/>
      <c r="B204" s="49" t="str">
        <f aca="false">IF($C204="","",ROW()-8)</f>
        <v/>
      </c>
      <c r="C204" s="35"/>
      <c r="D204" s="8"/>
      <c r="E204" s="26"/>
      <c r="F204" s="26"/>
      <c r="G204" s="50"/>
      <c r="H204" s="50"/>
      <c r="I204" s="30" t="str">
        <f aca="false">IF($C204="","",IFERROR(S204/T204,"—"))</f>
        <v/>
      </c>
      <c r="J204" s="30" t="str">
        <f aca="false">IF($C204="","",IFERROR(V204/W204,"—"))</f>
        <v/>
      </c>
      <c r="K204" s="41" t="str">
        <f aca="false">IF($C204="","",IFERROR(J204/I204-1,""))</f>
        <v/>
      </c>
      <c r="L204" s="41" t="str">
        <f aca="false">IF($C204="","",IFERROR((U204-S204)/S204,"—"))</f>
        <v/>
      </c>
      <c r="M204" s="41" t="str">
        <f aca="false">IF($C204="","",IFERROR((X204-V204)/V204,"—"))</f>
        <v/>
      </c>
      <c r="N204" s="39" t="str">
        <f aca="false">IF($C204="","",T204/$D$5)</f>
        <v/>
      </c>
      <c r="O204" s="39" t="str">
        <f aca="false">IF($C204="","",W204/$D$5)</f>
        <v/>
      </c>
      <c r="P204" s="51" t="str">
        <f aca="false">IF($C204="","",IF(MAX(Статистика!$B$7:$B$1006)&lt;$C204+$D$5,"Чекаємо даних",IF(S204=0,"Новий (без бази)",IF(OR(T204=0,W204=0),"Мало даних",IF(K204&lt;=-$F$5,"Покращило",IF(K204&gt;=$F$5,"Погіршило","Без змін"))))))</f>
        <v/>
      </c>
      <c r="Q204" s="50"/>
      <c r="R204" s="1"/>
      <c r="S204" s="52" t="str">
        <f aca="false">IF($C204="","",SUMIFS(Статистика!$E$7:$E$1006,Статистика!$B$7:$B$1006,"&gt;="&amp;($C204-$D$5),Статистика!$B$7:$B$1006,"&lt;="&amp;($C204-1),Статистика!$C$7:$C$1006,IF($D204="","&lt;&gt;§",$D204),Статистика!$D$7:$D$1006,IF($E204="","&lt;&gt;§",$E204)))</f>
        <v/>
      </c>
      <c r="T204" s="52" t="str">
        <f aca="false">IF($C204="","",SUMIFS(Статистика!$H$7:$H$1006,Статистика!$B$7:$B$1006,"&gt;="&amp;($C204-$D$5),Статистика!$B$7:$B$1006,"&lt;="&amp;($C204-1),Статистика!$C$7:$C$1006,IF($D204="","&lt;&gt;§",$D204),Статистика!$D$7:$D$1006,IF($E204="","&lt;&gt;§",$E204)))</f>
        <v/>
      </c>
      <c r="U204" s="52" t="str">
        <f aca="false">IF($C204="","",SUMIFS(Статистика!$T$7:$T$1006,Статистика!$B$7:$B$1006,"&gt;="&amp;($C204-$D$5),Статистика!$B$7:$B$1006,"&lt;="&amp;($C204-1),Статистика!$C$7:$C$1006,IF($D204="","&lt;&gt;§",$D204),Статистика!$D$7:$D$1006,IF($E204="","&lt;&gt;§",$E204)))</f>
        <v/>
      </c>
      <c r="V204" s="52" t="str">
        <f aca="false">IF($C204="","",SUMIFS(Статистика!$E$7:$E$1006,Статистика!$B$7:$B$1006,"&gt;="&amp;($C204+1),Статистика!$B$7:$B$1006,"&lt;="&amp;($C204+$D$5),Статистика!$C$7:$C$1006,IF($D204="","&lt;&gt;§",$D204),Статистика!$D$7:$D$1006,IF($E204="","&lt;&gt;§",$E204)))</f>
        <v/>
      </c>
      <c r="W204" s="52" t="str">
        <f aca="false">IF($C204="","",SUMIFS(Статистика!$H$7:$H$1006,Статистика!$B$7:$B$1006,"&gt;="&amp;($C204+1),Статистика!$B$7:$B$1006,"&lt;="&amp;($C204+$D$5),Статистика!$C$7:$C$1006,IF($D204="","&lt;&gt;§",$D204),Статистика!$D$7:$D$1006,IF($E204="","&lt;&gt;§",$E204)))</f>
        <v/>
      </c>
      <c r="X204" s="52" t="str">
        <f aca="false">IF($C204="","",SUMIFS(Статистика!$T$7:$T$1006,Статистика!$B$7:$B$1006,"&gt;="&amp;($C204+1),Статистика!$B$7:$B$1006,"&lt;="&amp;($C204+$D$5),Статистика!$C$7:$C$1006,IF($D204="","&lt;&gt;§",$D204),Статистика!$D$7:$D$1006,IF($E204="","&lt;&gt;§",$E204)))</f>
        <v/>
      </c>
      <c r="Y204" s="1"/>
      <c r="Z204" s="1"/>
      <c r="AA204" s="1"/>
      <c r="AB204" s="1"/>
      <c r="AC204" s="1"/>
      <c r="AD204" s="1"/>
    </row>
    <row r="205" customFormat="false" ht="30" hidden="false" customHeight="true" outlineLevel="0" collapsed="false">
      <c r="A205" s="1"/>
      <c r="B205" s="49" t="str">
        <f aca="false">IF($C205="","",ROW()-8)</f>
        <v/>
      </c>
      <c r="C205" s="35"/>
      <c r="D205" s="8"/>
      <c r="E205" s="26"/>
      <c r="F205" s="26"/>
      <c r="G205" s="50"/>
      <c r="H205" s="50"/>
      <c r="I205" s="30" t="str">
        <f aca="false">IF($C205="","",IFERROR(S205/T205,"—"))</f>
        <v/>
      </c>
      <c r="J205" s="30" t="str">
        <f aca="false">IF($C205="","",IFERROR(V205/W205,"—"))</f>
        <v/>
      </c>
      <c r="K205" s="41" t="str">
        <f aca="false">IF($C205="","",IFERROR(J205/I205-1,""))</f>
        <v/>
      </c>
      <c r="L205" s="41" t="str">
        <f aca="false">IF($C205="","",IFERROR((U205-S205)/S205,"—"))</f>
        <v/>
      </c>
      <c r="M205" s="41" t="str">
        <f aca="false">IF($C205="","",IFERROR((X205-V205)/V205,"—"))</f>
        <v/>
      </c>
      <c r="N205" s="39" t="str">
        <f aca="false">IF($C205="","",T205/$D$5)</f>
        <v/>
      </c>
      <c r="O205" s="39" t="str">
        <f aca="false">IF($C205="","",W205/$D$5)</f>
        <v/>
      </c>
      <c r="P205" s="51" t="str">
        <f aca="false">IF($C205="","",IF(MAX(Статистика!$B$7:$B$1006)&lt;$C205+$D$5,"Чекаємо даних",IF(S205=0,"Новий (без бази)",IF(OR(T205=0,W205=0),"Мало даних",IF(K205&lt;=-$F$5,"Покращило",IF(K205&gt;=$F$5,"Погіршило","Без змін"))))))</f>
        <v/>
      </c>
      <c r="Q205" s="50"/>
      <c r="R205" s="1"/>
      <c r="S205" s="52" t="str">
        <f aca="false">IF($C205="","",SUMIFS(Статистика!$E$7:$E$1006,Статистика!$B$7:$B$1006,"&gt;="&amp;($C205-$D$5),Статистика!$B$7:$B$1006,"&lt;="&amp;($C205-1),Статистика!$C$7:$C$1006,IF($D205="","&lt;&gt;§",$D205),Статистика!$D$7:$D$1006,IF($E205="","&lt;&gt;§",$E205)))</f>
        <v/>
      </c>
      <c r="T205" s="52" t="str">
        <f aca="false">IF($C205="","",SUMIFS(Статистика!$H$7:$H$1006,Статистика!$B$7:$B$1006,"&gt;="&amp;($C205-$D$5),Статистика!$B$7:$B$1006,"&lt;="&amp;($C205-1),Статистика!$C$7:$C$1006,IF($D205="","&lt;&gt;§",$D205),Статистика!$D$7:$D$1006,IF($E205="","&lt;&gt;§",$E205)))</f>
        <v/>
      </c>
      <c r="U205" s="52" t="str">
        <f aca="false">IF($C205="","",SUMIFS(Статистика!$T$7:$T$1006,Статистика!$B$7:$B$1006,"&gt;="&amp;($C205-$D$5),Статистика!$B$7:$B$1006,"&lt;="&amp;($C205-1),Статистика!$C$7:$C$1006,IF($D205="","&lt;&gt;§",$D205),Статистика!$D$7:$D$1006,IF($E205="","&lt;&gt;§",$E205)))</f>
        <v/>
      </c>
      <c r="V205" s="52" t="str">
        <f aca="false">IF($C205="","",SUMIFS(Статистика!$E$7:$E$1006,Статистика!$B$7:$B$1006,"&gt;="&amp;($C205+1),Статистика!$B$7:$B$1006,"&lt;="&amp;($C205+$D$5),Статистика!$C$7:$C$1006,IF($D205="","&lt;&gt;§",$D205),Статистика!$D$7:$D$1006,IF($E205="","&lt;&gt;§",$E205)))</f>
        <v/>
      </c>
      <c r="W205" s="52" t="str">
        <f aca="false">IF($C205="","",SUMIFS(Статистика!$H$7:$H$1006,Статистика!$B$7:$B$1006,"&gt;="&amp;($C205+1),Статистика!$B$7:$B$1006,"&lt;="&amp;($C205+$D$5),Статистика!$C$7:$C$1006,IF($D205="","&lt;&gt;§",$D205),Статистика!$D$7:$D$1006,IF($E205="","&lt;&gt;§",$E205)))</f>
        <v/>
      </c>
      <c r="X205" s="52" t="str">
        <f aca="false">IF($C205="","",SUMIFS(Статистика!$T$7:$T$1006,Статистика!$B$7:$B$1006,"&gt;="&amp;($C205+1),Статистика!$B$7:$B$1006,"&lt;="&amp;($C205+$D$5),Статистика!$C$7:$C$1006,IF($D205="","&lt;&gt;§",$D205),Статистика!$D$7:$D$1006,IF($E205="","&lt;&gt;§",$E205)))</f>
        <v/>
      </c>
      <c r="Y205" s="1"/>
      <c r="Z205" s="1"/>
      <c r="AA205" s="1"/>
      <c r="AB205" s="1"/>
      <c r="AC205" s="1"/>
      <c r="AD205" s="1"/>
    </row>
    <row r="206" customFormat="false" ht="30" hidden="false" customHeight="true" outlineLevel="0" collapsed="false">
      <c r="A206" s="1"/>
      <c r="B206" s="49" t="str">
        <f aca="false">IF($C206="","",ROW()-8)</f>
        <v/>
      </c>
      <c r="C206" s="35"/>
      <c r="D206" s="8"/>
      <c r="E206" s="26"/>
      <c r="F206" s="26"/>
      <c r="G206" s="50"/>
      <c r="H206" s="50"/>
      <c r="I206" s="30" t="str">
        <f aca="false">IF($C206="","",IFERROR(S206/T206,"—"))</f>
        <v/>
      </c>
      <c r="J206" s="30" t="str">
        <f aca="false">IF($C206="","",IFERROR(V206/W206,"—"))</f>
        <v/>
      </c>
      <c r="K206" s="41" t="str">
        <f aca="false">IF($C206="","",IFERROR(J206/I206-1,""))</f>
        <v/>
      </c>
      <c r="L206" s="41" t="str">
        <f aca="false">IF($C206="","",IFERROR((U206-S206)/S206,"—"))</f>
        <v/>
      </c>
      <c r="M206" s="41" t="str">
        <f aca="false">IF($C206="","",IFERROR((X206-V206)/V206,"—"))</f>
        <v/>
      </c>
      <c r="N206" s="39" t="str">
        <f aca="false">IF($C206="","",T206/$D$5)</f>
        <v/>
      </c>
      <c r="O206" s="39" t="str">
        <f aca="false">IF($C206="","",W206/$D$5)</f>
        <v/>
      </c>
      <c r="P206" s="51" t="str">
        <f aca="false">IF($C206="","",IF(MAX(Статистика!$B$7:$B$1006)&lt;$C206+$D$5,"Чекаємо даних",IF(S206=0,"Новий (без бази)",IF(OR(T206=0,W206=0),"Мало даних",IF(K206&lt;=-$F$5,"Покращило",IF(K206&gt;=$F$5,"Погіршило","Без змін"))))))</f>
        <v/>
      </c>
      <c r="Q206" s="50"/>
      <c r="R206" s="1"/>
      <c r="S206" s="52" t="str">
        <f aca="false">IF($C206="","",SUMIFS(Статистика!$E$7:$E$1006,Статистика!$B$7:$B$1006,"&gt;="&amp;($C206-$D$5),Статистика!$B$7:$B$1006,"&lt;="&amp;($C206-1),Статистика!$C$7:$C$1006,IF($D206="","&lt;&gt;§",$D206),Статистика!$D$7:$D$1006,IF($E206="","&lt;&gt;§",$E206)))</f>
        <v/>
      </c>
      <c r="T206" s="52" t="str">
        <f aca="false">IF($C206="","",SUMIFS(Статистика!$H$7:$H$1006,Статистика!$B$7:$B$1006,"&gt;="&amp;($C206-$D$5),Статистика!$B$7:$B$1006,"&lt;="&amp;($C206-1),Статистика!$C$7:$C$1006,IF($D206="","&lt;&gt;§",$D206),Статистика!$D$7:$D$1006,IF($E206="","&lt;&gt;§",$E206)))</f>
        <v/>
      </c>
      <c r="U206" s="52" t="str">
        <f aca="false">IF($C206="","",SUMIFS(Статистика!$T$7:$T$1006,Статистика!$B$7:$B$1006,"&gt;="&amp;($C206-$D$5),Статистика!$B$7:$B$1006,"&lt;="&amp;($C206-1),Статистика!$C$7:$C$1006,IF($D206="","&lt;&gt;§",$D206),Статистика!$D$7:$D$1006,IF($E206="","&lt;&gt;§",$E206)))</f>
        <v/>
      </c>
      <c r="V206" s="52" t="str">
        <f aca="false">IF($C206="","",SUMIFS(Статистика!$E$7:$E$1006,Статистика!$B$7:$B$1006,"&gt;="&amp;($C206+1),Статистика!$B$7:$B$1006,"&lt;="&amp;($C206+$D$5),Статистика!$C$7:$C$1006,IF($D206="","&lt;&gt;§",$D206),Статистика!$D$7:$D$1006,IF($E206="","&lt;&gt;§",$E206)))</f>
        <v/>
      </c>
      <c r="W206" s="52" t="str">
        <f aca="false">IF($C206="","",SUMIFS(Статистика!$H$7:$H$1006,Статистика!$B$7:$B$1006,"&gt;="&amp;($C206+1),Статистика!$B$7:$B$1006,"&lt;="&amp;($C206+$D$5),Статистика!$C$7:$C$1006,IF($D206="","&lt;&gt;§",$D206),Статистика!$D$7:$D$1006,IF($E206="","&lt;&gt;§",$E206)))</f>
        <v/>
      </c>
      <c r="X206" s="52" t="str">
        <f aca="false">IF($C206="","",SUMIFS(Статистика!$T$7:$T$1006,Статистика!$B$7:$B$1006,"&gt;="&amp;($C206+1),Статистика!$B$7:$B$1006,"&lt;="&amp;($C206+$D$5),Статистика!$C$7:$C$1006,IF($D206="","&lt;&gt;§",$D206),Статистика!$D$7:$D$1006,IF($E206="","&lt;&gt;§",$E206)))</f>
        <v/>
      </c>
      <c r="Y206" s="1"/>
      <c r="Z206" s="1"/>
      <c r="AA206" s="1"/>
      <c r="AB206" s="1"/>
      <c r="AC206" s="1"/>
      <c r="AD206" s="1"/>
    </row>
    <row r="207" customFormat="false" ht="30" hidden="false" customHeight="true" outlineLevel="0" collapsed="false">
      <c r="A207" s="1"/>
      <c r="B207" s="49" t="str">
        <f aca="false">IF($C207="","",ROW()-8)</f>
        <v/>
      </c>
      <c r="C207" s="35"/>
      <c r="D207" s="8"/>
      <c r="E207" s="26"/>
      <c r="F207" s="26"/>
      <c r="G207" s="50"/>
      <c r="H207" s="50"/>
      <c r="I207" s="30" t="str">
        <f aca="false">IF($C207="","",IFERROR(S207/T207,"—"))</f>
        <v/>
      </c>
      <c r="J207" s="30" t="str">
        <f aca="false">IF($C207="","",IFERROR(V207/W207,"—"))</f>
        <v/>
      </c>
      <c r="K207" s="41" t="str">
        <f aca="false">IF($C207="","",IFERROR(J207/I207-1,""))</f>
        <v/>
      </c>
      <c r="L207" s="41" t="str">
        <f aca="false">IF($C207="","",IFERROR((U207-S207)/S207,"—"))</f>
        <v/>
      </c>
      <c r="M207" s="41" t="str">
        <f aca="false">IF($C207="","",IFERROR((X207-V207)/V207,"—"))</f>
        <v/>
      </c>
      <c r="N207" s="39" t="str">
        <f aca="false">IF($C207="","",T207/$D$5)</f>
        <v/>
      </c>
      <c r="O207" s="39" t="str">
        <f aca="false">IF($C207="","",W207/$D$5)</f>
        <v/>
      </c>
      <c r="P207" s="51" t="str">
        <f aca="false">IF($C207="","",IF(MAX(Статистика!$B$7:$B$1006)&lt;$C207+$D$5,"Чекаємо даних",IF(S207=0,"Новий (без бази)",IF(OR(T207=0,W207=0),"Мало даних",IF(K207&lt;=-$F$5,"Покращило",IF(K207&gt;=$F$5,"Погіршило","Без змін"))))))</f>
        <v/>
      </c>
      <c r="Q207" s="50"/>
      <c r="R207" s="1"/>
      <c r="S207" s="52" t="str">
        <f aca="false">IF($C207="","",SUMIFS(Статистика!$E$7:$E$1006,Статистика!$B$7:$B$1006,"&gt;="&amp;($C207-$D$5),Статистика!$B$7:$B$1006,"&lt;="&amp;($C207-1),Статистика!$C$7:$C$1006,IF($D207="","&lt;&gt;§",$D207),Статистика!$D$7:$D$1006,IF($E207="","&lt;&gt;§",$E207)))</f>
        <v/>
      </c>
      <c r="T207" s="52" t="str">
        <f aca="false">IF($C207="","",SUMIFS(Статистика!$H$7:$H$1006,Статистика!$B$7:$B$1006,"&gt;="&amp;($C207-$D$5),Статистика!$B$7:$B$1006,"&lt;="&amp;($C207-1),Статистика!$C$7:$C$1006,IF($D207="","&lt;&gt;§",$D207),Статистика!$D$7:$D$1006,IF($E207="","&lt;&gt;§",$E207)))</f>
        <v/>
      </c>
      <c r="U207" s="52" t="str">
        <f aca="false">IF($C207="","",SUMIFS(Статистика!$T$7:$T$1006,Статистика!$B$7:$B$1006,"&gt;="&amp;($C207-$D$5),Статистика!$B$7:$B$1006,"&lt;="&amp;($C207-1),Статистика!$C$7:$C$1006,IF($D207="","&lt;&gt;§",$D207),Статистика!$D$7:$D$1006,IF($E207="","&lt;&gt;§",$E207)))</f>
        <v/>
      </c>
      <c r="V207" s="52" t="str">
        <f aca="false">IF($C207="","",SUMIFS(Статистика!$E$7:$E$1006,Статистика!$B$7:$B$1006,"&gt;="&amp;($C207+1),Статистика!$B$7:$B$1006,"&lt;="&amp;($C207+$D$5),Статистика!$C$7:$C$1006,IF($D207="","&lt;&gt;§",$D207),Статистика!$D$7:$D$1006,IF($E207="","&lt;&gt;§",$E207)))</f>
        <v/>
      </c>
      <c r="W207" s="52" t="str">
        <f aca="false">IF($C207="","",SUMIFS(Статистика!$H$7:$H$1006,Статистика!$B$7:$B$1006,"&gt;="&amp;($C207+1),Статистика!$B$7:$B$1006,"&lt;="&amp;($C207+$D$5),Статистика!$C$7:$C$1006,IF($D207="","&lt;&gt;§",$D207),Статистика!$D$7:$D$1006,IF($E207="","&lt;&gt;§",$E207)))</f>
        <v/>
      </c>
      <c r="X207" s="52" t="str">
        <f aca="false">IF($C207="","",SUMIFS(Статистика!$T$7:$T$1006,Статистика!$B$7:$B$1006,"&gt;="&amp;($C207+1),Статистика!$B$7:$B$1006,"&lt;="&amp;($C207+$D$5),Статистика!$C$7:$C$1006,IF($D207="","&lt;&gt;§",$D207),Статистика!$D$7:$D$1006,IF($E207="","&lt;&gt;§",$E207)))</f>
        <v/>
      </c>
      <c r="Y207" s="1"/>
      <c r="Z207" s="1"/>
      <c r="AA207" s="1"/>
      <c r="AB207" s="1"/>
      <c r="AC207" s="1"/>
      <c r="AD207" s="1"/>
    </row>
    <row r="208" customFormat="false" ht="30" hidden="false" customHeight="true" outlineLevel="0" collapsed="false">
      <c r="A208" s="1"/>
      <c r="B208" s="49" t="str">
        <f aca="false">IF($C208="","",ROW()-8)</f>
        <v/>
      </c>
      <c r="C208" s="35"/>
      <c r="D208" s="8"/>
      <c r="E208" s="26"/>
      <c r="F208" s="26"/>
      <c r="G208" s="50"/>
      <c r="H208" s="50"/>
      <c r="I208" s="30" t="str">
        <f aca="false">IF($C208="","",IFERROR(S208/T208,"—"))</f>
        <v/>
      </c>
      <c r="J208" s="30" t="str">
        <f aca="false">IF($C208="","",IFERROR(V208/W208,"—"))</f>
        <v/>
      </c>
      <c r="K208" s="41" t="str">
        <f aca="false">IF($C208="","",IFERROR(J208/I208-1,""))</f>
        <v/>
      </c>
      <c r="L208" s="41" t="str">
        <f aca="false">IF($C208="","",IFERROR((U208-S208)/S208,"—"))</f>
        <v/>
      </c>
      <c r="M208" s="41" t="str">
        <f aca="false">IF($C208="","",IFERROR((X208-V208)/V208,"—"))</f>
        <v/>
      </c>
      <c r="N208" s="39" t="str">
        <f aca="false">IF($C208="","",T208/$D$5)</f>
        <v/>
      </c>
      <c r="O208" s="39" t="str">
        <f aca="false">IF($C208="","",W208/$D$5)</f>
        <v/>
      </c>
      <c r="P208" s="51" t="str">
        <f aca="false">IF($C208="","",IF(MAX(Статистика!$B$7:$B$1006)&lt;$C208+$D$5,"Чекаємо даних",IF(S208=0,"Новий (без бази)",IF(OR(T208=0,W208=0),"Мало даних",IF(K208&lt;=-$F$5,"Покращило",IF(K208&gt;=$F$5,"Погіршило","Без змін"))))))</f>
        <v/>
      </c>
      <c r="Q208" s="50"/>
      <c r="R208" s="1"/>
      <c r="S208" s="52" t="str">
        <f aca="false">IF($C208="","",SUMIFS(Статистика!$E$7:$E$1006,Статистика!$B$7:$B$1006,"&gt;="&amp;($C208-$D$5),Статистика!$B$7:$B$1006,"&lt;="&amp;($C208-1),Статистика!$C$7:$C$1006,IF($D208="","&lt;&gt;§",$D208),Статистика!$D$7:$D$1006,IF($E208="","&lt;&gt;§",$E208)))</f>
        <v/>
      </c>
      <c r="T208" s="52" t="str">
        <f aca="false">IF($C208="","",SUMIFS(Статистика!$H$7:$H$1006,Статистика!$B$7:$B$1006,"&gt;="&amp;($C208-$D$5),Статистика!$B$7:$B$1006,"&lt;="&amp;($C208-1),Статистика!$C$7:$C$1006,IF($D208="","&lt;&gt;§",$D208),Статистика!$D$7:$D$1006,IF($E208="","&lt;&gt;§",$E208)))</f>
        <v/>
      </c>
      <c r="U208" s="52" t="str">
        <f aca="false">IF($C208="","",SUMIFS(Статистика!$T$7:$T$1006,Статистика!$B$7:$B$1006,"&gt;="&amp;($C208-$D$5),Статистика!$B$7:$B$1006,"&lt;="&amp;($C208-1),Статистика!$C$7:$C$1006,IF($D208="","&lt;&gt;§",$D208),Статистика!$D$7:$D$1006,IF($E208="","&lt;&gt;§",$E208)))</f>
        <v/>
      </c>
      <c r="V208" s="52" t="str">
        <f aca="false">IF($C208="","",SUMIFS(Статистика!$E$7:$E$1006,Статистика!$B$7:$B$1006,"&gt;="&amp;($C208+1),Статистика!$B$7:$B$1006,"&lt;="&amp;($C208+$D$5),Статистика!$C$7:$C$1006,IF($D208="","&lt;&gt;§",$D208),Статистика!$D$7:$D$1006,IF($E208="","&lt;&gt;§",$E208)))</f>
        <v/>
      </c>
      <c r="W208" s="52" t="str">
        <f aca="false">IF($C208="","",SUMIFS(Статистика!$H$7:$H$1006,Статистика!$B$7:$B$1006,"&gt;="&amp;($C208+1),Статистика!$B$7:$B$1006,"&lt;="&amp;($C208+$D$5),Статистика!$C$7:$C$1006,IF($D208="","&lt;&gt;§",$D208),Статистика!$D$7:$D$1006,IF($E208="","&lt;&gt;§",$E208)))</f>
        <v/>
      </c>
      <c r="X208" s="52" t="str">
        <f aca="false">IF($C208="","",SUMIFS(Статистика!$T$7:$T$1006,Статистика!$B$7:$B$1006,"&gt;="&amp;($C208+1),Статистика!$B$7:$B$1006,"&lt;="&amp;($C208+$D$5),Статистика!$C$7:$C$1006,IF($D208="","&lt;&gt;§",$D208),Статистика!$D$7:$D$1006,IF($E208="","&lt;&gt;§",$E208)))</f>
        <v/>
      </c>
      <c r="Y208" s="1"/>
      <c r="Z208" s="1"/>
      <c r="AA208" s="1"/>
      <c r="AB208" s="1"/>
      <c r="AC208" s="1"/>
      <c r="AD208" s="1"/>
    </row>
    <row r="209" customFormat="false" ht="30" hidden="false" customHeight="true" outlineLevel="0" collapsed="false">
      <c r="A209" s="1"/>
      <c r="B209" s="49" t="str">
        <f aca="false">IF($C209="","",ROW()-8)</f>
        <v/>
      </c>
      <c r="C209" s="35"/>
      <c r="D209" s="8"/>
      <c r="E209" s="26"/>
      <c r="F209" s="26"/>
      <c r="G209" s="50"/>
      <c r="H209" s="50"/>
      <c r="I209" s="30" t="str">
        <f aca="false">IF($C209="","",IFERROR(S209/T209,"—"))</f>
        <v/>
      </c>
      <c r="J209" s="30" t="str">
        <f aca="false">IF($C209="","",IFERROR(V209/W209,"—"))</f>
        <v/>
      </c>
      <c r="K209" s="41" t="str">
        <f aca="false">IF($C209="","",IFERROR(J209/I209-1,""))</f>
        <v/>
      </c>
      <c r="L209" s="41" t="str">
        <f aca="false">IF($C209="","",IFERROR((U209-S209)/S209,"—"))</f>
        <v/>
      </c>
      <c r="M209" s="41" t="str">
        <f aca="false">IF($C209="","",IFERROR((X209-V209)/V209,"—"))</f>
        <v/>
      </c>
      <c r="N209" s="39" t="str">
        <f aca="false">IF($C209="","",T209/$D$5)</f>
        <v/>
      </c>
      <c r="O209" s="39" t="str">
        <f aca="false">IF($C209="","",W209/$D$5)</f>
        <v/>
      </c>
      <c r="P209" s="51" t="str">
        <f aca="false">IF($C209="","",IF(MAX(Статистика!$B$7:$B$1006)&lt;$C209+$D$5,"Чекаємо даних",IF(S209=0,"Новий (без бази)",IF(OR(T209=0,W209=0),"Мало даних",IF(K209&lt;=-$F$5,"Покращило",IF(K209&gt;=$F$5,"Погіршило","Без змін"))))))</f>
        <v/>
      </c>
      <c r="Q209" s="50"/>
      <c r="R209" s="1"/>
      <c r="S209" s="52" t="str">
        <f aca="false">IF($C209="","",SUMIFS(Статистика!$E$7:$E$1006,Статистика!$B$7:$B$1006,"&gt;="&amp;($C209-$D$5),Статистика!$B$7:$B$1006,"&lt;="&amp;($C209-1),Статистика!$C$7:$C$1006,IF($D209="","&lt;&gt;§",$D209),Статистика!$D$7:$D$1006,IF($E209="","&lt;&gt;§",$E209)))</f>
        <v/>
      </c>
      <c r="T209" s="52" t="str">
        <f aca="false">IF($C209="","",SUMIFS(Статистика!$H$7:$H$1006,Статистика!$B$7:$B$1006,"&gt;="&amp;($C209-$D$5),Статистика!$B$7:$B$1006,"&lt;="&amp;($C209-1),Статистика!$C$7:$C$1006,IF($D209="","&lt;&gt;§",$D209),Статистика!$D$7:$D$1006,IF($E209="","&lt;&gt;§",$E209)))</f>
        <v/>
      </c>
      <c r="U209" s="52" t="str">
        <f aca="false">IF($C209="","",SUMIFS(Статистика!$T$7:$T$1006,Статистика!$B$7:$B$1006,"&gt;="&amp;($C209-$D$5),Статистика!$B$7:$B$1006,"&lt;="&amp;($C209-1),Статистика!$C$7:$C$1006,IF($D209="","&lt;&gt;§",$D209),Статистика!$D$7:$D$1006,IF($E209="","&lt;&gt;§",$E209)))</f>
        <v/>
      </c>
      <c r="V209" s="52" t="str">
        <f aca="false">IF($C209="","",SUMIFS(Статистика!$E$7:$E$1006,Статистика!$B$7:$B$1006,"&gt;="&amp;($C209+1),Статистика!$B$7:$B$1006,"&lt;="&amp;($C209+$D$5),Статистика!$C$7:$C$1006,IF($D209="","&lt;&gt;§",$D209),Статистика!$D$7:$D$1006,IF($E209="","&lt;&gt;§",$E209)))</f>
        <v/>
      </c>
      <c r="W209" s="52" t="str">
        <f aca="false">IF($C209="","",SUMIFS(Статистика!$H$7:$H$1006,Статистика!$B$7:$B$1006,"&gt;="&amp;($C209+1),Статистика!$B$7:$B$1006,"&lt;="&amp;($C209+$D$5),Статистика!$C$7:$C$1006,IF($D209="","&lt;&gt;§",$D209),Статистика!$D$7:$D$1006,IF($E209="","&lt;&gt;§",$E209)))</f>
        <v/>
      </c>
      <c r="X209" s="52" t="str">
        <f aca="false">IF($C209="","",SUMIFS(Статистика!$T$7:$T$1006,Статистика!$B$7:$B$1006,"&gt;="&amp;($C209+1),Статистика!$B$7:$B$1006,"&lt;="&amp;($C209+$D$5),Статистика!$C$7:$C$1006,IF($D209="","&lt;&gt;§",$D209),Статистика!$D$7:$D$1006,IF($E209="","&lt;&gt;§",$E209)))</f>
        <v/>
      </c>
      <c r="Y209" s="1"/>
      <c r="Z209" s="1"/>
      <c r="AA209" s="1"/>
      <c r="AB209" s="1"/>
      <c r="AC209" s="1"/>
      <c r="AD209" s="1"/>
    </row>
    <row r="210" customFormat="false" ht="30" hidden="false" customHeight="true" outlineLevel="0" collapsed="false">
      <c r="A210" s="1"/>
      <c r="B210" s="49" t="str">
        <f aca="false">IF($C210="","",ROW()-8)</f>
        <v/>
      </c>
      <c r="C210" s="35"/>
      <c r="D210" s="8"/>
      <c r="E210" s="26"/>
      <c r="F210" s="26"/>
      <c r="G210" s="50"/>
      <c r="H210" s="50"/>
      <c r="I210" s="30" t="str">
        <f aca="false">IF($C210="","",IFERROR(S210/T210,"—"))</f>
        <v/>
      </c>
      <c r="J210" s="30" t="str">
        <f aca="false">IF($C210="","",IFERROR(V210/W210,"—"))</f>
        <v/>
      </c>
      <c r="K210" s="41" t="str">
        <f aca="false">IF($C210="","",IFERROR(J210/I210-1,""))</f>
        <v/>
      </c>
      <c r="L210" s="41" t="str">
        <f aca="false">IF($C210="","",IFERROR((U210-S210)/S210,"—"))</f>
        <v/>
      </c>
      <c r="M210" s="41" t="str">
        <f aca="false">IF($C210="","",IFERROR((X210-V210)/V210,"—"))</f>
        <v/>
      </c>
      <c r="N210" s="39" t="str">
        <f aca="false">IF($C210="","",T210/$D$5)</f>
        <v/>
      </c>
      <c r="O210" s="39" t="str">
        <f aca="false">IF($C210="","",W210/$D$5)</f>
        <v/>
      </c>
      <c r="P210" s="51" t="str">
        <f aca="false">IF($C210="","",IF(MAX(Статистика!$B$7:$B$1006)&lt;$C210+$D$5,"Чекаємо даних",IF(S210=0,"Новий (без бази)",IF(OR(T210=0,W210=0),"Мало даних",IF(K210&lt;=-$F$5,"Покращило",IF(K210&gt;=$F$5,"Погіршило","Без змін"))))))</f>
        <v/>
      </c>
      <c r="Q210" s="50"/>
      <c r="R210" s="1"/>
      <c r="S210" s="52" t="str">
        <f aca="false">IF($C210="","",SUMIFS(Статистика!$E$7:$E$1006,Статистика!$B$7:$B$1006,"&gt;="&amp;($C210-$D$5),Статистика!$B$7:$B$1006,"&lt;="&amp;($C210-1),Статистика!$C$7:$C$1006,IF($D210="","&lt;&gt;§",$D210),Статистика!$D$7:$D$1006,IF($E210="","&lt;&gt;§",$E210)))</f>
        <v/>
      </c>
      <c r="T210" s="52" t="str">
        <f aca="false">IF($C210="","",SUMIFS(Статистика!$H$7:$H$1006,Статистика!$B$7:$B$1006,"&gt;="&amp;($C210-$D$5),Статистика!$B$7:$B$1006,"&lt;="&amp;($C210-1),Статистика!$C$7:$C$1006,IF($D210="","&lt;&gt;§",$D210),Статистика!$D$7:$D$1006,IF($E210="","&lt;&gt;§",$E210)))</f>
        <v/>
      </c>
      <c r="U210" s="52" t="str">
        <f aca="false">IF($C210="","",SUMIFS(Статистика!$T$7:$T$1006,Статистика!$B$7:$B$1006,"&gt;="&amp;($C210-$D$5),Статистика!$B$7:$B$1006,"&lt;="&amp;($C210-1),Статистика!$C$7:$C$1006,IF($D210="","&lt;&gt;§",$D210),Статистика!$D$7:$D$1006,IF($E210="","&lt;&gt;§",$E210)))</f>
        <v/>
      </c>
      <c r="V210" s="52" t="str">
        <f aca="false">IF($C210="","",SUMIFS(Статистика!$E$7:$E$1006,Статистика!$B$7:$B$1006,"&gt;="&amp;($C210+1),Статистика!$B$7:$B$1006,"&lt;="&amp;($C210+$D$5),Статистика!$C$7:$C$1006,IF($D210="","&lt;&gt;§",$D210),Статистика!$D$7:$D$1006,IF($E210="","&lt;&gt;§",$E210)))</f>
        <v/>
      </c>
      <c r="W210" s="52" t="str">
        <f aca="false">IF($C210="","",SUMIFS(Статистика!$H$7:$H$1006,Статистика!$B$7:$B$1006,"&gt;="&amp;($C210+1),Статистика!$B$7:$B$1006,"&lt;="&amp;($C210+$D$5),Статистика!$C$7:$C$1006,IF($D210="","&lt;&gt;§",$D210),Статистика!$D$7:$D$1006,IF($E210="","&lt;&gt;§",$E210)))</f>
        <v/>
      </c>
      <c r="X210" s="52" t="str">
        <f aca="false">IF($C210="","",SUMIFS(Статистика!$T$7:$T$1006,Статистика!$B$7:$B$1006,"&gt;="&amp;($C210+1),Статистика!$B$7:$B$1006,"&lt;="&amp;($C210+$D$5),Статистика!$C$7:$C$1006,IF($D210="","&lt;&gt;§",$D210),Статистика!$D$7:$D$1006,IF($E210="","&lt;&gt;§",$E210)))</f>
        <v/>
      </c>
      <c r="Y210" s="1"/>
      <c r="Z210" s="1"/>
      <c r="AA210" s="1"/>
      <c r="AB210" s="1"/>
      <c r="AC210" s="1"/>
      <c r="AD210" s="1"/>
    </row>
    <row r="211" customFormat="false" ht="30" hidden="false" customHeight="true" outlineLevel="0" collapsed="false">
      <c r="A211" s="1"/>
      <c r="B211" s="49" t="str">
        <f aca="false">IF($C211="","",ROW()-8)</f>
        <v/>
      </c>
      <c r="C211" s="35"/>
      <c r="D211" s="8"/>
      <c r="E211" s="26"/>
      <c r="F211" s="26"/>
      <c r="G211" s="50"/>
      <c r="H211" s="50"/>
      <c r="I211" s="30" t="str">
        <f aca="false">IF($C211="","",IFERROR(S211/T211,"—"))</f>
        <v/>
      </c>
      <c r="J211" s="30" t="str">
        <f aca="false">IF($C211="","",IFERROR(V211/W211,"—"))</f>
        <v/>
      </c>
      <c r="K211" s="41" t="str">
        <f aca="false">IF($C211="","",IFERROR(J211/I211-1,""))</f>
        <v/>
      </c>
      <c r="L211" s="41" t="str">
        <f aca="false">IF($C211="","",IFERROR((U211-S211)/S211,"—"))</f>
        <v/>
      </c>
      <c r="M211" s="41" t="str">
        <f aca="false">IF($C211="","",IFERROR((X211-V211)/V211,"—"))</f>
        <v/>
      </c>
      <c r="N211" s="39" t="str">
        <f aca="false">IF($C211="","",T211/$D$5)</f>
        <v/>
      </c>
      <c r="O211" s="39" t="str">
        <f aca="false">IF($C211="","",W211/$D$5)</f>
        <v/>
      </c>
      <c r="P211" s="51" t="str">
        <f aca="false">IF($C211="","",IF(MAX(Статистика!$B$7:$B$1006)&lt;$C211+$D$5,"Чекаємо даних",IF(S211=0,"Новий (без бази)",IF(OR(T211=0,W211=0),"Мало даних",IF(K211&lt;=-$F$5,"Покращило",IF(K211&gt;=$F$5,"Погіршило","Без змін"))))))</f>
        <v/>
      </c>
      <c r="Q211" s="50"/>
      <c r="R211" s="1"/>
      <c r="S211" s="52" t="str">
        <f aca="false">IF($C211="","",SUMIFS(Статистика!$E$7:$E$1006,Статистика!$B$7:$B$1006,"&gt;="&amp;($C211-$D$5),Статистика!$B$7:$B$1006,"&lt;="&amp;($C211-1),Статистика!$C$7:$C$1006,IF($D211="","&lt;&gt;§",$D211),Статистика!$D$7:$D$1006,IF($E211="","&lt;&gt;§",$E211)))</f>
        <v/>
      </c>
      <c r="T211" s="52" t="str">
        <f aca="false">IF($C211="","",SUMIFS(Статистика!$H$7:$H$1006,Статистика!$B$7:$B$1006,"&gt;="&amp;($C211-$D$5),Статистика!$B$7:$B$1006,"&lt;="&amp;($C211-1),Статистика!$C$7:$C$1006,IF($D211="","&lt;&gt;§",$D211),Статистика!$D$7:$D$1006,IF($E211="","&lt;&gt;§",$E211)))</f>
        <v/>
      </c>
      <c r="U211" s="52" t="str">
        <f aca="false">IF($C211="","",SUMIFS(Статистика!$T$7:$T$1006,Статистика!$B$7:$B$1006,"&gt;="&amp;($C211-$D$5),Статистика!$B$7:$B$1006,"&lt;="&amp;($C211-1),Статистика!$C$7:$C$1006,IF($D211="","&lt;&gt;§",$D211),Статистика!$D$7:$D$1006,IF($E211="","&lt;&gt;§",$E211)))</f>
        <v/>
      </c>
      <c r="V211" s="52" t="str">
        <f aca="false">IF($C211="","",SUMIFS(Статистика!$E$7:$E$1006,Статистика!$B$7:$B$1006,"&gt;="&amp;($C211+1),Статистика!$B$7:$B$1006,"&lt;="&amp;($C211+$D$5),Статистика!$C$7:$C$1006,IF($D211="","&lt;&gt;§",$D211),Статистика!$D$7:$D$1006,IF($E211="","&lt;&gt;§",$E211)))</f>
        <v/>
      </c>
      <c r="W211" s="52" t="str">
        <f aca="false">IF($C211="","",SUMIFS(Статистика!$H$7:$H$1006,Статистика!$B$7:$B$1006,"&gt;="&amp;($C211+1),Статистика!$B$7:$B$1006,"&lt;="&amp;($C211+$D$5),Статистика!$C$7:$C$1006,IF($D211="","&lt;&gt;§",$D211),Статистика!$D$7:$D$1006,IF($E211="","&lt;&gt;§",$E211)))</f>
        <v/>
      </c>
      <c r="X211" s="52" t="str">
        <f aca="false">IF($C211="","",SUMIFS(Статистика!$T$7:$T$1006,Статистика!$B$7:$B$1006,"&gt;="&amp;($C211+1),Статистика!$B$7:$B$1006,"&lt;="&amp;($C211+$D$5),Статистика!$C$7:$C$1006,IF($D211="","&lt;&gt;§",$D211),Статистика!$D$7:$D$1006,IF($E211="","&lt;&gt;§",$E211)))</f>
        <v/>
      </c>
      <c r="Y211" s="1"/>
      <c r="Z211" s="1"/>
      <c r="AA211" s="1"/>
      <c r="AB211" s="1"/>
      <c r="AC211" s="1"/>
      <c r="AD211" s="1"/>
    </row>
    <row r="212" customFormat="false" ht="30" hidden="false" customHeight="true" outlineLevel="0" collapsed="false">
      <c r="A212" s="1"/>
      <c r="B212" s="49" t="str">
        <f aca="false">IF($C212="","",ROW()-8)</f>
        <v/>
      </c>
      <c r="C212" s="35"/>
      <c r="D212" s="8"/>
      <c r="E212" s="26"/>
      <c r="F212" s="26"/>
      <c r="G212" s="50"/>
      <c r="H212" s="50"/>
      <c r="I212" s="30" t="str">
        <f aca="false">IF($C212="","",IFERROR(S212/T212,"—"))</f>
        <v/>
      </c>
      <c r="J212" s="30" t="str">
        <f aca="false">IF($C212="","",IFERROR(V212/W212,"—"))</f>
        <v/>
      </c>
      <c r="K212" s="41" t="str">
        <f aca="false">IF($C212="","",IFERROR(J212/I212-1,""))</f>
        <v/>
      </c>
      <c r="L212" s="41" t="str">
        <f aca="false">IF($C212="","",IFERROR((U212-S212)/S212,"—"))</f>
        <v/>
      </c>
      <c r="M212" s="41" t="str">
        <f aca="false">IF($C212="","",IFERROR((X212-V212)/V212,"—"))</f>
        <v/>
      </c>
      <c r="N212" s="39" t="str">
        <f aca="false">IF($C212="","",T212/$D$5)</f>
        <v/>
      </c>
      <c r="O212" s="39" t="str">
        <f aca="false">IF($C212="","",W212/$D$5)</f>
        <v/>
      </c>
      <c r="P212" s="51" t="str">
        <f aca="false">IF($C212="","",IF(MAX(Статистика!$B$7:$B$1006)&lt;$C212+$D$5,"Чекаємо даних",IF(S212=0,"Новий (без бази)",IF(OR(T212=0,W212=0),"Мало даних",IF(K212&lt;=-$F$5,"Покращило",IF(K212&gt;=$F$5,"Погіршило","Без змін"))))))</f>
        <v/>
      </c>
      <c r="Q212" s="50"/>
      <c r="R212" s="1"/>
      <c r="S212" s="52" t="str">
        <f aca="false">IF($C212="","",SUMIFS(Статистика!$E$7:$E$1006,Статистика!$B$7:$B$1006,"&gt;="&amp;($C212-$D$5),Статистика!$B$7:$B$1006,"&lt;="&amp;($C212-1),Статистика!$C$7:$C$1006,IF($D212="","&lt;&gt;§",$D212),Статистика!$D$7:$D$1006,IF($E212="","&lt;&gt;§",$E212)))</f>
        <v/>
      </c>
      <c r="T212" s="52" t="str">
        <f aca="false">IF($C212="","",SUMIFS(Статистика!$H$7:$H$1006,Статистика!$B$7:$B$1006,"&gt;="&amp;($C212-$D$5),Статистика!$B$7:$B$1006,"&lt;="&amp;($C212-1),Статистика!$C$7:$C$1006,IF($D212="","&lt;&gt;§",$D212),Статистика!$D$7:$D$1006,IF($E212="","&lt;&gt;§",$E212)))</f>
        <v/>
      </c>
      <c r="U212" s="52" t="str">
        <f aca="false">IF($C212="","",SUMIFS(Статистика!$T$7:$T$1006,Статистика!$B$7:$B$1006,"&gt;="&amp;($C212-$D$5),Статистика!$B$7:$B$1006,"&lt;="&amp;($C212-1),Статистика!$C$7:$C$1006,IF($D212="","&lt;&gt;§",$D212),Статистика!$D$7:$D$1006,IF($E212="","&lt;&gt;§",$E212)))</f>
        <v/>
      </c>
      <c r="V212" s="52" t="str">
        <f aca="false">IF($C212="","",SUMIFS(Статистика!$E$7:$E$1006,Статистика!$B$7:$B$1006,"&gt;="&amp;($C212+1),Статистика!$B$7:$B$1006,"&lt;="&amp;($C212+$D$5),Статистика!$C$7:$C$1006,IF($D212="","&lt;&gt;§",$D212),Статистика!$D$7:$D$1006,IF($E212="","&lt;&gt;§",$E212)))</f>
        <v/>
      </c>
      <c r="W212" s="52" t="str">
        <f aca="false">IF($C212="","",SUMIFS(Статистика!$H$7:$H$1006,Статистика!$B$7:$B$1006,"&gt;="&amp;($C212+1),Статистика!$B$7:$B$1006,"&lt;="&amp;($C212+$D$5),Статистика!$C$7:$C$1006,IF($D212="","&lt;&gt;§",$D212),Статистика!$D$7:$D$1006,IF($E212="","&lt;&gt;§",$E212)))</f>
        <v/>
      </c>
      <c r="X212" s="52" t="str">
        <f aca="false">IF($C212="","",SUMIFS(Статистика!$T$7:$T$1006,Статистика!$B$7:$B$1006,"&gt;="&amp;($C212+1),Статистика!$B$7:$B$1006,"&lt;="&amp;($C212+$D$5),Статистика!$C$7:$C$1006,IF($D212="","&lt;&gt;§",$D212),Статистика!$D$7:$D$1006,IF($E212="","&lt;&gt;§",$E212)))</f>
        <v/>
      </c>
      <c r="Y212" s="1"/>
      <c r="Z212" s="1"/>
      <c r="AA212" s="1"/>
      <c r="AB212" s="1"/>
      <c r="AC212" s="1"/>
      <c r="AD212" s="1"/>
    </row>
    <row r="213" customFormat="false" ht="30" hidden="false" customHeight="true" outlineLevel="0" collapsed="false">
      <c r="A213" s="1"/>
      <c r="B213" s="49" t="str">
        <f aca="false">IF($C213="","",ROW()-8)</f>
        <v/>
      </c>
      <c r="C213" s="35"/>
      <c r="D213" s="8"/>
      <c r="E213" s="26"/>
      <c r="F213" s="26"/>
      <c r="G213" s="50"/>
      <c r="H213" s="50"/>
      <c r="I213" s="30" t="str">
        <f aca="false">IF($C213="","",IFERROR(S213/T213,"—"))</f>
        <v/>
      </c>
      <c r="J213" s="30" t="str">
        <f aca="false">IF($C213="","",IFERROR(V213/W213,"—"))</f>
        <v/>
      </c>
      <c r="K213" s="41" t="str">
        <f aca="false">IF($C213="","",IFERROR(J213/I213-1,""))</f>
        <v/>
      </c>
      <c r="L213" s="41" t="str">
        <f aca="false">IF($C213="","",IFERROR((U213-S213)/S213,"—"))</f>
        <v/>
      </c>
      <c r="M213" s="41" t="str">
        <f aca="false">IF($C213="","",IFERROR((X213-V213)/V213,"—"))</f>
        <v/>
      </c>
      <c r="N213" s="39" t="str">
        <f aca="false">IF($C213="","",T213/$D$5)</f>
        <v/>
      </c>
      <c r="O213" s="39" t="str">
        <f aca="false">IF($C213="","",W213/$D$5)</f>
        <v/>
      </c>
      <c r="P213" s="51" t="str">
        <f aca="false">IF($C213="","",IF(MAX(Статистика!$B$7:$B$1006)&lt;$C213+$D$5,"Чекаємо даних",IF(S213=0,"Новий (без бази)",IF(OR(T213=0,W213=0),"Мало даних",IF(K213&lt;=-$F$5,"Покращило",IF(K213&gt;=$F$5,"Погіршило","Без змін"))))))</f>
        <v/>
      </c>
      <c r="Q213" s="50"/>
      <c r="R213" s="1"/>
      <c r="S213" s="52" t="str">
        <f aca="false">IF($C213="","",SUMIFS(Статистика!$E$7:$E$1006,Статистика!$B$7:$B$1006,"&gt;="&amp;($C213-$D$5),Статистика!$B$7:$B$1006,"&lt;="&amp;($C213-1),Статистика!$C$7:$C$1006,IF($D213="","&lt;&gt;§",$D213),Статистика!$D$7:$D$1006,IF($E213="","&lt;&gt;§",$E213)))</f>
        <v/>
      </c>
      <c r="T213" s="52" t="str">
        <f aca="false">IF($C213="","",SUMIFS(Статистика!$H$7:$H$1006,Статистика!$B$7:$B$1006,"&gt;="&amp;($C213-$D$5),Статистика!$B$7:$B$1006,"&lt;="&amp;($C213-1),Статистика!$C$7:$C$1006,IF($D213="","&lt;&gt;§",$D213),Статистика!$D$7:$D$1006,IF($E213="","&lt;&gt;§",$E213)))</f>
        <v/>
      </c>
      <c r="U213" s="52" t="str">
        <f aca="false">IF($C213="","",SUMIFS(Статистика!$T$7:$T$1006,Статистика!$B$7:$B$1006,"&gt;="&amp;($C213-$D$5),Статистика!$B$7:$B$1006,"&lt;="&amp;($C213-1),Статистика!$C$7:$C$1006,IF($D213="","&lt;&gt;§",$D213),Статистика!$D$7:$D$1006,IF($E213="","&lt;&gt;§",$E213)))</f>
        <v/>
      </c>
      <c r="V213" s="52" t="str">
        <f aca="false">IF($C213="","",SUMIFS(Статистика!$E$7:$E$1006,Статистика!$B$7:$B$1006,"&gt;="&amp;($C213+1),Статистика!$B$7:$B$1006,"&lt;="&amp;($C213+$D$5),Статистика!$C$7:$C$1006,IF($D213="","&lt;&gt;§",$D213),Статистика!$D$7:$D$1006,IF($E213="","&lt;&gt;§",$E213)))</f>
        <v/>
      </c>
      <c r="W213" s="52" t="str">
        <f aca="false">IF($C213="","",SUMIFS(Статистика!$H$7:$H$1006,Статистика!$B$7:$B$1006,"&gt;="&amp;($C213+1),Статистика!$B$7:$B$1006,"&lt;="&amp;($C213+$D$5),Статистика!$C$7:$C$1006,IF($D213="","&lt;&gt;§",$D213),Статистика!$D$7:$D$1006,IF($E213="","&lt;&gt;§",$E213)))</f>
        <v/>
      </c>
      <c r="X213" s="52" t="str">
        <f aca="false">IF($C213="","",SUMIFS(Статистика!$T$7:$T$1006,Статистика!$B$7:$B$1006,"&gt;="&amp;($C213+1),Статистика!$B$7:$B$1006,"&lt;="&amp;($C213+$D$5),Статистика!$C$7:$C$1006,IF($D213="","&lt;&gt;§",$D213),Статистика!$D$7:$D$1006,IF($E213="","&lt;&gt;§",$E213)))</f>
        <v/>
      </c>
      <c r="Y213" s="1"/>
      <c r="Z213" s="1"/>
      <c r="AA213" s="1"/>
      <c r="AB213" s="1"/>
      <c r="AC213" s="1"/>
      <c r="AD213" s="1"/>
    </row>
    <row r="214" customFormat="false" ht="30" hidden="false" customHeight="true" outlineLevel="0" collapsed="false">
      <c r="A214" s="1"/>
      <c r="B214" s="49" t="str">
        <f aca="false">IF($C214="","",ROW()-8)</f>
        <v/>
      </c>
      <c r="C214" s="35"/>
      <c r="D214" s="8"/>
      <c r="E214" s="26"/>
      <c r="F214" s="26"/>
      <c r="G214" s="50"/>
      <c r="H214" s="50"/>
      <c r="I214" s="30" t="str">
        <f aca="false">IF($C214="","",IFERROR(S214/T214,"—"))</f>
        <v/>
      </c>
      <c r="J214" s="30" t="str">
        <f aca="false">IF($C214="","",IFERROR(V214/W214,"—"))</f>
        <v/>
      </c>
      <c r="K214" s="41" t="str">
        <f aca="false">IF($C214="","",IFERROR(J214/I214-1,""))</f>
        <v/>
      </c>
      <c r="L214" s="41" t="str">
        <f aca="false">IF($C214="","",IFERROR((U214-S214)/S214,"—"))</f>
        <v/>
      </c>
      <c r="M214" s="41" t="str">
        <f aca="false">IF($C214="","",IFERROR((X214-V214)/V214,"—"))</f>
        <v/>
      </c>
      <c r="N214" s="39" t="str">
        <f aca="false">IF($C214="","",T214/$D$5)</f>
        <v/>
      </c>
      <c r="O214" s="39" t="str">
        <f aca="false">IF($C214="","",W214/$D$5)</f>
        <v/>
      </c>
      <c r="P214" s="51" t="str">
        <f aca="false">IF($C214="","",IF(MAX(Статистика!$B$7:$B$1006)&lt;$C214+$D$5,"Чекаємо даних",IF(S214=0,"Новий (без бази)",IF(OR(T214=0,W214=0),"Мало даних",IF(K214&lt;=-$F$5,"Покращило",IF(K214&gt;=$F$5,"Погіршило","Без змін"))))))</f>
        <v/>
      </c>
      <c r="Q214" s="50"/>
      <c r="R214" s="1"/>
      <c r="S214" s="52" t="str">
        <f aca="false">IF($C214="","",SUMIFS(Статистика!$E$7:$E$1006,Статистика!$B$7:$B$1006,"&gt;="&amp;($C214-$D$5),Статистика!$B$7:$B$1006,"&lt;="&amp;($C214-1),Статистика!$C$7:$C$1006,IF($D214="","&lt;&gt;§",$D214),Статистика!$D$7:$D$1006,IF($E214="","&lt;&gt;§",$E214)))</f>
        <v/>
      </c>
      <c r="T214" s="52" t="str">
        <f aca="false">IF($C214="","",SUMIFS(Статистика!$H$7:$H$1006,Статистика!$B$7:$B$1006,"&gt;="&amp;($C214-$D$5),Статистика!$B$7:$B$1006,"&lt;="&amp;($C214-1),Статистика!$C$7:$C$1006,IF($D214="","&lt;&gt;§",$D214),Статистика!$D$7:$D$1006,IF($E214="","&lt;&gt;§",$E214)))</f>
        <v/>
      </c>
      <c r="U214" s="52" t="str">
        <f aca="false">IF($C214="","",SUMIFS(Статистика!$T$7:$T$1006,Статистика!$B$7:$B$1006,"&gt;="&amp;($C214-$D$5),Статистика!$B$7:$B$1006,"&lt;="&amp;($C214-1),Статистика!$C$7:$C$1006,IF($D214="","&lt;&gt;§",$D214),Статистика!$D$7:$D$1006,IF($E214="","&lt;&gt;§",$E214)))</f>
        <v/>
      </c>
      <c r="V214" s="52" t="str">
        <f aca="false">IF($C214="","",SUMIFS(Статистика!$E$7:$E$1006,Статистика!$B$7:$B$1006,"&gt;="&amp;($C214+1),Статистика!$B$7:$B$1006,"&lt;="&amp;($C214+$D$5),Статистика!$C$7:$C$1006,IF($D214="","&lt;&gt;§",$D214),Статистика!$D$7:$D$1006,IF($E214="","&lt;&gt;§",$E214)))</f>
        <v/>
      </c>
      <c r="W214" s="52" t="str">
        <f aca="false">IF($C214="","",SUMIFS(Статистика!$H$7:$H$1006,Статистика!$B$7:$B$1006,"&gt;="&amp;($C214+1),Статистика!$B$7:$B$1006,"&lt;="&amp;($C214+$D$5),Статистика!$C$7:$C$1006,IF($D214="","&lt;&gt;§",$D214),Статистика!$D$7:$D$1006,IF($E214="","&lt;&gt;§",$E214)))</f>
        <v/>
      </c>
      <c r="X214" s="52" t="str">
        <f aca="false">IF($C214="","",SUMIFS(Статистика!$T$7:$T$1006,Статистика!$B$7:$B$1006,"&gt;="&amp;($C214+1),Статистика!$B$7:$B$1006,"&lt;="&amp;($C214+$D$5),Статистика!$C$7:$C$1006,IF($D214="","&lt;&gt;§",$D214),Статистика!$D$7:$D$1006,IF($E214="","&lt;&gt;§",$E214)))</f>
        <v/>
      </c>
      <c r="Y214" s="1"/>
      <c r="Z214" s="1"/>
      <c r="AA214" s="1"/>
      <c r="AB214" s="1"/>
      <c r="AC214" s="1"/>
      <c r="AD214" s="1"/>
    </row>
    <row r="215" customFormat="false" ht="30" hidden="false" customHeight="true" outlineLevel="0" collapsed="false">
      <c r="A215" s="1"/>
      <c r="B215" s="49" t="str">
        <f aca="false">IF($C215="","",ROW()-8)</f>
        <v/>
      </c>
      <c r="C215" s="35"/>
      <c r="D215" s="8"/>
      <c r="E215" s="26"/>
      <c r="F215" s="26"/>
      <c r="G215" s="50"/>
      <c r="H215" s="50"/>
      <c r="I215" s="30" t="str">
        <f aca="false">IF($C215="","",IFERROR(S215/T215,"—"))</f>
        <v/>
      </c>
      <c r="J215" s="30" t="str">
        <f aca="false">IF($C215="","",IFERROR(V215/W215,"—"))</f>
        <v/>
      </c>
      <c r="K215" s="41" t="str">
        <f aca="false">IF($C215="","",IFERROR(J215/I215-1,""))</f>
        <v/>
      </c>
      <c r="L215" s="41" t="str">
        <f aca="false">IF($C215="","",IFERROR((U215-S215)/S215,"—"))</f>
        <v/>
      </c>
      <c r="M215" s="41" t="str">
        <f aca="false">IF($C215="","",IFERROR((X215-V215)/V215,"—"))</f>
        <v/>
      </c>
      <c r="N215" s="39" t="str">
        <f aca="false">IF($C215="","",T215/$D$5)</f>
        <v/>
      </c>
      <c r="O215" s="39" t="str">
        <f aca="false">IF($C215="","",W215/$D$5)</f>
        <v/>
      </c>
      <c r="P215" s="51" t="str">
        <f aca="false">IF($C215="","",IF(MAX(Статистика!$B$7:$B$1006)&lt;$C215+$D$5,"Чекаємо даних",IF(S215=0,"Новий (без бази)",IF(OR(T215=0,W215=0),"Мало даних",IF(K215&lt;=-$F$5,"Покращило",IF(K215&gt;=$F$5,"Погіршило","Без змін"))))))</f>
        <v/>
      </c>
      <c r="Q215" s="50"/>
      <c r="R215" s="1"/>
      <c r="S215" s="52" t="str">
        <f aca="false">IF($C215="","",SUMIFS(Статистика!$E$7:$E$1006,Статистика!$B$7:$B$1006,"&gt;="&amp;($C215-$D$5),Статистика!$B$7:$B$1006,"&lt;="&amp;($C215-1),Статистика!$C$7:$C$1006,IF($D215="","&lt;&gt;§",$D215),Статистика!$D$7:$D$1006,IF($E215="","&lt;&gt;§",$E215)))</f>
        <v/>
      </c>
      <c r="T215" s="52" t="str">
        <f aca="false">IF($C215="","",SUMIFS(Статистика!$H$7:$H$1006,Статистика!$B$7:$B$1006,"&gt;="&amp;($C215-$D$5),Статистика!$B$7:$B$1006,"&lt;="&amp;($C215-1),Статистика!$C$7:$C$1006,IF($D215="","&lt;&gt;§",$D215),Статистика!$D$7:$D$1006,IF($E215="","&lt;&gt;§",$E215)))</f>
        <v/>
      </c>
      <c r="U215" s="52" t="str">
        <f aca="false">IF($C215="","",SUMIFS(Статистика!$T$7:$T$1006,Статистика!$B$7:$B$1006,"&gt;="&amp;($C215-$D$5),Статистика!$B$7:$B$1006,"&lt;="&amp;($C215-1),Статистика!$C$7:$C$1006,IF($D215="","&lt;&gt;§",$D215),Статистика!$D$7:$D$1006,IF($E215="","&lt;&gt;§",$E215)))</f>
        <v/>
      </c>
      <c r="V215" s="52" t="str">
        <f aca="false">IF($C215="","",SUMIFS(Статистика!$E$7:$E$1006,Статистика!$B$7:$B$1006,"&gt;="&amp;($C215+1),Статистика!$B$7:$B$1006,"&lt;="&amp;($C215+$D$5),Статистика!$C$7:$C$1006,IF($D215="","&lt;&gt;§",$D215),Статистика!$D$7:$D$1006,IF($E215="","&lt;&gt;§",$E215)))</f>
        <v/>
      </c>
      <c r="W215" s="52" t="str">
        <f aca="false">IF($C215="","",SUMIFS(Статистика!$H$7:$H$1006,Статистика!$B$7:$B$1006,"&gt;="&amp;($C215+1),Статистика!$B$7:$B$1006,"&lt;="&amp;($C215+$D$5),Статистика!$C$7:$C$1006,IF($D215="","&lt;&gt;§",$D215),Статистика!$D$7:$D$1006,IF($E215="","&lt;&gt;§",$E215)))</f>
        <v/>
      </c>
      <c r="X215" s="52" t="str">
        <f aca="false">IF($C215="","",SUMIFS(Статистика!$T$7:$T$1006,Статистика!$B$7:$B$1006,"&gt;="&amp;($C215+1),Статистика!$B$7:$B$1006,"&lt;="&amp;($C215+$D$5),Статистика!$C$7:$C$1006,IF($D215="","&lt;&gt;§",$D215),Статистика!$D$7:$D$1006,IF($E215="","&lt;&gt;§",$E215)))</f>
        <v/>
      </c>
      <c r="Y215" s="1"/>
      <c r="Z215" s="1"/>
      <c r="AA215" s="1"/>
      <c r="AB215" s="1"/>
      <c r="AC215" s="1"/>
      <c r="AD215" s="1"/>
    </row>
    <row r="216" customFormat="false" ht="30" hidden="false" customHeight="true" outlineLevel="0" collapsed="false">
      <c r="A216" s="1"/>
      <c r="B216" s="49" t="str">
        <f aca="false">IF($C216="","",ROW()-8)</f>
        <v/>
      </c>
      <c r="C216" s="35"/>
      <c r="D216" s="8"/>
      <c r="E216" s="26"/>
      <c r="F216" s="26"/>
      <c r="G216" s="50"/>
      <c r="H216" s="50"/>
      <c r="I216" s="30" t="str">
        <f aca="false">IF($C216="","",IFERROR(S216/T216,"—"))</f>
        <v/>
      </c>
      <c r="J216" s="30" t="str">
        <f aca="false">IF($C216="","",IFERROR(V216/W216,"—"))</f>
        <v/>
      </c>
      <c r="K216" s="41" t="str">
        <f aca="false">IF($C216="","",IFERROR(J216/I216-1,""))</f>
        <v/>
      </c>
      <c r="L216" s="41" t="str">
        <f aca="false">IF($C216="","",IFERROR((U216-S216)/S216,"—"))</f>
        <v/>
      </c>
      <c r="M216" s="41" t="str">
        <f aca="false">IF($C216="","",IFERROR((X216-V216)/V216,"—"))</f>
        <v/>
      </c>
      <c r="N216" s="39" t="str">
        <f aca="false">IF($C216="","",T216/$D$5)</f>
        <v/>
      </c>
      <c r="O216" s="39" t="str">
        <f aca="false">IF($C216="","",W216/$D$5)</f>
        <v/>
      </c>
      <c r="P216" s="51" t="str">
        <f aca="false">IF($C216="","",IF(MAX(Статистика!$B$7:$B$1006)&lt;$C216+$D$5,"Чекаємо даних",IF(S216=0,"Новий (без бази)",IF(OR(T216=0,W216=0),"Мало даних",IF(K216&lt;=-$F$5,"Покращило",IF(K216&gt;=$F$5,"Погіршило","Без змін"))))))</f>
        <v/>
      </c>
      <c r="Q216" s="50"/>
      <c r="R216" s="1"/>
      <c r="S216" s="52" t="str">
        <f aca="false">IF($C216="","",SUMIFS(Статистика!$E$7:$E$1006,Статистика!$B$7:$B$1006,"&gt;="&amp;($C216-$D$5),Статистика!$B$7:$B$1006,"&lt;="&amp;($C216-1),Статистика!$C$7:$C$1006,IF($D216="","&lt;&gt;§",$D216),Статистика!$D$7:$D$1006,IF($E216="","&lt;&gt;§",$E216)))</f>
        <v/>
      </c>
      <c r="T216" s="52" t="str">
        <f aca="false">IF($C216="","",SUMIFS(Статистика!$H$7:$H$1006,Статистика!$B$7:$B$1006,"&gt;="&amp;($C216-$D$5),Статистика!$B$7:$B$1006,"&lt;="&amp;($C216-1),Статистика!$C$7:$C$1006,IF($D216="","&lt;&gt;§",$D216),Статистика!$D$7:$D$1006,IF($E216="","&lt;&gt;§",$E216)))</f>
        <v/>
      </c>
      <c r="U216" s="52" t="str">
        <f aca="false">IF($C216="","",SUMIFS(Статистика!$T$7:$T$1006,Статистика!$B$7:$B$1006,"&gt;="&amp;($C216-$D$5),Статистика!$B$7:$B$1006,"&lt;="&amp;($C216-1),Статистика!$C$7:$C$1006,IF($D216="","&lt;&gt;§",$D216),Статистика!$D$7:$D$1006,IF($E216="","&lt;&gt;§",$E216)))</f>
        <v/>
      </c>
      <c r="V216" s="52" t="str">
        <f aca="false">IF($C216="","",SUMIFS(Статистика!$E$7:$E$1006,Статистика!$B$7:$B$1006,"&gt;="&amp;($C216+1),Статистика!$B$7:$B$1006,"&lt;="&amp;($C216+$D$5),Статистика!$C$7:$C$1006,IF($D216="","&lt;&gt;§",$D216),Статистика!$D$7:$D$1006,IF($E216="","&lt;&gt;§",$E216)))</f>
        <v/>
      </c>
      <c r="W216" s="52" t="str">
        <f aca="false">IF($C216="","",SUMIFS(Статистика!$H$7:$H$1006,Статистика!$B$7:$B$1006,"&gt;="&amp;($C216+1),Статистика!$B$7:$B$1006,"&lt;="&amp;($C216+$D$5),Статистика!$C$7:$C$1006,IF($D216="","&lt;&gt;§",$D216),Статистика!$D$7:$D$1006,IF($E216="","&lt;&gt;§",$E216)))</f>
        <v/>
      </c>
      <c r="X216" s="52" t="str">
        <f aca="false">IF($C216="","",SUMIFS(Статистика!$T$7:$T$1006,Статистика!$B$7:$B$1006,"&gt;="&amp;($C216+1),Статистика!$B$7:$B$1006,"&lt;="&amp;($C216+$D$5),Статистика!$C$7:$C$1006,IF($D216="","&lt;&gt;§",$D216),Статистика!$D$7:$D$1006,IF($E216="","&lt;&gt;§",$E216)))</f>
        <v/>
      </c>
      <c r="Y216" s="1"/>
      <c r="Z216" s="1"/>
      <c r="AA216" s="1"/>
      <c r="AB216" s="1"/>
      <c r="AC216" s="1"/>
      <c r="AD216" s="1"/>
    </row>
    <row r="217" customFormat="false" ht="30" hidden="false" customHeight="true" outlineLevel="0" collapsed="false">
      <c r="A217" s="1"/>
      <c r="B217" s="49" t="str">
        <f aca="false">IF($C217="","",ROW()-8)</f>
        <v/>
      </c>
      <c r="C217" s="35"/>
      <c r="D217" s="8"/>
      <c r="E217" s="26"/>
      <c r="F217" s="26"/>
      <c r="G217" s="50"/>
      <c r="H217" s="50"/>
      <c r="I217" s="30" t="str">
        <f aca="false">IF($C217="","",IFERROR(S217/T217,"—"))</f>
        <v/>
      </c>
      <c r="J217" s="30" t="str">
        <f aca="false">IF($C217="","",IFERROR(V217/W217,"—"))</f>
        <v/>
      </c>
      <c r="K217" s="41" t="str">
        <f aca="false">IF($C217="","",IFERROR(J217/I217-1,""))</f>
        <v/>
      </c>
      <c r="L217" s="41" t="str">
        <f aca="false">IF($C217="","",IFERROR((U217-S217)/S217,"—"))</f>
        <v/>
      </c>
      <c r="M217" s="41" t="str">
        <f aca="false">IF($C217="","",IFERROR((X217-V217)/V217,"—"))</f>
        <v/>
      </c>
      <c r="N217" s="39" t="str">
        <f aca="false">IF($C217="","",T217/$D$5)</f>
        <v/>
      </c>
      <c r="O217" s="39" t="str">
        <f aca="false">IF($C217="","",W217/$D$5)</f>
        <v/>
      </c>
      <c r="P217" s="51" t="str">
        <f aca="false">IF($C217="","",IF(MAX(Статистика!$B$7:$B$1006)&lt;$C217+$D$5,"Чекаємо даних",IF(S217=0,"Новий (без бази)",IF(OR(T217=0,W217=0),"Мало даних",IF(K217&lt;=-$F$5,"Покращило",IF(K217&gt;=$F$5,"Погіршило","Без змін"))))))</f>
        <v/>
      </c>
      <c r="Q217" s="50"/>
      <c r="R217" s="1"/>
      <c r="S217" s="52" t="str">
        <f aca="false">IF($C217="","",SUMIFS(Статистика!$E$7:$E$1006,Статистика!$B$7:$B$1006,"&gt;="&amp;($C217-$D$5),Статистика!$B$7:$B$1006,"&lt;="&amp;($C217-1),Статистика!$C$7:$C$1006,IF($D217="","&lt;&gt;§",$D217),Статистика!$D$7:$D$1006,IF($E217="","&lt;&gt;§",$E217)))</f>
        <v/>
      </c>
      <c r="T217" s="52" t="str">
        <f aca="false">IF($C217="","",SUMIFS(Статистика!$H$7:$H$1006,Статистика!$B$7:$B$1006,"&gt;="&amp;($C217-$D$5),Статистика!$B$7:$B$1006,"&lt;="&amp;($C217-1),Статистика!$C$7:$C$1006,IF($D217="","&lt;&gt;§",$D217),Статистика!$D$7:$D$1006,IF($E217="","&lt;&gt;§",$E217)))</f>
        <v/>
      </c>
      <c r="U217" s="52" t="str">
        <f aca="false">IF($C217="","",SUMIFS(Статистика!$T$7:$T$1006,Статистика!$B$7:$B$1006,"&gt;="&amp;($C217-$D$5),Статистика!$B$7:$B$1006,"&lt;="&amp;($C217-1),Статистика!$C$7:$C$1006,IF($D217="","&lt;&gt;§",$D217),Статистика!$D$7:$D$1006,IF($E217="","&lt;&gt;§",$E217)))</f>
        <v/>
      </c>
      <c r="V217" s="52" t="str">
        <f aca="false">IF($C217="","",SUMIFS(Статистика!$E$7:$E$1006,Статистика!$B$7:$B$1006,"&gt;="&amp;($C217+1),Статистика!$B$7:$B$1006,"&lt;="&amp;($C217+$D$5),Статистика!$C$7:$C$1006,IF($D217="","&lt;&gt;§",$D217),Статистика!$D$7:$D$1006,IF($E217="","&lt;&gt;§",$E217)))</f>
        <v/>
      </c>
      <c r="W217" s="52" t="str">
        <f aca="false">IF($C217="","",SUMIFS(Статистика!$H$7:$H$1006,Статистика!$B$7:$B$1006,"&gt;="&amp;($C217+1),Статистика!$B$7:$B$1006,"&lt;="&amp;($C217+$D$5),Статистика!$C$7:$C$1006,IF($D217="","&lt;&gt;§",$D217),Статистика!$D$7:$D$1006,IF($E217="","&lt;&gt;§",$E217)))</f>
        <v/>
      </c>
      <c r="X217" s="52" t="str">
        <f aca="false">IF($C217="","",SUMIFS(Статистика!$T$7:$T$1006,Статистика!$B$7:$B$1006,"&gt;="&amp;($C217+1),Статистика!$B$7:$B$1006,"&lt;="&amp;($C217+$D$5),Статистика!$C$7:$C$1006,IF($D217="","&lt;&gt;§",$D217),Статистика!$D$7:$D$1006,IF($E217="","&lt;&gt;§",$E217)))</f>
        <v/>
      </c>
      <c r="Y217" s="1"/>
      <c r="Z217" s="1"/>
      <c r="AA217" s="1"/>
      <c r="AB217" s="1"/>
      <c r="AC217" s="1"/>
      <c r="AD217" s="1"/>
    </row>
    <row r="218" customFormat="false" ht="30" hidden="false" customHeight="true" outlineLevel="0" collapsed="false">
      <c r="A218" s="1"/>
      <c r="B218" s="49" t="str">
        <f aca="false">IF($C218="","",ROW()-8)</f>
        <v/>
      </c>
      <c r="C218" s="35"/>
      <c r="D218" s="8"/>
      <c r="E218" s="26"/>
      <c r="F218" s="26"/>
      <c r="G218" s="50"/>
      <c r="H218" s="50"/>
      <c r="I218" s="30" t="str">
        <f aca="false">IF($C218="","",IFERROR(S218/T218,"—"))</f>
        <v/>
      </c>
      <c r="J218" s="30" t="str">
        <f aca="false">IF($C218="","",IFERROR(V218/W218,"—"))</f>
        <v/>
      </c>
      <c r="K218" s="41" t="str">
        <f aca="false">IF($C218="","",IFERROR(J218/I218-1,""))</f>
        <v/>
      </c>
      <c r="L218" s="41" t="str">
        <f aca="false">IF($C218="","",IFERROR((U218-S218)/S218,"—"))</f>
        <v/>
      </c>
      <c r="M218" s="41" t="str">
        <f aca="false">IF($C218="","",IFERROR((X218-V218)/V218,"—"))</f>
        <v/>
      </c>
      <c r="N218" s="39" t="str">
        <f aca="false">IF($C218="","",T218/$D$5)</f>
        <v/>
      </c>
      <c r="O218" s="39" t="str">
        <f aca="false">IF($C218="","",W218/$D$5)</f>
        <v/>
      </c>
      <c r="P218" s="51" t="str">
        <f aca="false">IF($C218="","",IF(MAX(Статистика!$B$7:$B$1006)&lt;$C218+$D$5,"Чекаємо даних",IF(S218=0,"Новий (без бази)",IF(OR(T218=0,W218=0),"Мало даних",IF(K218&lt;=-$F$5,"Покращило",IF(K218&gt;=$F$5,"Погіршило","Без змін"))))))</f>
        <v/>
      </c>
      <c r="Q218" s="50"/>
      <c r="R218" s="1"/>
      <c r="S218" s="52" t="str">
        <f aca="false">IF($C218="","",SUMIFS(Статистика!$E$7:$E$1006,Статистика!$B$7:$B$1006,"&gt;="&amp;($C218-$D$5),Статистика!$B$7:$B$1006,"&lt;="&amp;($C218-1),Статистика!$C$7:$C$1006,IF($D218="","&lt;&gt;§",$D218),Статистика!$D$7:$D$1006,IF($E218="","&lt;&gt;§",$E218)))</f>
        <v/>
      </c>
      <c r="T218" s="52" t="str">
        <f aca="false">IF($C218="","",SUMIFS(Статистика!$H$7:$H$1006,Статистика!$B$7:$B$1006,"&gt;="&amp;($C218-$D$5),Статистика!$B$7:$B$1006,"&lt;="&amp;($C218-1),Статистика!$C$7:$C$1006,IF($D218="","&lt;&gt;§",$D218),Статистика!$D$7:$D$1006,IF($E218="","&lt;&gt;§",$E218)))</f>
        <v/>
      </c>
      <c r="U218" s="52" t="str">
        <f aca="false">IF($C218="","",SUMIFS(Статистика!$T$7:$T$1006,Статистика!$B$7:$B$1006,"&gt;="&amp;($C218-$D$5),Статистика!$B$7:$B$1006,"&lt;="&amp;($C218-1),Статистика!$C$7:$C$1006,IF($D218="","&lt;&gt;§",$D218),Статистика!$D$7:$D$1006,IF($E218="","&lt;&gt;§",$E218)))</f>
        <v/>
      </c>
      <c r="V218" s="52" t="str">
        <f aca="false">IF($C218="","",SUMIFS(Статистика!$E$7:$E$1006,Статистика!$B$7:$B$1006,"&gt;="&amp;($C218+1),Статистика!$B$7:$B$1006,"&lt;="&amp;($C218+$D$5),Статистика!$C$7:$C$1006,IF($D218="","&lt;&gt;§",$D218),Статистика!$D$7:$D$1006,IF($E218="","&lt;&gt;§",$E218)))</f>
        <v/>
      </c>
      <c r="W218" s="52" t="str">
        <f aca="false">IF($C218="","",SUMIFS(Статистика!$H$7:$H$1006,Статистика!$B$7:$B$1006,"&gt;="&amp;($C218+1),Статистика!$B$7:$B$1006,"&lt;="&amp;($C218+$D$5),Статистика!$C$7:$C$1006,IF($D218="","&lt;&gt;§",$D218),Статистика!$D$7:$D$1006,IF($E218="","&lt;&gt;§",$E218)))</f>
        <v/>
      </c>
      <c r="X218" s="52" t="str">
        <f aca="false">IF($C218="","",SUMIFS(Статистика!$T$7:$T$1006,Статистика!$B$7:$B$1006,"&gt;="&amp;($C218+1),Статистика!$B$7:$B$1006,"&lt;="&amp;($C218+$D$5),Статистика!$C$7:$C$1006,IF($D218="","&lt;&gt;§",$D218),Статистика!$D$7:$D$1006,IF($E218="","&lt;&gt;§",$E218)))</f>
        <v/>
      </c>
      <c r="Y218" s="1"/>
      <c r="Z218" s="1"/>
      <c r="AA218" s="1"/>
      <c r="AB218" s="1"/>
      <c r="AC218" s="1"/>
      <c r="AD218" s="1"/>
    </row>
    <row r="219" customFormat="false" ht="30" hidden="false" customHeight="true" outlineLevel="0" collapsed="false">
      <c r="A219" s="1"/>
      <c r="B219" s="49" t="str">
        <f aca="false">IF($C219="","",ROW()-8)</f>
        <v/>
      </c>
      <c r="C219" s="35"/>
      <c r="D219" s="8"/>
      <c r="E219" s="26"/>
      <c r="F219" s="26"/>
      <c r="G219" s="50"/>
      <c r="H219" s="50"/>
      <c r="I219" s="30" t="str">
        <f aca="false">IF($C219="","",IFERROR(S219/T219,"—"))</f>
        <v/>
      </c>
      <c r="J219" s="30" t="str">
        <f aca="false">IF($C219="","",IFERROR(V219/W219,"—"))</f>
        <v/>
      </c>
      <c r="K219" s="41" t="str">
        <f aca="false">IF($C219="","",IFERROR(J219/I219-1,""))</f>
        <v/>
      </c>
      <c r="L219" s="41" t="str">
        <f aca="false">IF($C219="","",IFERROR((U219-S219)/S219,"—"))</f>
        <v/>
      </c>
      <c r="M219" s="41" t="str">
        <f aca="false">IF($C219="","",IFERROR((X219-V219)/V219,"—"))</f>
        <v/>
      </c>
      <c r="N219" s="39" t="str">
        <f aca="false">IF($C219="","",T219/$D$5)</f>
        <v/>
      </c>
      <c r="O219" s="39" t="str">
        <f aca="false">IF($C219="","",W219/$D$5)</f>
        <v/>
      </c>
      <c r="P219" s="51" t="str">
        <f aca="false">IF($C219="","",IF(MAX(Статистика!$B$7:$B$1006)&lt;$C219+$D$5,"Чекаємо даних",IF(S219=0,"Новий (без бази)",IF(OR(T219=0,W219=0),"Мало даних",IF(K219&lt;=-$F$5,"Покращило",IF(K219&gt;=$F$5,"Погіршило","Без змін"))))))</f>
        <v/>
      </c>
      <c r="Q219" s="50"/>
      <c r="R219" s="1"/>
      <c r="S219" s="52" t="str">
        <f aca="false">IF($C219="","",SUMIFS(Статистика!$E$7:$E$1006,Статистика!$B$7:$B$1006,"&gt;="&amp;($C219-$D$5),Статистика!$B$7:$B$1006,"&lt;="&amp;($C219-1),Статистика!$C$7:$C$1006,IF($D219="","&lt;&gt;§",$D219),Статистика!$D$7:$D$1006,IF($E219="","&lt;&gt;§",$E219)))</f>
        <v/>
      </c>
      <c r="T219" s="52" t="str">
        <f aca="false">IF($C219="","",SUMIFS(Статистика!$H$7:$H$1006,Статистика!$B$7:$B$1006,"&gt;="&amp;($C219-$D$5),Статистика!$B$7:$B$1006,"&lt;="&amp;($C219-1),Статистика!$C$7:$C$1006,IF($D219="","&lt;&gt;§",$D219),Статистика!$D$7:$D$1006,IF($E219="","&lt;&gt;§",$E219)))</f>
        <v/>
      </c>
      <c r="U219" s="52" t="str">
        <f aca="false">IF($C219="","",SUMIFS(Статистика!$T$7:$T$1006,Статистика!$B$7:$B$1006,"&gt;="&amp;($C219-$D$5),Статистика!$B$7:$B$1006,"&lt;="&amp;($C219-1),Статистика!$C$7:$C$1006,IF($D219="","&lt;&gt;§",$D219),Статистика!$D$7:$D$1006,IF($E219="","&lt;&gt;§",$E219)))</f>
        <v/>
      </c>
      <c r="V219" s="52" t="str">
        <f aca="false">IF($C219="","",SUMIFS(Статистика!$E$7:$E$1006,Статистика!$B$7:$B$1006,"&gt;="&amp;($C219+1),Статистика!$B$7:$B$1006,"&lt;="&amp;($C219+$D$5),Статистика!$C$7:$C$1006,IF($D219="","&lt;&gt;§",$D219),Статистика!$D$7:$D$1006,IF($E219="","&lt;&gt;§",$E219)))</f>
        <v/>
      </c>
      <c r="W219" s="52" t="str">
        <f aca="false">IF($C219="","",SUMIFS(Статистика!$H$7:$H$1006,Статистика!$B$7:$B$1006,"&gt;="&amp;($C219+1),Статистика!$B$7:$B$1006,"&lt;="&amp;($C219+$D$5),Статистика!$C$7:$C$1006,IF($D219="","&lt;&gt;§",$D219),Статистика!$D$7:$D$1006,IF($E219="","&lt;&gt;§",$E219)))</f>
        <v/>
      </c>
      <c r="X219" s="52" t="str">
        <f aca="false">IF($C219="","",SUMIFS(Статистика!$T$7:$T$1006,Статистика!$B$7:$B$1006,"&gt;="&amp;($C219+1),Статистика!$B$7:$B$1006,"&lt;="&amp;($C219+$D$5),Статистика!$C$7:$C$1006,IF($D219="","&lt;&gt;§",$D219),Статистика!$D$7:$D$1006,IF($E219="","&lt;&gt;§",$E219)))</f>
        <v/>
      </c>
      <c r="Y219" s="1"/>
      <c r="Z219" s="1"/>
      <c r="AA219" s="1"/>
      <c r="AB219" s="1"/>
      <c r="AC219" s="1"/>
      <c r="AD219" s="1"/>
    </row>
    <row r="220" customFormat="false" ht="30" hidden="false" customHeight="true" outlineLevel="0" collapsed="false">
      <c r="A220" s="1"/>
      <c r="B220" s="49" t="str">
        <f aca="false">IF($C220="","",ROW()-8)</f>
        <v/>
      </c>
      <c r="C220" s="35"/>
      <c r="D220" s="8"/>
      <c r="E220" s="26"/>
      <c r="F220" s="26"/>
      <c r="G220" s="50"/>
      <c r="H220" s="50"/>
      <c r="I220" s="30" t="str">
        <f aca="false">IF($C220="","",IFERROR(S220/T220,"—"))</f>
        <v/>
      </c>
      <c r="J220" s="30" t="str">
        <f aca="false">IF($C220="","",IFERROR(V220/W220,"—"))</f>
        <v/>
      </c>
      <c r="K220" s="41" t="str">
        <f aca="false">IF($C220="","",IFERROR(J220/I220-1,""))</f>
        <v/>
      </c>
      <c r="L220" s="41" t="str">
        <f aca="false">IF($C220="","",IFERROR((U220-S220)/S220,"—"))</f>
        <v/>
      </c>
      <c r="M220" s="41" t="str">
        <f aca="false">IF($C220="","",IFERROR((X220-V220)/V220,"—"))</f>
        <v/>
      </c>
      <c r="N220" s="39" t="str">
        <f aca="false">IF($C220="","",T220/$D$5)</f>
        <v/>
      </c>
      <c r="O220" s="39" t="str">
        <f aca="false">IF($C220="","",W220/$D$5)</f>
        <v/>
      </c>
      <c r="P220" s="51" t="str">
        <f aca="false">IF($C220="","",IF(MAX(Статистика!$B$7:$B$1006)&lt;$C220+$D$5,"Чекаємо даних",IF(S220=0,"Новий (без бази)",IF(OR(T220=0,W220=0),"Мало даних",IF(K220&lt;=-$F$5,"Покращило",IF(K220&gt;=$F$5,"Погіршило","Без змін"))))))</f>
        <v/>
      </c>
      <c r="Q220" s="50"/>
      <c r="R220" s="1"/>
      <c r="S220" s="52" t="str">
        <f aca="false">IF($C220="","",SUMIFS(Статистика!$E$7:$E$1006,Статистика!$B$7:$B$1006,"&gt;="&amp;($C220-$D$5),Статистика!$B$7:$B$1006,"&lt;="&amp;($C220-1),Статистика!$C$7:$C$1006,IF($D220="","&lt;&gt;§",$D220),Статистика!$D$7:$D$1006,IF($E220="","&lt;&gt;§",$E220)))</f>
        <v/>
      </c>
      <c r="T220" s="52" t="str">
        <f aca="false">IF($C220="","",SUMIFS(Статистика!$H$7:$H$1006,Статистика!$B$7:$B$1006,"&gt;="&amp;($C220-$D$5),Статистика!$B$7:$B$1006,"&lt;="&amp;($C220-1),Статистика!$C$7:$C$1006,IF($D220="","&lt;&gt;§",$D220),Статистика!$D$7:$D$1006,IF($E220="","&lt;&gt;§",$E220)))</f>
        <v/>
      </c>
      <c r="U220" s="52" t="str">
        <f aca="false">IF($C220="","",SUMIFS(Статистика!$T$7:$T$1006,Статистика!$B$7:$B$1006,"&gt;="&amp;($C220-$D$5),Статистика!$B$7:$B$1006,"&lt;="&amp;($C220-1),Статистика!$C$7:$C$1006,IF($D220="","&lt;&gt;§",$D220),Статистика!$D$7:$D$1006,IF($E220="","&lt;&gt;§",$E220)))</f>
        <v/>
      </c>
      <c r="V220" s="52" t="str">
        <f aca="false">IF($C220="","",SUMIFS(Статистика!$E$7:$E$1006,Статистика!$B$7:$B$1006,"&gt;="&amp;($C220+1),Статистика!$B$7:$B$1006,"&lt;="&amp;($C220+$D$5),Статистика!$C$7:$C$1006,IF($D220="","&lt;&gt;§",$D220),Статистика!$D$7:$D$1006,IF($E220="","&lt;&gt;§",$E220)))</f>
        <v/>
      </c>
      <c r="W220" s="52" t="str">
        <f aca="false">IF($C220="","",SUMIFS(Статистика!$H$7:$H$1006,Статистика!$B$7:$B$1006,"&gt;="&amp;($C220+1),Статистика!$B$7:$B$1006,"&lt;="&amp;($C220+$D$5),Статистика!$C$7:$C$1006,IF($D220="","&lt;&gt;§",$D220),Статистика!$D$7:$D$1006,IF($E220="","&lt;&gt;§",$E220)))</f>
        <v/>
      </c>
      <c r="X220" s="52" t="str">
        <f aca="false">IF($C220="","",SUMIFS(Статистика!$T$7:$T$1006,Статистика!$B$7:$B$1006,"&gt;="&amp;($C220+1),Статистика!$B$7:$B$1006,"&lt;="&amp;($C220+$D$5),Статистика!$C$7:$C$1006,IF($D220="","&lt;&gt;§",$D220),Статистика!$D$7:$D$1006,IF($E220="","&lt;&gt;§",$E220)))</f>
        <v/>
      </c>
      <c r="Y220" s="1"/>
      <c r="Z220" s="1"/>
      <c r="AA220" s="1"/>
      <c r="AB220" s="1"/>
      <c r="AC220" s="1"/>
      <c r="AD220" s="1"/>
    </row>
    <row r="221" customFormat="false" ht="30" hidden="false" customHeight="true" outlineLevel="0" collapsed="false">
      <c r="A221" s="1"/>
      <c r="B221" s="49" t="str">
        <f aca="false">IF($C221="","",ROW()-8)</f>
        <v/>
      </c>
      <c r="C221" s="35"/>
      <c r="D221" s="8"/>
      <c r="E221" s="26"/>
      <c r="F221" s="26"/>
      <c r="G221" s="50"/>
      <c r="H221" s="50"/>
      <c r="I221" s="30" t="str">
        <f aca="false">IF($C221="","",IFERROR(S221/T221,"—"))</f>
        <v/>
      </c>
      <c r="J221" s="30" t="str">
        <f aca="false">IF($C221="","",IFERROR(V221/W221,"—"))</f>
        <v/>
      </c>
      <c r="K221" s="41" t="str">
        <f aca="false">IF($C221="","",IFERROR(J221/I221-1,""))</f>
        <v/>
      </c>
      <c r="L221" s="41" t="str">
        <f aca="false">IF($C221="","",IFERROR((U221-S221)/S221,"—"))</f>
        <v/>
      </c>
      <c r="M221" s="41" t="str">
        <f aca="false">IF($C221="","",IFERROR((X221-V221)/V221,"—"))</f>
        <v/>
      </c>
      <c r="N221" s="39" t="str">
        <f aca="false">IF($C221="","",T221/$D$5)</f>
        <v/>
      </c>
      <c r="O221" s="39" t="str">
        <f aca="false">IF($C221="","",W221/$D$5)</f>
        <v/>
      </c>
      <c r="P221" s="51" t="str">
        <f aca="false">IF($C221="","",IF(MAX(Статистика!$B$7:$B$1006)&lt;$C221+$D$5,"Чекаємо даних",IF(S221=0,"Новий (без бази)",IF(OR(T221=0,W221=0),"Мало даних",IF(K221&lt;=-$F$5,"Покращило",IF(K221&gt;=$F$5,"Погіршило","Без змін"))))))</f>
        <v/>
      </c>
      <c r="Q221" s="50"/>
      <c r="R221" s="1"/>
      <c r="S221" s="52" t="str">
        <f aca="false">IF($C221="","",SUMIFS(Статистика!$E$7:$E$1006,Статистика!$B$7:$B$1006,"&gt;="&amp;($C221-$D$5),Статистика!$B$7:$B$1006,"&lt;="&amp;($C221-1),Статистика!$C$7:$C$1006,IF($D221="","&lt;&gt;§",$D221),Статистика!$D$7:$D$1006,IF($E221="","&lt;&gt;§",$E221)))</f>
        <v/>
      </c>
      <c r="T221" s="52" t="str">
        <f aca="false">IF($C221="","",SUMIFS(Статистика!$H$7:$H$1006,Статистика!$B$7:$B$1006,"&gt;="&amp;($C221-$D$5),Статистика!$B$7:$B$1006,"&lt;="&amp;($C221-1),Статистика!$C$7:$C$1006,IF($D221="","&lt;&gt;§",$D221),Статистика!$D$7:$D$1006,IF($E221="","&lt;&gt;§",$E221)))</f>
        <v/>
      </c>
      <c r="U221" s="52" t="str">
        <f aca="false">IF($C221="","",SUMIFS(Статистика!$T$7:$T$1006,Статистика!$B$7:$B$1006,"&gt;="&amp;($C221-$D$5),Статистика!$B$7:$B$1006,"&lt;="&amp;($C221-1),Статистика!$C$7:$C$1006,IF($D221="","&lt;&gt;§",$D221),Статистика!$D$7:$D$1006,IF($E221="","&lt;&gt;§",$E221)))</f>
        <v/>
      </c>
      <c r="V221" s="52" t="str">
        <f aca="false">IF($C221="","",SUMIFS(Статистика!$E$7:$E$1006,Статистика!$B$7:$B$1006,"&gt;="&amp;($C221+1),Статистика!$B$7:$B$1006,"&lt;="&amp;($C221+$D$5),Статистика!$C$7:$C$1006,IF($D221="","&lt;&gt;§",$D221),Статистика!$D$7:$D$1006,IF($E221="","&lt;&gt;§",$E221)))</f>
        <v/>
      </c>
      <c r="W221" s="52" t="str">
        <f aca="false">IF($C221="","",SUMIFS(Статистика!$H$7:$H$1006,Статистика!$B$7:$B$1006,"&gt;="&amp;($C221+1),Статистика!$B$7:$B$1006,"&lt;="&amp;($C221+$D$5),Статистика!$C$7:$C$1006,IF($D221="","&lt;&gt;§",$D221),Статистика!$D$7:$D$1006,IF($E221="","&lt;&gt;§",$E221)))</f>
        <v/>
      </c>
      <c r="X221" s="52" t="str">
        <f aca="false">IF($C221="","",SUMIFS(Статистика!$T$7:$T$1006,Статистика!$B$7:$B$1006,"&gt;="&amp;($C221+1),Статистика!$B$7:$B$1006,"&lt;="&amp;($C221+$D$5),Статистика!$C$7:$C$1006,IF($D221="","&lt;&gt;§",$D221),Статистика!$D$7:$D$1006,IF($E221="","&lt;&gt;§",$E221)))</f>
        <v/>
      </c>
      <c r="Y221" s="1"/>
      <c r="Z221" s="1"/>
      <c r="AA221" s="1"/>
      <c r="AB221" s="1"/>
      <c r="AC221" s="1"/>
      <c r="AD221" s="1"/>
    </row>
    <row r="222" customFormat="false" ht="30" hidden="false" customHeight="true" outlineLevel="0" collapsed="false">
      <c r="A222" s="1"/>
      <c r="B222" s="49" t="str">
        <f aca="false">IF($C222="","",ROW()-8)</f>
        <v/>
      </c>
      <c r="C222" s="35"/>
      <c r="D222" s="8"/>
      <c r="E222" s="26"/>
      <c r="F222" s="26"/>
      <c r="G222" s="50"/>
      <c r="H222" s="50"/>
      <c r="I222" s="30" t="str">
        <f aca="false">IF($C222="","",IFERROR(S222/T222,"—"))</f>
        <v/>
      </c>
      <c r="J222" s="30" t="str">
        <f aca="false">IF($C222="","",IFERROR(V222/W222,"—"))</f>
        <v/>
      </c>
      <c r="K222" s="41" t="str">
        <f aca="false">IF($C222="","",IFERROR(J222/I222-1,""))</f>
        <v/>
      </c>
      <c r="L222" s="41" t="str">
        <f aca="false">IF($C222="","",IFERROR((U222-S222)/S222,"—"))</f>
        <v/>
      </c>
      <c r="M222" s="41" t="str">
        <f aca="false">IF($C222="","",IFERROR((X222-V222)/V222,"—"))</f>
        <v/>
      </c>
      <c r="N222" s="39" t="str">
        <f aca="false">IF($C222="","",T222/$D$5)</f>
        <v/>
      </c>
      <c r="O222" s="39" t="str">
        <f aca="false">IF($C222="","",W222/$D$5)</f>
        <v/>
      </c>
      <c r="P222" s="51" t="str">
        <f aca="false">IF($C222="","",IF(MAX(Статистика!$B$7:$B$1006)&lt;$C222+$D$5,"Чекаємо даних",IF(S222=0,"Новий (без бази)",IF(OR(T222=0,W222=0),"Мало даних",IF(K222&lt;=-$F$5,"Покращило",IF(K222&gt;=$F$5,"Погіршило","Без змін"))))))</f>
        <v/>
      </c>
      <c r="Q222" s="50"/>
      <c r="R222" s="1"/>
      <c r="S222" s="52" t="str">
        <f aca="false">IF($C222="","",SUMIFS(Статистика!$E$7:$E$1006,Статистика!$B$7:$B$1006,"&gt;="&amp;($C222-$D$5),Статистика!$B$7:$B$1006,"&lt;="&amp;($C222-1),Статистика!$C$7:$C$1006,IF($D222="","&lt;&gt;§",$D222),Статистика!$D$7:$D$1006,IF($E222="","&lt;&gt;§",$E222)))</f>
        <v/>
      </c>
      <c r="T222" s="52" t="str">
        <f aca="false">IF($C222="","",SUMIFS(Статистика!$H$7:$H$1006,Статистика!$B$7:$B$1006,"&gt;="&amp;($C222-$D$5),Статистика!$B$7:$B$1006,"&lt;="&amp;($C222-1),Статистика!$C$7:$C$1006,IF($D222="","&lt;&gt;§",$D222),Статистика!$D$7:$D$1006,IF($E222="","&lt;&gt;§",$E222)))</f>
        <v/>
      </c>
      <c r="U222" s="52" t="str">
        <f aca="false">IF($C222="","",SUMIFS(Статистика!$T$7:$T$1006,Статистика!$B$7:$B$1006,"&gt;="&amp;($C222-$D$5),Статистика!$B$7:$B$1006,"&lt;="&amp;($C222-1),Статистика!$C$7:$C$1006,IF($D222="","&lt;&gt;§",$D222),Статистика!$D$7:$D$1006,IF($E222="","&lt;&gt;§",$E222)))</f>
        <v/>
      </c>
      <c r="V222" s="52" t="str">
        <f aca="false">IF($C222="","",SUMIFS(Статистика!$E$7:$E$1006,Статистика!$B$7:$B$1006,"&gt;="&amp;($C222+1),Статистика!$B$7:$B$1006,"&lt;="&amp;($C222+$D$5),Статистика!$C$7:$C$1006,IF($D222="","&lt;&gt;§",$D222),Статистика!$D$7:$D$1006,IF($E222="","&lt;&gt;§",$E222)))</f>
        <v/>
      </c>
      <c r="W222" s="52" t="str">
        <f aca="false">IF($C222="","",SUMIFS(Статистика!$H$7:$H$1006,Статистика!$B$7:$B$1006,"&gt;="&amp;($C222+1),Статистика!$B$7:$B$1006,"&lt;="&amp;($C222+$D$5),Статистика!$C$7:$C$1006,IF($D222="","&lt;&gt;§",$D222),Статистика!$D$7:$D$1006,IF($E222="","&lt;&gt;§",$E222)))</f>
        <v/>
      </c>
      <c r="X222" s="52" t="str">
        <f aca="false">IF($C222="","",SUMIFS(Статистика!$T$7:$T$1006,Статистика!$B$7:$B$1006,"&gt;="&amp;($C222+1),Статистика!$B$7:$B$1006,"&lt;="&amp;($C222+$D$5),Статистика!$C$7:$C$1006,IF($D222="","&lt;&gt;§",$D222),Статистика!$D$7:$D$1006,IF($E222="","&lt;&gt;§",$E222)))</f>
        <v/>
      </c>
      <c r="Y222" s="1"/>
      <c r="Z222" s="1"/>
      <c r="AA222" s="1"/>
      <c r="AB222" s="1"/>
      <c r="AC222" s="1"/>
      <c r="AD222" s="1"/>
    </row>
    <row r="223" customFormat="false" ht="30" hidden="false" customHeight="true" outlineLevel="0" collapsed="false">
      <c r="A223" s="1"/>
      <c r="B223" s="49" t="str">
        <f aca="false">IF($C223="","",ROW()-8)</f>
        <v/>
      </c>
      <c r="C223" s="35"/>
      <c r="D223" s="8"/>
      <c r="E223" s="26"/>
      <c r="F223" s="26"/>
      <c r="G223" s="50"/>
      <c r="H223" s="50"/>
      <c r="I223" s="30" t="str">
        <f aca="false">IF($C223="","",IFERROR(S223/T223,"—"))</f>
        <v/>
      </c>
      <c r="J223" s="30" t="str">
        <f aca="false">IF($C223="","",IFERROR(V223/W223,"—"))</f>
        <v/>
      </c>
      <c r="K223" s="41" t="str">
        <f aca="false">IF($C223="","",IFERROR(J223/I223-1,""))</f>
        <v/>
      </c>
      <c r="L223" s="41" t="str">
        <f aca="false">IF($C223="","",IFERROR((U223-S223)/S223,"—"))</f>
        <v/>
      </c>
      <c r="M223" s="41" t="str">
        <f aca="false">IF($C223="","",IFERROR((X223-V223)/V223,"—"))</f>
        <v/>
      </c>
      <c r="N223" s="39" t="str">
        <f aca="false">IF($C223="","",T223/$D$5)</f>
        <v/>
      </c>
      <c r="O223" s="39" t="str">
        <f aca="false">IF($C223="","",W223/$D$5)</f>
        <v/>
      </c>
      <c r="P223" s="51" t="str">
        <f aca="false">IF($C223="","",IF(MAX(Статистика!$B$7:$B$1006)&lt;$C223+$D$5,"Чекаємо даних",IF(S223=0,"Новий (без бази)",IF(OR(T223=0,W223=0),"Мало даних",IF(K223&lt;=-$F$5,"Покращило",IF(K223&gt;=$F$5,"Погіршило","Без змін"))))))</f>
        <v/>
      </c>
      <c r="Q223" s="50"/>
      <c r="R223" s="1"/>
      <c r="S223" s="52" t="str">
        <f aca="false">IF($C223="","",SUMIFS(Статистика!$E$7:$E$1006,Статистика!$B$7:$B$1006,"&gt;="&amp;($C223-$D$5),Статистика!$B$7:$B$1006,"&lt;="&amp;($C223-1),Статистика!$C$7:$C$1006,IF($D223="","&lt;&gt;§",$D223),Статистика!$D$7:$D$1006,IF($E223="","&lt;&gt;§",$E223)))</f>
        <v/>
      </c>
      <c r="T223" s="52" t="str">
        <f aca="false">IF($C223="","",SUMIFS(Статистика!$H$7:$H$1006,Статистика!$B$7:$B$1006,"&gt;="&amp;($C223-$D$5),Статистика!$B$7:$B$1006,"&lt;="&amp;($C223-1),Статистика!$C$7:$C$1006,IF($D223="","&lt;&gt;§",$D223),Статистика!$D$7:$D$1006,IF($E223="","&lt;&gt;§",$E223)))</f>
        <v/>
      </c>
      <c r="U223" s="52" t="str">
        <f aca="false">IF($C223="","",SUMIFS(Статистика!$T$7:$T$1006,Статистика!$B$7:$B$1006,"&gt;="&amp;($C223-$D$5),Статистика!$B$7:$B$1006,"&lt;="&amp;($C223-1),Статистика!$C$7:$C$1006,IF($D223="","&lt;&gt;§",$D223),Статистика!$D$7:$D$1006,IF($E223="","&lt;&gt;§",$E223)))</f>
        <v/>
      </c>
      <c r="V223" s="52" t="str">
        <f aca="false">IF($C223="","",SUMIFS(Статистика!$E$7:$E$1006,Статистика!$B$7:$B$1006,"&gt;="&amp;($C223+1),Статистика!$B$7:$B$1006,"&lt;="&amp;($C223+$D$5),Статистика!$C$7:$C$1006,IF($D223="","&lt;&gt;§",$D223),Статистика!$D$7:$D$1006,IF($E223="","&lt;&gt;§",$E223)))</f>
        <v/>
      </c>
      <c r="W223" s="52" t="str">
        <f aca="false">IF($C223="","",SUMIFS(Статистика!$H$7:$H$1006,Статистика!$B$7:$B$1006,"&gt;="&amp;($C223+1),Статистика!$B$7:$B$1006,"&lt;="&amp;($C223+$D$5),Статистика!$C$7:$C$1006,IF($D223="","&lt;&gt;§",$D223),Статистика!$D$7:$D$1006,IF($E223="","&lt;&gt;§",$E223)))</f>
        <v/>
      </c>
      <c r="X223" s="52" t="str">
        <f aca="false">IF($C223="","",SUMIFS(Статистика!$T$7:$T$1006,Статистика!$B$7:$B$1006,"&gt;="&amp;($C223+1),Статистика!$B$7:$B$1006,"&lt;="&amp;($C223+$D$5),Статистика!$C$7:$C$1006,IF($D223="","&lt;&gt;§",$D223),Статистика!$D$7:$D$1006,IF($E223="","&lt;&gt;§",$E223)))</f>
        <v/>
      </c>
      <c r="Y223" s="1"/>
      <c r="Z223" s="1"/>
      <c r="AA223" s="1"/>
      <c r="AB223" s="1"/>
      <c r="AC223" s="1"/>
      <c r="AD223" s="1"/>
    </row>
    <row r="224" customFormat="false" ht="30" hidden="false" customHeight="true" outlineLevel="0" collapsed="false">
      <c r="A224" s="1"/>
      <c r="B224" s="49" t="str">
        <f aca="false">IF($C224="","",ROW()-8)</f>
        <v/>
      </c>
      <c r="C224" s="35"/>
      <c r="D224" s="8"/>
      <c r="E224" s="26"/>
      <c r="F224" s="26"/>
      <c r="G224" s="50"/>
      <c r="H224" s="50"/>
      <c r="I224" s="30" t="str">
        <f aca="false">IF($C224="","",IFERROR(S224/T224,"—"))</f>
        <v/>
      </c>
      <c r="J224" s="30" t="str">
        <f aca="false">IF($C224="","",IFERROR(V224/W224,"—"))</f>
        <v/>
      </c>
      <c r="K224" s="41" t="str">
        <f aca="false">IF($C224="","",IFERROR(J224/I224-1,""))</f>
        <v/>
      </c>
      <c r="L224" s="41" t="str">
        <f aca="false">IF($C224="","",IFERROR((U224-S224)/S224,"—"))</f>
        <v/>
      </c>
      <c r="M224" s="41" t="str">
        <f aca="false">IF($C224="","",IFERROR((X224-V224)/V224,"—"))</f>
        <v/>
      </c>
      <c r="N224" s="39" t="str">
        <f aca="false">IF($C224="","",T224/$D$5)</f>
        <v/>
      </c>
      <c r="O224" s="39" t="str">
        <f aca="false">IF($C224="","",W224/$D$5)</f>
        <v/>
      </c>
      <c r="P224" s="51" t="str">
        <f aca="false">IF($C224="","",IF(MAX(Статистика!$B$7:$B$1006)&lt;$C224+$D$5,"Чекаємо даних",IF(S224=0,"Новий (без бази)",IF(OR(T224=0,W224=0),"Мало даних",IF(K224&lt;=-$F$5,"Покращило",IF(K224&gt;=$F$5,"Погіршило","Без змін"))))))</f>
        <v/>
      </c>
      <c r="Q224" s="50"/>
      <c r="R224" s="1"/>
      <c r="S224" s="52" t="str">
        <f aca="false">IF($C224="","",SUMIFS(Статистика!$E$7:$E$1006,Статистика!$B$7:$B$1006,"&gt;="&amp;($C224-$D$5),Статистика!$B$7:$B$1006,"&lt;="&amp;($C224-1),Статистика!$C$7:$C$1006,IF($D224="","&lt;&gt;§",$D224),Статистика!$D$7:$D$1006,IF($E224="","&lt;&gt;§",$E224)))</f>
        <v/>
      </c>
      <c r="T224" s="52" t="str">
        <f aca="false">IF($C224="","",SUMIFS(Статистика!$H$7:$H$1006,Статистика!$B$7:$B$1006,"&gt;="&amp;($C224-$D$5),Статистика!$B$7:$B$1006,"&lt;="&amp;($C224-1),Статистика!$C$7:$C$1006,IF($D224="","&lt;&gt;§",$D224),Статистика!$D$7:$D$1006,IF($E224="","&lt;&gt;§",$E224)))</f>
        <v/>
      </c>
      <c r="U224" s="52" t="str">
        <f aca="false">IF($C224="","",SUMIFS(Статистика!$T$7:$T$1006,Статистика!$B$7:$B$1006,"&gt;="&amp;($C224-$D$5),Статистика!$B$7:$B$1006,"&lt;="&amp;($C224-1),Статистика!$C$7:$C$1006,IF($D224="","&lt;&gt;§",$D224),Статистика!$D$7:$D$1006,IF($E224="","&lt;&gt;§",$E224)))</f>
        <v/>
      </c>
      <c r="V224" s="52" t="str">
        <f aca="false">IF($C224="","",SUMIFS(Статистика!$E$7:$E$1006,Статистика!$B$7:$B$1006,"&gt;="&amp;($C224+1),Статистика!$B$7:$B$1006,"&lt;="&amp;($C224+$D$5),Статистика!$C$7:$C$1006,IF($D224="","&lt;&gt;§",$D224),Статистика!$D$7:$D$1006,IF($E224="","&lt;&gt;§",$E224)))</f>
        <v/>
      </c>
      <c r="W224" s="52" t="str">
        <f aca="false">IF($C224="","",SUMIFS(Статистика!$H$7:$H$1006,Статистика!$B$7:$B$1006,"&gt;="&amp;($C224+1),Статистика!$B$7:$B$1006,"&lt;="&amp;($C224+$D$5),Статистика!$C$7:$C$1006,IF($D224="","&lt;&gt;§",$D224),Статистика!$D$7:$D$1006,IF($E224="","&lt;&gt;§",$E224)))</f>
        <v/>
      </c>
      <c r="X224" s="52" t="str">
        <f aca="false">IF($C224="","",SUMIFS(Статистика!$T$7:$T$1006,Статистика!$B$7:$B$1006,"&gt;="&amp;($C224+1),Статистика!$B$7:$B$1006,"&lt;="&amp;($C224+$D$5),Статистика!$C$7:$C$1006,IF($D224="","&lt;&gt;§",$D224),Статистика!$D$7:$D$1006,IF($E224="","&lt;&gt;§",$E224)))</f>
        <v/>
      </c>
      <c r="Y224" s="1"/>
      <c r="Z224" s="1"/>
      <c r="AA224" s="1"/>
      <c r="AB224" s="1"/>
      <c r="AC224" s="1"/>
      <c r="AD224" s="1"/>
    </row>
    <row r="225" customFormat="false" ht="30" hidden="false" customHeight="true" outlineLevel="0" collapsed="false">
      <c r="A225" s="1"/>
      <c r="B225" s="49" t="str">
        <f aca="false">IF($C225="","",ROW()-8)</f>
        <v/>
      </c>
      <c r="C225" s="35"/>
      <c r="D225" s="8"/>
      <c r="E225" s="26"/>
      <c r="F225" s="26"/>
      <c r="G225" s="50"/>
      <c r="H225" s="50"/>
      <c r="I225" s="30" t="str">
        <f aca="false">IF($C225="","",IFERROR(S225/T225,"—"))</f>
        <v/>
      </c>
      <c r="J225" s="30" t="str">
        <f aca="false">IF($C225="","",IFERROR(V225/W225,"—"))</f>
        <v/>
      </c>
      <c r="K225" s="41" t="str">
        <f aca="false">IF($C225="","",IFERROR(J225/I225-1,""))</f>
        <v/>
      </c>
      <c r="L225" s="41" t="str">
        <f aca="false">IF($C225="","",IFERROR((U225-S225)/S225,"—"))</f>
        <v/>
      </c>
      <c r="M225" s="41" t="str">
        <f aca="false">IF($C225="","",IFERROR((X225-V225)/V225,"—"))</f>
        <v/>
      </c>
      <c r="N225" s="39" t="str">
        <f aca="false">IF($C225="","",T225/$D$5)</f>
        <v/>
      </c>
      <c r="O225" s="39" t="str">
        <f aca="false">IF($C225="","",W225/$D$5)</f>
        <v/>
      </c>
      <c r="P225" s="51" t="str">
        <f aca="false">IF($C225="","",IF(MAX(Статистика!$B$7:$B$1006)&lt;$C225+$D$5,"Чекаємо даних",IF(S225=0,"Новий (без бази)",IF(OR(T225=0,W225=0),"Мало даних",IF(K225&lt;=-$F$5,"Покращило",IF(K225&gt;=$F$5,"Погіршило","Без змін"))))))</f>
        <v/>
      </c>
      <c r="Q225" s="50"/>
      <c r="R225" s="1"/>
      <c r="S225" s="52" t="str">
        <f aca="false">IF($C225="","",SUMIFS(Статистика!$E$7:$E$1006,Статистика!$B$7:$B$1006,"&gt;="&amp;($C225-$D$5),Статистика!$B$7:$B$1006,"&lt;="&amp;($C225-1),Статистика!$C$7:$C$1006,IF($D225="","&lt;&gt;§",$D225),Статистика!$D$7:$D$1006,IF($E225="","&lt;&gt;§",$E225)))</f>
        <v/>
      </c>
      <c r="T225" s="52" t="str">
        <f aca="false">IF($C225="","",SUMIFS(Статистика!$H$7:$H$1006,Статистика!$B$7:$B$1006,"&gt;="&amp;($C225-$D$5),Статистика!$B$7:$B$1006,"&lt;="&amp;($C225-1),Статистика!$C$7:$C$1006,IF($D225="","&lt;&gt;§",$D225),Статистика!$D$7:$D$1006,IF($E225="","&lt;&gt;§",$E225)))</f>
        <v/>
      </c>
      <c r="U225" s="52" t="str">
        <f aca="false">IF($C225="","",SUMIFS(Статистика!$T$7:$T$1006,Статистика!$B$7:$B$1006,"&gt;="&amp;($C225-$D$5),Статистика!$B$7:$B$1006,"&lt;="&amp;($C225-1),Статистика!$C$7:$C$1006,IF($D225="","&lt;&gt;§",$D225),Статистика!$D$7:$D$1006,IF($E225="","&lt;&gt;§",$E225)))</f>
        <v/>
      </c>
      <c r="V225" s="52" t="str">
        <f aca="false">IF($C225="","",SUMIFS(Статистика!$E$7:$E$1006,Статистика!$B$7:$B$1006,"&gt;="&amp;($C225+1),Статистика!$B$7:$B$1006,"&lt;="&amp;($C225+$D$5),Статистика!$C$7:$C$1006,IF($D225="","&lt;&gt;§",$D225),Статистика!$D$7:$D$1006,IF($E225="","&lt;&gt;§",$E225)))</f>
        <v/>
      </c>
      <c r="W225" s="52" t="str">
        <f aca="false">IF($C225="","",SUMIFS(Статистика!$H$7:$H$1006,Статистика!$B$7:$B$1006,"&gt;="&amp;($C225+1),Статистика!$B$7:$B$1006,"&lt;="&amp;($C225+$D$5),Статистика!$C$7:$C$1006,IF($D225="","&lt;&gt;§",$D225),Статистика!$D$7:$D$1006,IF($E225="","&lt;&gt;§",$E225)))</f>
        <v/>
      </c>
      <c r="X225" s="52" t="str">
        <f aca="false">IF($C225="","",SUMIFS(Статистика!$T$7:$T$1006,Статистика!$B$7:$B$1006,"&gt;="&amp;($C225+1),Статистика!$B$7:$B$1006,"&lt;="&amp;($C225+$D$5),Статистика!$C$7:$C$1006,IF($D225="","&lt;&gt;§",$D225),Статистика!$D$7:$D$1006,IF($E225="","&lt;&gt;§",$E225)))</f>
        <v/>
      </c>
      <c r="Y225" s="1"/>
      <c r="Z225" s="1"/>
      <c r="AA225" s="1"/>
      <c r="AB225" s="1"/>
      <c r="AC225" s="1"/>
      <c r="AD225" s="1"/>
    </row>
    <row r="226" customFormat="false" ht="30" hidden="false" customHeight="true" outlineLevel="0" collapsed="false">
      <c r="A226" s="1"/>
      <c r="B226" s="49" t="str">
        <f aca="false">IF($C226="","",ROW()-8)</f>
        <v/>
      </c>
      <c r="C226" s="35"/>
      <c r="D226" s="8"/>
      <c r="E226" s="26"/>
      <c r="F226" s="26"/>
      <c r="G226" s="50"/>
      <c r="H226" s="50"/>
      <c r="I226" s="30" t="str">
        <f aca="false">IF($C226="","",IFERROR(S226/T226,"—"))</f>
        <v/>
      </c>
      <c r="J226" s="30" t="str">
        <f aca="false">IF($C226="","",IFERROR(V226/W226,"—"))</f>
        <v/>
      </c>
      <c r="K226" s="41" t="str">
        <f aca="false">IF($C226="","",IFERROR(J226/I226-1,""))</f>
        <v/>
      </c>
      <c r="L226" s="41" t="str">
        <f aca="false">IF($C226="","",IFERROR((U226-S226)/S226,"—"))</f>
        <v/>
      </c>
      <c r="M226" s="41" t="str">
        <f aca="false">IF($C226="","",IFERROR((X226-V226)/V226,"—"))</f>
        <v/>
      </c>
      <c r="N226" s="39" t="str">
        <f aca="false">IF($C226="","",T226/$D$5)</f>
        <v/>
      </c>
      <c r="O226" s="39" t="str">
        <f aca="false">IF($C226="","",W226/$D$5)</f>
        <v/>
      </c>
      <c r="P226" s="51" t="str">
        <f aca="false">IF($C226="","",IF(MAX(Статистика!$B$7:$B$1006)&lt;$C226+$D$5,"Чекаємо даних",IF(S226=0,"Новий (без бази)",IF(OR(T226=0,W226=0),"Мало даних",IF(K226&lt;=-$F$5,"Покращило",IF(K226&gt;=$F$5,"Погіршило","Без змін"))))))</f>
        <v/>
      </c>
      <c r="Q226" s="50"/>
      <c r="R226" s="1"/>
      <c r="S226" s="52" t="str">
        <f aca="false">IF($C226="","",SUMIFS(Статистика!$E$7:$E$1006,Статистика!$B$7:$B$1006,"&gt;="&amp;($C226-$D$5),Статистика!$B$7:$B$1006,"&lt;="&amp;($C226-1),Статистика!$C$7:$C$1006,IF($D226="","&lt;&gt;§",$D226),Статистика!$D$7:$D$1006,IF($E226="","&lt;&gt;§",$E226)))</f>
        <v/>
      </c>
      <c r="T226" s="52" t="str">
        <f aca="false">IF($C226="","",SUMIFS(Статистика!$H$7:$H$1006,Статистика!$B$7:$B$1006,"&gt;="&amp;($C226-$D$5),Статистика!$B$7:$B$1006,"&lt;="&amp;($C226-1),Статистика!$C$7:$C$1006,IF($D226="","&lt;&gt;§",$D226),Статистика!$D$7:$D$1006,IF($E226="","&lt;&gt;§",$E226)))</f>
        <v/>
      </c>
      <c r="U226" s="52" t="str">
        <f aca="false">IF($C226="","",SUMIFS(Статистика!$T$7:$T$1006,Статистика!$B$7:$B$1006,"&gt;="&amp;($C226-$D$5),Статистика!$B$7:$B$1006,"&lt;="&amp;($C226-1),Статистика!$C$7:$C$1006,IF($D226="","&lt;&gt;§",$D226),Статистика!$D$7:$D$1006,IF($E226="","&lt;&gt;§",$E226)))</f>
        <v/>
      </c>
      <c r="V226" s="52" t="str">
        <f aca="false">IF($C226="","",SUMIFS(Статистика!$E$7:$E$1006,Статистика!$B$7:$B$1006,"&gt;="&amp;($C226+1),Статистика!$B$7:$B$1006,"&lt;="&amp;($C226+$D$5),Статистика!$C$7:$C$1006,IF($D226="","&lt;&gt;§",$D226),Статистика!$D$7:$D$1006,IF($E226="","&lt;&gt;§",$E226)))</f>
        <v/>
      </c>
      <c r="W226" s="52" t="str">
        <f aca="false">IF($C226="","",SUMIFS(Статистика!$H$7:$H$1006,Статистика!$B$7:$B$1006,"&gt;="&amp;($C226+1),Статистика!$B$7:$B$1006,"&lt;="&amp;($C226+$D$5),Статистика!$C$7:$C$1006,IF($D226="","&lt;&gt;§",$D226),Статистика!$D$7:$D$1006,IF($E226="","&lt;&gt;§",$E226)))</f>
        <v/>
      </c>
      <c r="X226" s="52" t="str">
        <f aca="false">IF($C226="","",SUMIFS(Статистика!$T$7:$T$1006,Статистика!$B$7:$B$1006,"&gt;="&amp;($C226+1),Статистика!$B$7:$B$1006,"&lt;="&amp;($C226+$D$5),Статистика!$C$7:$C$1006,IF($D226="","&lt;&gt;§",$D226),Статистика!$D$7:$D$1006,IF($E226="","&lt;&gt;§",$E226)))</f>
        <v/>
      </c>
      <c r="Y226" s="1"/>
      <c r="Z226" s="1"/>
      <c r="AA226" s="1"/>
      <c r="AB226" s="1"/>
      <c r="AC226" s="1"/>
      <c r="AD226" s="1"/>
    </row>
    <row r="227" customFormat="false" ht="30" hidden="false" customHeight="true" outlineLevel="0" collapsed="false">
      <c r="A227" s="1"/>
      <c r="B227" s="49" t="str">
        <f aca="false">IF($C227="","",ROW()-8)</f>
        <v/>
      </c>
      <c r="C227" s="35"/>
      <c r="D227" s="8"/>
      <c r="E227" s="26"/>
      <c r="F227" s="26"/>
      <c r="G227" s="50"/>
      <c r="H227" s="50"/>
      <c r="I227" s="30" t="str">
        <f aca="false">IF($C227="","",IFERROR(S227/T227,"—"))</f>
        <v/>
      </c>
      <c r="J227" s="30" t="str">
        <f aca="false">IF($C227="","",IFERROR(V227/W227,"—"))</f>
        <v/>
      </c>
      <c r="K227" s="41" t="str">
        <f aca="false">IF($C227="","",IFERROR(J227/I227-1,""))</f>
        <v/>
      </c>
      <c r="L227" s="41" t="str">
        <f aca="false">IF($C227="","",IFERROR((U227-S227)/S227,"—"))</f>
        <v/>
      </c>
      <c r="M227" s="41" t="str">
        <f aca="false">IF($C227="","",IFERROR((X227-V227)/V227,"—"))</f>
        <v/>
      </c>
      <c r="N227" s="39" t="str">
        <f aca="false">IF($C227="","",T227/$D$5)</f>
        <v/>
      </c>
      <c r="O227" s="39" t="str">
        <f aca="false">IF($C227="","",W227/$D$5)</f>
        <v/>
      </c>
      <c r="P227" s="51" t="str">
        <f aca="false">IF($C227="","",IF(MAX(Статистика!$B$7:$B$1006)&lt;$C227+$D$5,"Чекаємо даних",IF(S227=0,"Новий (без бази)",IF(OR(T227=0,W227=0),"Мало даних",IF(K227&lt;=-$F$5,"Покращило",IF(K227&gt;=$F$5,"Погіршило","Без змін"))))))</f>
        <v/>
      </c>
      <c r="Q227" s="50"/>
      <c r="R227" s="1"/>
      <c r="S227" s="52" t="str">
        <f aca="false">IF($C227="","",SUMIFS(Статистика!$E$7:$E$1006,Статистика!$B$7:$B$1006,"&gt;="&amp;($C227-$D$5),Статистика!$B$7:$B$1006,"&lt;="&amp;($C227-1),Статистика!$C$7:$C$1006,IF($D227="","&lt;&gt;§",$D227),Статистика!$D$7:$D$1006,IF($E227="","&lt;&gt;§",$E227)))</f>
        <v/>
      </c>
      <c r="T227" s="52" t="str">
        <f aca="false">IF($C227="","",SUMIFS(Статистика!$H$7:$H$1006,Статистика!$B$7:$B$1006,"&gt;="&amp;($C227-$D$5),Статистика!$B$7:$B$1006,"&lt;="&amp;($C227-1),Статистика!$C$7:$C$1006,IF($D227="","&lt;&gt;§",$D227),Статистика!$D$7:$D$1006,IF($E227="","&lt;&gt;§",$E227)))</f>
        <v/>
      </c>
      <c r="U227" s="52" t="str">
        <f aca="false">IF($C227="","",SUMIFS(Статистика!$T$7:$T$1006,Статистика!$B$7:$B$1006,"&gt;="&amp;($C227-$D$5),Статистика!$B$7:$B$1006,"&lt;="&amp;($C227-1),Статистика!$C$7:$C$1006,IF($D227="","&lt;&gt;§",$D227),Статистика!$D$7:$D$1006,IF($E227="","&lt;&gt;§",$E227)))</f>
        <v/>
      </c>
      <c r="V227" s="52" t="str">
        <f aca="false">IF($C227="","",SUMIFS(Статистика!$E$7:$E$1006,Статистика!$B$7:$B$1006,"&gt;="&amp;($C227+1),Статистика!$B$7:$B$1006,"&lt;="&amp;($C227+$D$5),Статистика!$C$7:$C$1006,IF($D227="","&lt;&gt;§",$D227),Статистика!$D$7:$D$1006,IF($E227="","&lt;&gt;§",$E227)))</f>
        <v/>
      </c>
      <c r="W227" s="52" t="str">
        <f aca="false">IF($C227="","",SUMIFS(Статистика!$H$7:$H$1006,Статистика!$B$7:$B$1006,"&gt;="&amp;($C227+1),Статистика!$B$7:$B$1006,"&lt;="&amp;($C227+$D$5),Статистика!$C$7:$C$1006,IF($D227="","&lt;&gt;§",$D227),Статистика!$D$7:$D$1006,IF($E227="","&lt;&gt;§",$E227)))</f>
        <v/>
      </c>
      <c r="X227" s="52" t="str">
        <f aca="false">IF($C227="","",SUMIFS(Статистика!$T$7:$T$1006,Статистика!$B$7:$B$1006,"&gt;="&amp;($C227+1),Статистика!$B$7:$B$1006,"&lt;="&amp;($C227+$D$5),Статистика!$C$7:$C$1006,IF($D227="","&lt;&gt;§",$D227),Статистика!$D$7:$D$1006,IF($E227="","&lt;&gt;§",$E227)))</f>
        <v/>
      </c>
      <c r="Y227" s="1"/>
      <c r="Z227" s="1"/>
      <c r="AA227" s="1"/>
      <c r="AB227" s="1"/>
      <c r="AC227" s="1"/>
      <c r="AD227" s="1"/>
    </row>
    <row r="228" customFormat="false" ht="30" hidden="false" customHeight="true" outlineLevel="0" collapsed="false">
      <c r="A228" s="1"/>
      <c r="B228" s="49" t="str">
        <f aca="false">IF($C228="","",ROW()-8)</f>
        <v/>
      </c>
      <c r="C228" s="35"/>
      <c r="D228" s="8"/>
      <c r="E228" s="26"/>
      <c r="F228" s="26"/>
      <c r="G228" s="50"/>
      <c r="H228" s="50"/>
      <c r="I228" s="30" t="str">
        <f aca="false">IF($C228="","",IFERROR(S228/T228,"—"))</f>
        <v/>
      </c>
      <c r="J228" s="30" t="str">
        <f aca="false">IF($C228="","",IFERROR(V228/W228,"—"))</f>
        <v/>
      </c>
      <c r="K228" s="41" t="str">
        <f aca="false">IF($C228="","",IFERROR(J228/I228-1,""))</f>
        <v/>
      </c>
      <c r="L228" s="41" t="str">
        <f aca="false">IF($C228="","",IFERROR((U228-S228)/S228,"—"))</f>
        <v/>
      </c>
      <c r="M228" s="41" t="str">
        <f aca="false">IF($C228="","",IFERROR((X228-V228)/V228,"—"))</f>
        <v/>
      </c>
      <c r="N228" s="39" t="str">
        <f aca="false">IF($C228="","",T228/$D$5)</f>
        <v/>
      </c>
      <c r="O228" s="39" t="str">
        <f aca="false">IF($C228="","",W228/$D$5)</f>
        <v/>
      </c>
      <c r="P228" s="51" t="str">
        <f aca="false">IF($C228="","",IF(MAX(Статистика!$B$7:$B$1006)&lt;$C228+$D$5,"Чекаємо даних",IF(S228=0,"Новий (без бази)",IF(OR(T228=0,W228=0),"Мало даних",IF(K228&lt;=-$F$5,"Покращило",IF(K228&gt;=$F$5,"Погіршило","Без змін"))))))</f>
        <v/>
      </c>
      <c r="Q228" s="50"/>
      <c r="R228" s="1"/>
      <c r="S228" s="52" t="str">
        <f aca="false">IF($C228="","",SUMIFS(Статистика!$E$7:$E$1006,Статистика!$B$7:$B$1006,"&gt;="&amp;($C228-$D$5),Статистика!$B$7:$B$1006,"&lt;="&amp;($C228-1),Статистика!$C$7:$C$1006,IF($D228="","&lt;&gt;§",$D228),Статистика!$D$7:$D$1006,IF($E228="","&lt;&gt;§",$E228)))</f>
        <v/>
      </c>
      <c r="T228" s="52" t="str">
        <f aca="false">IF($C228="","",SUMIFS(Статистика!$H$7:$H$1006,Статистика!$B$7:$B$1006,"&gt;="&amp;($C228-$D$5),Статистика!$B$7:$B$1006,"&lt;="&amp;($C228-1),Статистика!$C$7:$C$1006,IF($D228="","&lt;&gt;§",$D228),Статистика!$D$7:$D$1006,IF($E228="","&lt;&gt;§",$E228)))</f>
        <v/>
      </c>
      <c r="U228" s="52" t="str">
        <f aca="false">IF($C228="","",SUMIFS(Статистика!$T$7:$T$1006,Статистика!$B$7:$B$1006,"&gt;="&amp;($C228-$D$5),Статистика!$B$7:$B$1006,"&lt;="&amp;($C228-1),Статистика!$C$7:$C$1006,IF($D228="","&lt;&gt;§",$D228),Статистика!$D$7:$D$1006,IF($E228="","&lt;&gt;§",$E228)))</f>
        <v/>
      </c>
      <c r="V228" s="52" t="str">
        <f aca="false">IF($C228="","",SUMIFS(Статистика!$E$7:$E$1006,Статистика!$B$7:$B$1006,"&gt;="&amp;($C228+1),Статистика!$B$7:$B$1006,"&lt;="&amp;($C228+$D$5),Статистика!$C$7:$C$1006,IF($D228="","&lt;&gt;§",$D228),Статистика!$D$7:$D$1006,IF($E228="","&lt;&gt;§",$E228)))</f>
        <v/>
      </c>
      <c r="W228" s="52" t="str">
        <f aca="false">IF($C228="","",SUMIFS(Статистика!$H$7:$H$1006,Статистика!$B$7:$B$1006,"&gt;="&amp;($C228+1),Статистика!$B$7:$B$1006,"&lt;="&amp;($C228+$D$5),Статистика!$C$7:$C$1006,IF($D228="","&lt;&gt;§",$D228),Статистика!$D$7:$D$1006,IF($E228="","&lt;&gt;§",$E228)))</f>
        <v/>
      </c>
      <c r="X228" s="52" t="str">
        <f aca="false">IF($C228="","",SUMIFS(Статистика!$T$7:$T$1006,Статистика!$B$7:$B$1006,"&gt;="&amp;($C228+1),Статистика!$B$7:$B$1006,"&lt;="&amp;($C228+$D$5),Статистика!$C$7:$C$1006,IF($D228="","&lt;&gt;§",$D228),Статистика!$D$7:$D$1006,IF($E228="","&lt;&gt;§",$E228)))</f>
        <v/>
      </c>
      <c r="Y228" s="1"/>
      <c r="Z228" s="1"/>
      <c r="AA228" s="1"/>
      <c r="AB228" s="1"/>
      <c r="AC228" s="1"/>
      <c r="AD228" s="1"/>
    </row>
    <row r="229" customFormat="false" ht="30" hidden="false" customHeight="true" outlineLevel="0" collapsed="false">
      <c r="A229" s="1"/>
      <c r="B229" s="49" t="str">
        <f aca="false">IF($C229="","",ROW()-8)</f>
        <v/>
      </c>
      <c r="C229" s="35"/>
      <c r="D229" s="8"/>
      <c r="E229" s="26"/>
      <c r="F229" s="26"/>
      <c r="G229" s="50"/>
      <c r="H229" s="50"/>
      <c r="I229" s="30" t="str">
        <f aca="false">IF($C229="","",IFERROR(S229/T229,"—"))</f>
        <v/>
      </c>
      <c r="J229" s="30" t="str">
        <f aca="false">IF($C229="","",IFERROR(V229/W229,"—"))</f>
        <v/>
      </c>
      <c r="K229" s="41" t="str">
        <f aca="false">IF($C229="","",IFERROR(J229/I229-1,""))</f>
        <v/>
      </c>
      <c r="L229" s="41" t="str">
        <f aca="false">IF($C229="","",IFERROR((U229-S229)/S229,"—"))</f>
        <v/>
      </c>
      <c r="M229" s="41" t="str">
        <f aca="false">IF($C229="","",IFERROR((X229-V229)/V229,"—"))</f>
        <v/>
      </c>
      <c r="N229" s="39" t="str">
        <f aca="false">IF($C229="","",T229/$D$5)</f>
        <v/>
      </c>
      <c r="O229" s="39" t="str">
        <f aca="false">IF($C229="","",W229/$D$5)</f>
        <v/>
      </c>
      <c r="P229" s="51" t="str">
        <f aca="false">IF($C229="","",IF(MAX(Статистика!$B$7:$B$1006)&lt;$C229+$D$5,"Чекаємо даних",IF(S229=0,"Новий (без бази)",IF(OR(T229=0,W229=0),"Мало даних",IF(K229&lt;=-$F$5,"Покращило",IF(K229&gt;=$F$5,"Погіршило","Без змін"))))))</f>
        <v/>
      </c>
      <c r="Q229" s="50"/>
      <c r="R229" s="1"/>
      <c r="S229" s="52" t="str">
        <f aca="false">IF($C229="","",SUMIFS(Статистика!$E$7:$E$1006,Статистика!$B$7:$B$1006,"&gt;="&amp;($C229-$D$5),Статистика!$B$7:$B$1006,"&lt;="&amp;($C229-1),Статистика!$C$7:$C$1006,IF($D229="","&lt;&gt;§",$D229),Статистика!$D$7:$D$1006,IF($E229="","&lt;&gt;§",$E229)))</f>
        <v/>
      </c>
      <c r="T229" s="52" t="str">
        <f aca="false">IF($C229="","",SUMIFS(Статистика!$H$7:$H$1006,Статистика!$B$7:$B$1006,"&gt;="&amp;($C229-$D$5),Статистика!$B$7:$B$1006,"&lt;="&amp;($C229-1),Статистика!$C$7:$C$1006,IF($D229="","&lt;&gt;§",$D229),Статистика!$D$7:$D$1006,IF($E229="","&lt;&gt;§",$E229)))</f>
        <v/>
      </c>
      <c r="U229" s="52" t="str">
        <f aca="false">IF($C229="","",SUMIFS(Статистика!$T$7:$T$1006,Статистика!$B$7:$B$1006,"&gt;="&amp;($C229-$D$5),Статистика!$B$7:$B$1006,"&lt;="&amp;($C229-1),Статистика!$C$7:$C$1006,IF($D229="","&lt;&gt;§",$D229),Статистика!$D$7:$D$1006,IF($E229="","&lt;&gt;§",$E229)))</f>
        <v/>
      </c>
      <c r="V229" s="52" t="str">
        <f aca="false">IF($C229="","",SUMIFS(Статистика!$E$7:$E$1006,Статистика!$B$7:$B$1006,"&gt;="&amp;($C229+1),Статистика!$B$7:$B$1006,"&lt;="&amp;($C229+$D$5),Статистика!$C$7:$C$1006,IF($D229="","&lt;&gt;§",$D229),Статистика!$D$7:$D$1006,IF($E229="","&lt;&gt;§",$E229)))</f>
        <v/>
      </c>
      <c r="W229" s="52" t="str">
        <f aca="false">IF($C229="","",SUMIFS(Статистика!$H$7:$H$1006,Статистика!$B$7:$B$1006,"&gt;="&amp;($C229+1),Статистика!$B$7:$B$1006,"&lt;="&amp;($C229+$D$5),Статистика!$C$7:$C$1006,IF($D229="","&lt;&gt;§",$D229),Статистика!$D$7:$D$1006,IF($E229="","&lt;&gt;§",$E229)))</f>
        <v/>
      </c>
      <c r="X229" s="52" t="str">
        <f aca="false">IF($C229="","",SUMIFS(Статистика!$T$7:$T$1006,Статистика!$B$7:$B$1006,"&gt;="&amp;($C229+1),Статистика!$B$7:$B$1006,"&lt;="&amp;($C229+$D$5),Статистика!$C$7:$C$1006,IF($D229="","&lt;&gt;§",$D229),Статистика!$D$7:$D$1006,IF($E229="","&lt;&gt;§",$E229)))</f>
        <v/>
      </c>
      <c r="Y229" s="1"/>
      <c r="Z229" s="1"/>
      <c r="AA229" s="1"/>
      <c r="AB229" s="1"/>
      <c r="AC229" s="1"/>
      <c r="AD229" s="1"/>
    </row>
    <row r="230" customFormat="false" ht="30" hidden="false" customHeight="true" outlineLevel="0" collapsed="false">
      <c r="A230" s="1"/>
      <c r="B230" s="49" t="str">
        <f aca="false">IF($C230="","",ROW()-8)</f>
        <v/>
      </c>
      <c r="C230" s="35"/>
      <c r="D230" s="8"/>
      <c r="E230" s="26"/>
      <c r="F230" s="26"/>
      <c r="G230" s="50"/>
      <c r="H230" s="50"/>
      <c r="I230" s="30" t="str">
        <f aca="false">IF($C230="","",IFERROR(S230/T230,"—"))</f>
        <v/>
      </c>
      <c r="J230" s="30" t="str">
        <f aca="false">IF($C230="","",IFERROR(V230/W230,"—"))</f>
        <v/>
      </c>
      <c r="K230" s="41" t="str">
        <f aca="false">IF($C230="","",IFERROR(J230/I230-1,""))</f>
        <v/>
      </c>
      <c r="L230" s="41" t="str">
        <f aca="false">IF($C230="","",IFERROR((U230-S230)/S230,"—"))</f>
        <v/>
      </c>
      <c r="M230" s="41" t="str">
        <f aca="false">IF($C230="","",IFERROR((X230-V230)/V230,"—"))</f>
        <v/>
      </c>
      <c r="N230" s="39" t="str">
        <f aca="false">IF($C230="","",T230/$D$5)</f>
        <v/>
      </c>
      <c r="O230" s="39" t="str">
        <f aca="false">IF($C230="","",W230/$D$5)</f>
        <v/>
      </c>
      <c r="P230" s="51" t="str">
        <f aca="false">IF($C230="","",IF(MAX(Статистика!$B$7:$B$1006)&lt;$C230+$D$5,"Чекаємо даних",IF(S230=0,"Новий (без бази)",IF(OR(T230=0,W230=0),"Мало даних",IF(K230&lt;=-$F$5,"Покращило",IF(K230&gt;=$F$5,"Погіршило","Без змін"))))))</f>
        <v/>
      </c>
      <c r="Q230" s="50"/>
      <c r="R230" s="1"/>
      <c r="S230" s="52" t="str">
        <f aca="false">IF($C230="","",SUMIFS(Статистика!$E$7:$E$1006,Статистика!$B$7:$B$1006,"&gt;="&amp;($C230-$D$5),Статистика!$B$7:$B$1006,"&lt;="&amp;($C230-1),Статистика!$C$7:$C$1006,IF($D230="","&lt;&gt;§",$D230),Статистика!$D$7:$D$1006,IF($E230="","&lt;&gt;§",$E230)))</f>
        <v/>
      </c>
      <c r="T230" s="52" t="str">
        <f aca="false">IF($C230="","",SUMIFS(Статистика!$H$7:$H$1006,Статистика!$B$7:$B$1006,"&gt;="&amp;($C230-$D$5),Статистика!$B$7:$B$1006,"&lt;="&amp;($C230-1),Статистика!$C$7:$C$1006,IF($D230="","&lt;&gt;§",$D230),Статистика!$D$7:$D$1006,IF($E230="","&lt;&gt;§",$E230)))</f>
        <v/>
      </c>
      <c r="U230" s="52" t="str">
        <f aca="false">IF($C230="","",SUMIFS(Статистика!$T$7:$T$1006,Статистика!$B$7:$B$1006,"&gt;="&amp;($C230-$D$5),Статистика!$B$7:$B$1006,"&lt;="&amp;($C230-1),Статистика!$C$7:$C$1006,IF($D230="","&lt;&gt;§",$D230),Статистика!$D$7:$D$1006,IF($E230="","&lt;&gt;§",$E230)))</f>
        <v/>
      </c>
      <c r="V230" s="52" t="str">
        <f aca="false">IF($C230="","",SUMIFS(Статистика!$E$7:$E$1006,Статистика!$B$7:$B$1006,"&gt;="&amp;($C230+1),Статистика!$B$7:$B$1006,"&lt;="&amp;($C230+$D$5),Статистика!$C$7:$C$1006,IF($D230="","&lt;&gt;§",$D230),Статистика!$D$7:$D$1006,IF($E230="","&lt;&gt;§",$E230)))</f>
        <v/>
      </c>
      <c r="W230" s="52" t="str">
        <f aca="false">IF($C230="","",SUMIFS(Статистика!$H$7:$H$1006,Статистика!$B$7:$B$1006,"&gt;="&amp;($C230+1),Статистика!$B$7:$B$1006,"&lt;="&amp;($C230+$D$5),Статистика!$C$7:$C$1006,IF($D230="","&lt;&gt;§",$D230),Статистика!$D$7:$D$1006,IF($E230="","&lt;&gt;§",$E230)))</f>
        <v/>
      </c>
      <c r="X230" s="52" t="str">
        <f aca="false">IF($C230="","",SUMIFS(Статистика!$T$7:$T$1006,Статистика!$B$7:$B$1006,"&gt;="&amp;($C230+1),Статистика!$B$7:$B$1006,"&lt;="&amp;($C230+$D$5),Статистика!$C$7:$C$1006,IF($D230="","&lt;&gt;§",$D230),Статистика!$D$7:$D$1006,IF($E230="","&lt;&gt;§",$E230)))</f>
        <v/>
      </c>
      <c r="Y230" s="1"/>
      <c r="Z230" s="1"/>
      <c r="AA230" s="1"/>
      <c r="AB230" s="1"/>
      <c r="AC230" s="1"/>
      <c r="AD230" s="1"/>
    </row>
    <row r="231" customFormat="false" ht="30" hidden="false" customHeight="true" outlineLevel="0" collapsed="false">
      <c r="A231" s="1"/>
      <c r="B231" s="49" t="str">
        <f aca="false">IF($C231="","",ROW()-8)</f>
        <v/>
      </c>
      <c r="C231" s="35"/>
      <c r="D231" s="8"/>
      <c r="E231" s="26"/>
      <c r="F231" s="26"/>
      <c r="G231" s="50"/>
      <c r="H231" s="50"/>
      <c r="I231" s="30" t="str">
        <f aca="false">IF($C231="","",IFERROR(S231/T231,"—"))</f>
        <v/>
      </c>
      <c r="J231" s="30" t="str">
        <f aca="false">IF($C231="","",IFERROR(V231/W231,"—"))</f>
        <v/>
      </c>
      <c r="K231" s="41" t="str">
        <f aca="false">IF($C231="","",IFERROR(J231/I231-1,""))</f>
        <v/>
      </c>
      <c r="L231" s="41" t="str">
        <f aca="false">IF($C231="","",IFERROR((U231-S231)/S231,"—"))</f>
        <v/>
      </c>
      <c r="M231" s="41" t="str">
        <f aca="false">IF($C231="","",IFERROR((X231-V231)/V231,"—"))</f>
        <v/>
      </c>
      <c r="N231" s="39" t="str">
        <f aca="false">IF($C231="","",T231/$D$5)</f>
        <v/>
      </c>
      <c r="O231" s="39" t="str">
        <f aca="false">IF($C231="","",W231/$D$5)</f>
        <v/>
      </c>
      <c r="P231" s="51" t="str">
        <f aca="false">IF($C231="","",IF(MAX(Статистика!$B$7:$B$1006)&lt;$C231+$D$5,"Чекаємо даних",IF(S231=0,"Новий (без бази)",IF(OR(T231=0,W231=0),"Мало даних",IF(K231&lt;=-$F$5,"Покращило",IF(K231&gt;=$F$5,"Погіршило","Без змін"))))))</f>
        <v/>
      </c>
      <c r="Q231" s="50"/>
      <c r="R231" s="1"/>
      <c r="S231" s="52" t="str">
        <f aca="false">IF($C231="","",SUMIFS(Статистика!$E$7:$E$1006,Статистика!$B$7:$B$1006,"&gt;="&amp;($C231-$D$5),Статистика!$B$7:$B$1006,"&lt;="&amp;($C231-1),Статистика!$C$7:$C$1006,IF($D231="","&lt;&gt;§",$D231),Статистика!$D$7:$D$1006,IF($E231="","&lt;&gt;§",$E231)))</f>
        <v/>
      </c>
      <c r="T231" s="52" t="str">
        <f aca="false">IF($C231="","",SUMIFS(Статистика!$H$7:$H$1006,Статистика!$B$7:$B$1006,"&gt;="&amp;($C231-$D$5),Статистика!$B$7:$B$1006,"&lt;="&amp;($C231-1),Статистика!$C$7:$C$1006,IF($D231="","&lt;&gt;§",$D231),Статистика!$D$7:$D$1006,IF($E231="","&lt;&gt;§",$E231)))</f>
        <v/>
      </c>
      <c r="U231" s="52" t="str">
        <f aca="false">IF($C231="","",SUMIFS(Статистика!$T$7:$T$1006,Статистика!$B$7:$B$1006,"&gt;="&amp;($C231-$D$5),Статистика!$B$7:$B$1006,"&lt;="&amp;($C231-1),Статистика!$C$7:$C$1006,IF($D231="","&lt;&gt;§",$D231),Статистика!$D$7:$D$1006,IF($E231="","&lt;&gt;§",$E231)))</f>
        <v/>
      </c>
      <c r="V231" s="52" t="str">
        <f aca="false">IF($C231="","",SUMIFS(Статистика!$E$7:$E$1006,Статистика!$B$7:$B$1006,"&gt;="&amp;($C231+1),Статистика!$B$7:$B$1006,"&lt;="&amp;($C231+$D$5),Статистика!$C$7:$C$1006,IF($D231="","&lt;&gt;§",$D231),Статистика!$D$7:$D$1006,IF($E231="","&lt;&gt;§",$E231)))</f>
        <v/>
      </c>
      <c r="W231" s="52" t="str">
        <f aca="false">IF($C231="","",SUMIFS(Статистика!$H$7:$H$1006,Статистика!$B$7:$B$1006,"&gt;="&amp;($C231+1),Статистика!$B$7:$B$1006,"&lt;="&amp;($C231+$D$5),Статистика!$C$7:$C$1006,IF($D231="","&lt;&gt;§",$D231),Статистика!$D$7:$D$1006,IF($E231="","&lt;&gt;§",$E231)))</f>
        <v/>
      </c>
      <c r="X231" s="52" t="str">
        <f aca="false">IF($C231="","",SUMIFS(Статистика!$T$7:$T$1006,Статистика!$B$7:$B$1006,"&gt;="&amp;($C231+1),Статистика!$B$7:$B$1006,"&lt;="&amp;($C231+$D$5),Статистика!$C$7:$C$1006,IF($D231="","&lt;&gt;§",$D231),Статистика!$D$7:$D$1006,IF($E231="","&lt;&gt;§",$E231)))</f>
        <v/>
      </c>
      <c r="Y231" s="1"/>
      <c r="Z231" s="1"/>
      <c r="AA231" s="1"/>
      <c r="AB231" s="1"/>
      <c r="AC231" s="1"/>
      <c r="AD231" s="1"/>
    </row>
    <row r="232" customFormat="false" ht="30" hidden="false" customHeight="true" outlineLevel="0" collapsed="false">
      <c r="A232" s="1"/>
      <c r="B232" s="49" t="str">
        <f aca="false">IF($C232="","",ROW()-8)</f>
        <v/>
      </c>
      <c r="C232" s="35"/>
      <c r="D232" s="8"/>
      <c r="E232" s="26"/>
      <c r="F232" s="26"/>
      <c r="G232" s="50"/>
      <c r="H232" s="50"/>
      <c r="I232" s="30" t="str">
        <f aca="false">IF($C232="","",IFERROR(S232/T232,"—"))</f>
        <v/>
      </c>
      <c r="J232" s="30" t="str">
        <f aca="false">IF($C232="","",IFERROR(V232/W232,"—"))</f>
        <v/>
      </c>
      <c r="K232" s="41" t="str">
        <f aca="false">IF($C232="","",IFERROR(J232/I232-1,""))</f>
        <v/>
      </c>
      <c r="L232" s="41" t="str">
        <f aca="false">IF($C232="","",IFERROR((U232-S232)/S232,"—"))</f>
        <v/>
      </c>
      <c r="M232" s="41" t="str">
        <f aca="false">IF($C232="","",IFERROR((X232-V232)/V232,"—"))</f>
        <v/>
      </c>
      <c r="N232" s="39" t="str">
        <f aca="false">IF($C232="","",T232/$D$5)</f>
        <v/>
      </c>
      <c r="O232" s="39" t="str">
        <f aca="false">IF($C232="","",W232/$D$5)</f>
        <v/>
      </c>
      <c r="P232" s="51" t="str">
        <f aca="false">IF($C232="","",IF(MAX(Статистика!$B$7:$B$1006)&lt;$C232+$D$5,"Чекаємо даних",IF(S232=0,"Новий (без бази)",IF(OR(T232=0,W232=0),"Мало даних",IF(K232&lt;=-$F$5,"Покращило",IF(K232&gt;=$F$5,"Погіршило","Без змін"))))))</f>
        <v/>
      </c>
      <c r="Q232" s="50"/>
      <c r="R232" s="1"/>
      <c r="S232" s="52" t="str">
        <f aca="false">IF($C232="","",SUMIFS(Статистика!$E$7:$E$1006,Статистика!$B$7:$B$1006,"&gt;="&amp;($C232-$D$5),Статистика!$B$7:$B$1006,"&lt;="&amp;($C232-1),Статистика!$C$7:$C$1006,IF($D232="","&lt;&gt;§",$D232),Статистика!$D$7:$D$1006,IF($E232="","&lt;&gt;§",$E232)))</f>
        <v/>
      </c>
      <c r="T232" s="52" t="str">
        <f aca="false">IF($C232="","",SUMIFS(Статистика!$H$7:$H$1006,Статистика!$B$7:$B$1006,"&gt;="&amp;($C232-$D$5),Статистика!$B$7:$B$1006,"&lt;="&amp;($C232-1),Статистика!$C$7:$C$1006,IF($D232="","&lt;&gt;§",$D232),Статистика!$D$7:$D$1006,IF($E232="","&lt;&gt;§",$E232)))</f>
        <v/>
      </c>
      <c r="U232" s="52" t="str">
        <f aca="false">IF($C232="","",SUMIFS(Статистика!$T$7:$T$1006,Статистика!$B$7:$B$1006,"&gt;="&amp;($C232-$D$5),Статистика!$B$7:$B$1006,"&lt;="&amp;($C232-1),Статистика!$C$7:$C$1006,IF($D232="","&lt;&gt;§",$D232),Статистика!$D$7:$D$1006,IF($E232="","&lt;&gt;§",$E232)))</f>
        <v/>
      </c>
      <c r="V232" s="52" t="str">
        <f aca="false">IF($C232="","",SUMIFS(Статистика!$E$7:$E$1006,Статистика!$B$7:$B$1006,"&gt;="&amp;($C232+1),Статистика!$B$7:$B$1006,"&lt;="&amp;($C232+$D$5),Статистика!$C$7:$C$1006,IF($D232="","&lt;&gt;§",$D232),Статистика!$D$7:$D$1006,IF($E232="","&lt;&gt;§",$E232)))</f>
        <v/>
      </c>
      <c r="W232" s="52" t="str">
        <f aca="false">IF($C232="","",SUMIFS(Статистика!$H$7:$H$1006,Статистика!$B$7:$B$1006,"&gt;="&amp;($C232+1),Статистика!$B$7:$B$1006,"&lt;="&amp;($C232+$D$5),Статистика!$C$7:$C$1006,IF($D232="","&lt;&gt;§",$D232),Статистика!$D$7:$D$1006,IF($E232="","&lt;&gt;§",$E232)))</f>
        <v/>
      </c>
      <c r="X232" s="52" t="str">
        <f aca="false">IF($C232="","",SUMIFS(Статистика!$T$7:$T$1006,Статистика!$B$7:$B$1006,"&gt;="&amp;($C232+1),Статистика!$B$7:$B$1006,"&lt;="&amp;($C232+$D$5),Статистика!$C$7:$C$1006,IF($D232="","&lt;&gt;§",$D232),Статистика!$D$7:$D$1006,IF($E232="","&lt;&gt;§",$E232)))</f>
        <v/>
      </c>
      <c r="Y232" s="1"/>
      <c r="Z232" s="1"/>
      <c r="AA232" s="1"/>
      <c r="AB232" s="1"/>
      <c r="AC232" s="1"/>
      <c r="AD232" s="1"/>
    </row>
    <row r="233" customFormat="false" ht="30" hidden="false" customHeight="true" outlineLevel="0" collapsed="false">
      <c r="A233" s="1"/>
      <c r="B233" s="49" t="str">
        <f aca="false">IF($C233="","",ROW()-8)</f>
        <v/>
      </c>
      <c r="C233" s="35"/>
      <c r="D233" s="8"/>
      <c r="E233" s="26"/>
      <c r="F233" s="26"/>
      <c r="G233" s="50"/>
      <c r="H233" s="50"/>
      <c r="I233" s="30" t="str">
        <f aca="false">IF($C233="","",IFERROR(S233/T233,"—"))</f>
        <v/>
      </c>
      <c r="J233" s="30" t="str">
        <f aca="false">IF($C233="","",IFERROR(V233/W233,"—"))</f>
        <v/>
      </c>
      <c r="K233" s="41" t="str">
        <f aca="false">IF($C233="","",IFERROR(J233/I233-1,""))</f>
        <v/>
      </c>
      <c r="L233" s="41" t="str">
        <f aca="false">IF($C233="","",IFERROR((U233-S233)/S233,"—"))</f>
        <v/>
      </c>
      <c r="M233" s="41" t="str">
        <f aca="false">IF($C233="","",IFERROR((X233-V233)/V233,"—"))</f>
        <v/>
      </c>
      <c r="N233" s="39" t="str">
        <f aca="false">IF($C233="","",T233/$D$5)</f>
        <v/>
      </c>
      <c r="O233" s="39" t="str">
        <f aca="false">IF($C233="","",W233/$D$5)</f>
        <v/>
      </c>
      <c r="P233" s="51" t="str">
        <f aca="false">IF($C233="","",IF(MAX(Статистика!$B$7:$B$1006)&lt;$C233+$D$5,"Чекаємо даних",IF(S233=0,"Новий (без бази)",IF(OR(T233=0,W233=0),"Мало даних",IF(K233&lt;=-$F$5,"Покращило",IF(K233&gt;=$F$5,"Погіршило","Без змін"))))))</f>
        <v/>
      </c>
      <c r="Q233" s="50"/>
      <c r="R233" s="1"/>
      <c r="S233" s="52" t="str">
        <f aca="false">IF($C233="","",SUMIFS(Статистика!$E$7:$E$1006,Статистика!$B$7:$B$1006,"&gt;="&amp;($C233-$D$5),Статистика!$B$7:$B$1006,"&lt;="&amp;($C233-1),Статистика!$C$7:$C$1006,IF($D233="","&lt;&gt;§",$D233),Статистика!$D$7:$D$1006,IF($E233="","&lt;&gt;§",$E233)))</f>
        <v/>
      </c>
      <c r="T233" s="52" t="str">
        <f aca="false">IF($C233="","",SUMIFS(Статистика!$H$7:$H$1006,Статистика!$B$7:$B$1006,"&gt;="&amp;($C233-$D$5),Статистика!$B$7:$B$1006,"&lt;="&amp;($C233-1),Статистика!$C$7:$C$1006,IF($D233="","&lt;&gt;§",$D233),Статистика!$D$7:$D$1006,IF($E233="","&lt;&gt;§",$E233)))</f>
        <v/>
      </c>
      <c r="U233" s="52" t="str">
        <f aca="false">IF($C233="","",SUMIFS(Статистика!$T$7:$T$1006,Статистика!$B$7:$B$1006,"&gt;="&amp;($C233-$D$5),Статистика!$B$7:$B$1006,"&lt;="&amp;($C233-1),Статистика!$C$7:$C$1006,IF($D233="","&lt;&gt;§",$D233),Статистика!$D$7:$D$1006,IF($E233="","&lt;&gt;§",$E233)))</f>
        <v/>
      </c>
      <c r="V233" s="52" t="str">
        <f aca="false">IF($C233="","",SUMIFS(Статистика!$E$7:$E$1006,Статистика!$B$7:$B$1006,"&gt;="&amp;($C233+1),Статистика!$B$7:$B$1006,"&lt;="&amp;($C233+$D$5),Статистика!$C$7:$C$1006,IF($D233="","&lt;&gt;§",$D233),Статистика!$D$7:$D$1006,IF($E233="","&lt;&gt;§",$E233)))</f>
        <v/>
      </c>
      <c r="W233" s="52" t="str">
        <f aca="false">IF($C233="","",SUMIFS(Статистика!$H$7:$H$1006,Статистика!$B$7:$B$1006,"&gt;="&amp;($C233+1),Статистика!$B$7:$B$1006,"&lt;="&amp;($C233+$D$5),Статистика!$C$7:$C$1006,IF($D233="","&lt;&gt;§",$D233),Статистика!$D$7:$D$1006,IF($E233="","&lt;&gt;§",$E233)))</f>
        <v/>
      </c>
      <c r="X233" s="52" t="str">
        <f aca="false">IF($C233="","",SUMIFS(Статистика!$T$7:$T$1006,Статистика!$B$7:$B$1006,"&gt;="&amp;($C233+1),Статистика!$B$7:$B$1006,"&lt;="&amp;($C233+$D$5),Статистика!$C$7:$C$1006,IF($D233="","&lt;&gt;§",$D233),Статистика!$D$7:$D$1006,IF($E233="","&lt;&gt;§",$E233)))</f>
        <v/>
      </c>
      <c r="Y233" s="1"/>
      <c r="Z233" s="1"/>
      <c r="AA233" s="1"/>
      <c r="AB233" s="1"/>
      <c r="AC233" s="1"/>
      <c r="AD233" s="1"/>
    </row>
    <row r="234" customFormat="false" ht="30" hidden="false" customHeight="true" outlineLevel="0" collapsed="false">
      <c r="A234" s="1"/>
      <c r="B234" s="49" t="str">
        <f aca="false">IF($C234="","",ROW()-8)</f>
        <v/>
      </c>
      <c r="C234" s="35"/>
      <c r="D234" s="8"/>
      <c r="E234" s="26"/>
      <c r="F234" s="26"/>
      <c r="G234" s="50"/>
      <c r="H234" s="50"/>
      <c r="I234" s="30" t="str">
        <f aca="false">IF($C234="","",IFERROR(S234/T234,"—"))</f>
        <v/>
      </c>
      <c r="J234" s="30" t="str">
        <f aca="false">IF($C234="","",IFERROR(V234/W234,"—"))</f>
        <v/>
      </c>
      <c r="K234" s="41" t="str">
        <f aca="false">IF($C234="","",IFERROR(J234/I234-1,""))</f>
        <v/>
      </c>
      <c r="L234" s="41" t="str">
        <f aca="false">IF($C234="","",IFERROR((U234-S234)/S234,"—"))</f>
        <v/>
      </c>
      <c r="M234" s="41" t="str">
        <f aca="false">IF($C234="","",IFERROR((X234-V234)/V234,"—"))</f>
        <v/>
      </c>
      <c r="N234" s="39" t="str">
        <f aca="false">IF($C234="","",T234/$D$5)</f>
        <v/>
      </c>
      <c r="O234" s="39" t="str">
        <f aca="false">IF($C234="","",W234/$D$5)</f>
        <v/>
      </c>
      <c r="P234" s="51" t="str">
        <f aca="false">IF($C234="","",IF(MAX(Статистика!$B$7:$B$1006)&lt;$C234+$D$5,"Чекаємо даних",IF(S234=0,"Новий (без бази)",IF(OR(T234=0,W234=0),"Мало даних",IF(K234&lt;=-$F$5,"Покращило",IF(K234&gt;=$F$5,"Погіршило","Без змін"))))))</f>
        <v/>
      </c>
      <c r="Q234" s="50"/>
      <c r="R234" s="1"/>
      <c r="S234" s="52" t="str">
        <f aca="false">IF($C234="","",SUMIFS(Статистика!$E$7:$E$1006,Статистика!$B$7:$B$1006,"&gt;="&amp;($C234-$D$5),Статистика!$B$7:$B$1006,"&lt;="&amp;($C234-1),Статистика!$C$7:$C$1006,IF($D234="","&lt;&gt;§",$D234),Статистика!$D$7:$D$1006,IF($E234="","&lt;&gt;§",$E234)))</f>
        <v/>
      </c>
      <c r="T234" s="52" t="str">
        <f aca="false">IF($C234="","",SUMIFS(Статистика!$H$7:$H$1006,Статистика!$B$7:$B$1006,"&gt;="&amp;($C234-$D$5),Статистика!$B$7:$B$1006,"&lt;="&amp;($C234-1),Статистика!$C$7:$C$1006,IF($D234="","&lt;&gt;§",$D234),Статистика!$D$7:$D$1006,IF($E234="","&lt;&gt;§",$E234)))</f>
        <v/>
      </c>
      <c r="U234" s="52" t="str">
        <f aca="false">IF($C234="","",SUMIFS(Статистика!$T$7:$T$1006,Статистика!$B$7:$B$1006,"&gt;="&amp;($C234-$D$5),Статистика!$B$7:$B$1006,"&lt;="&amp;($C234-1),Статистика!$C$7:$C$1006,IF($D234="","&lt;&gt;§",$D234),Статистика!$D$7:$D$1006,IF($E234="","&lt;&gt;§",$E234)))</f>
        <v/>
      </c>
      <c r="V234" s="52" t="str">
        <f aca="false">IF($C234="","",SUMIFS(Статистика!$E$7:$E$1006,Статистика!$B$7:$B$1006,"&gt;="&amp;($C234+1),Статистика!$B$7:$B$1006,"&lt;="&amp;($C234+$D$5),Статистика!$C$7:$C$1006,IF($D234="","&lt;&gt;§",$D234),Статистика!$D$7:$D$1006,IF($E234="","&lt;&gt;§",$E234)))</f>
        <v/>
      </c>
      <c r="W234" s="52" t="str">
        <f aca="false">IF($C234="","",SUMIFS(Статистика!$H$7:$H$1006,Статистика!$B$7:$B$1006,"&gt;="&amp;($C234+1),Статистика!$B$7:$B$1006,"&lt;="&amp;($C234+$D$5),Статистика!$C$7:$C$1006,IF($D234="","&lt;&gt;§",$D234),Статистика!$D$7:$D$1006,IF($E234="","&lt;&gt;§",$E234)))</f>
        <v/>
      </c>
      <c r="X234" s="52" t="str">
        <f aca="false">IF($C234="","",SUMIFS(Статистика!$T$7:$T$1006,Статистика!$B$7:$B$1006,"&gt;="&amp;($C234+1),Статистика!$B$7:$B$1006,"&lt;="&amp;($C234+$D$5),Статистика!$C$7:$C$1006,IF($D234="","&lt;&gt;§",$D234),Статистика!$D$7:$D$1006,IF($E234="","&lt;&gt;§",$E234)))</f>
        <v/>
      </c>
      <c r="Y234" s="1"/>
      <c r="Z234" s="1"/>
      <c r="AA234" s="1"/>
      <c r="AB234" s="1"/>
      <c r="AC234" s="1"/>
      <c r="AD234" s="1"/>
    </row>
    <row r="235" customFormat="false" ht="30" hidden="false" customHeight="true" outlineLevel="0" collapsed="false">
      <c r="A235" s="1"/>
      <c r="B235" s="49" t="str">
        <f aca="false">IF($C235="","",ROW()-8)</f>
        <v/>
      </c>
      <c r="C235" s="35"/>
      <c r="D235" s="8"/>
      <c r="E235" s="26"/>
      <c r="F235" s="26"/>
      <c r="G235" s="50"/>
      <c r="H235" s="50"/>
      <c r="I235" s="30" t="str">
        <f aca="false">IF($C235="","",IFERROR(S235/T235,"—"))</f>
        <v/>
      </c>
      <c r="J235" s="30" t="str">
        <f aca="false">IF($C235="","",IFERROR(V235/W235,"—"))</f>
        <v/>
      </c>
      <c r="K235" s="41" t="str">
        <f aca="false">IF($C235="","",IFERROR(J235/I235-1,""))</f>
        <v/>
      </c>
      <c r="L235" s="41" t="str">
        <f aca="false">IF($C235="","",IFERROR((U235-S235)/S235,"—"))</f>
        <v/>
      </c>
      <c r="M235" s="41" t="str">
        <f aca="false">IF($C235="","",IFERROR((X235-V235)/V235,"—"))</f>
        <v/>
      </c>
      <c r="N235" s="39" t="str">
        <f aca="false">IF($C235="","",T235/$D$5)</f>
        <v/>
      </c>
      <c r="O235" s="39" t="str">
        <f aca="false">IF($C235="","",W235/$D$5)</f>
        <v/>
      </c>
      <c r="P235" s="51" t="str">
        <f aca="false">IF($C235="","",IF(MAX(Статистика!$B$7:$B$1006)&lt;$C235+$D$5,"Чекаємо даних",IF(S235=0,"Новий (без бази)",IF(OR(T235=0,W235=0),"Мало даних",IF(K235&lt;=-$F$5,"Покращило",IF(K235&gt;=$F$5,"Погіршило","Без змін"))))))</f>
        <v/>
      </c>
      <c r="Q235" s="50"/>
      <c r="R235" s="1"/>
      <c r="S235" s="52" t="str">
        <f aca="false">IF($C235="","",SUMIFS(Статистика!$E$7:$E$1006,Статистика!$B$7:$B$1006,"&gt;="&amp;($C235-$D$5),Статистика!$B$7:$B$1006,"&lt;="&amp;($C235-1),Статистика!$C$7:$C$1006,IF($D235="","&lt;&gt;§",$D235),Статистика!$D$7:$D$1006,IF($E235="","&lt;&gt;§",$E235)))</f>
        <v/>
      </c>
      <c r="T235" s="52" t="str">
        <f aca="false">IF($C235="","",SUMIFS(Статистика!$H$7:$H$1006,Статистика!$B$7:$B$1006,"&gt;="&amp;($C235-$D$5),Статистика!$B$7:$B$1006,"&lt;="&amp;($C235-1),Статистика!$C$7:$C$1006,IF($D235="","&lt;&gt;§",$D235),Статистика!$D$7:$D$1006,IF($E235="","&lt;&gt;§",$E235)))</f>
        <v/>
      </c>
      <c r="U235" s="52" t="str">
        <f aca="false">IF($C235="","",SUMIFS(Статистика!$T$7:$T$1006,Статистика!$B$7:$B$1006,"&gt;="&amp;($C235-$D$5),Статистика!$B$7:$B$1006,"&lt;="&amp;($C235-1),Статистика!$C$7:$C$1006,IF($D235="","&lt;&gt;§",$D235),Статистика!$D$7:$D$1006,IF($E235="","&lt;&gt;§",$E235)))</f>
        <v/>
      </c>
      <c r="V235" s="52" t="str">
        <f aca="false">IF($C235="","",SUMIFS(Статистика!$E$7:$E$1006,Статистика!$B$7:$B$1006,"&gt;="&amp;($C235+1),Статистика!$B$7:$B$1006,"&lt;="&amp;($C235+$D$5),Статистика!$C$7:$C$1006,IF($D235="","&lt;&gt;§",$D235),Статистика!$D$7:$D$1006,IF($E235="","&lt;&gt;§",$E235)))</f>
        <v/>
      </c>
      <c r="W235" s="52" t="str">
        <f aca="false">IF($C235="","",SUMIFS(Статистика!$H$7:$H$1006,Статистика!$B$7:$B$1006,"&gt;="&amp;($C235+1),Статистика!$B$7:$B$1006,"&lt;="&amp;($C235+$D$5),Статистика!$C$7:$C$1006,IF($D235="","&lt;&gt;§",$D235),Статистика!$D$7:$D$1006,IF($E235="","&lt;&gt;§",$E235)))</f>
        <v/>
      </c>
      <c r="X235" s="52" t="str">
        <f aca="false">IF($C235="","",SUMIFS(Статистика!$T$7:$T$1006,Статистика!$B$7:$B$1006,"&gt;="&amp;($C235+1),Статистика!$B$7:$B$1006,"&lt;="&amp;($C235+$D$5),Статистика!$C$7:$C$1006,IF($D235="","&lt;&gt;§",$D235),Статистика!$D$7:$D$1006,IF($E235="","&lt;&gt;§",$E235)))</f>
        <v/>
      </c>
      <c r="Y235" s="1"/>
      <c r="Z235" s="1"/>
      <c r="AA235" s="1"/>
      <c r="AB235" s="1"/>
      <c r="AC235" s="1"/>
      <c r="AD235" s="1"/>
    </row>
    <row r="236" customFormat="false" ht="30" hidden="false" customHeight="true" outlineLevel="0" collapsed="false">
      <c r="A236" s="1"/>
      <c r="B236" s="49" t="str">
        <f aca="false">IF($C236="","",ROW()-8)</f>
        <v/>
      </c>
      <c r="C236" s="35"/>
      <c r="D236" s="8"/>
      <c r="E236" s="26"/>
      <c r="F236" s="26"/>
      <c r="G236" s="50"/>
      <c r="H236" s="50"/>
      <c r="I236" s="30" t="str">
        <f aca="false">IF($C236="","",IFERROR(S236/T236,"—"))</f>
        <v/>
      </c>
      <c r="J236" s="30" t="str">
        <f aca="false">IF($C236="","",IFERROR(V236/W236,"—"))</f>
        <v/>
      </c>
      <c r="K236" s="41" t="str">
        <f aca="false">IF($C236="","",IFERROR(J236/I236-1,""))</f>
        <v/>
      </c>
      <c r="L236" s="41" t="str">
        <f aca="false">IF($C236="","",IFERROR((U236-S236)/S236,"—"))</f>
        <v/>
      </c>
      <c r="M236" s="41" t="str">
        <f aca="false">IF($C236="","",IFERROR((X236-V236)/V236,"—"))</f>
        <v/>
      </c>
      <c r="N236" s="39" t="str">
        <f aca="false">IF($C236="","",T236/$D$5)</f>
        <v/>
      </c>
      <c r="O236" s="39" t="str">
        <f aca="false">IF($C236="","",W236/$D$5)</f>
        <v/>
      </c>
      <c r="P236" s="51" t="str">
        <f aca="false">IF($C236="","",IF(MAX(Статистика!$B$7:$B$1006)&lt;$C236+$D$5,"Чекаємо даних",IF(S236=0,"Новий (без бази)",IF(OR(T236=0,W236=0),"Мало даних",IF(K236&lt;=-$F$5,"Покращило",IF(K236&gt;=$F$5,"Погіршило","Без змін"))))))</f>
        <v/>
      </c>
      <c r="Q236" s="50"/>
      <c r="R236" s="1"/>
      <c r="S236" s="52" t="str">
        <f aca="false">IF($C236="","",SUMIFS(Статистика!$E$7:$E$1006,Статистика!$B$7:$B$1006,"&gt;="&amp;($C236-$D$5),Статистика!$B$7:$B$1006,"&lt;="&amp;($C236-1),Статистика!$C$7:$C$1006,IF($D236="","&lt;&gt;§",$D236),Статистика!$D$7:$D$1006,IF($E236="","&lt;&gt;§",$E236)))</f>
        <v/>
      </c>
      <c r="T236" s="52" t="str">
        <f aca="false">IF($C236="","",SUMIFS(Статистика!$H$7:$H$1006,Статистика!$B$7:$B$1006,"&gt;="&amp;($C236-$D$5),Статистика!$B$7:$B$1006,"&lt;="&amp;($C236-1),Статистика!$C$7:$C$1006,IF($D236="","&lt;&gt;§",$D236),Статистика!$D$7:$D$1006,IF($E236="","&lt;&gt;§",$E236)))</f>
        <v/>
      </c>
      <c r="U236" s="52" t="str">
        <f aca="false">IF($C236="","",SUMIFS(Статистика!$T$7:$T$1006,Статистика!$B$7:$B$1006,"&gt;="&amp;($C236-$D$5),Статистика!$B$7:$B$1006,"&lt;="&amp;($C236-1),Статистика!$C$7:$C$1006,IF($D236="","&lt;&gt;§",$D236),Статистика!$D$7:$D$1006,IF($E236="","&lt;&gt;§",$E236)))</f>
        <v/>
      </c>
      <c r="V236" s="52" t="str">
        <f aca="false">IF($C236="","",SUMIFS(Статистика!$E$7:$E$1006,Статистика!$B$7:$B$1006,"&gt;="&amp;($C236+1),Статистика!$B$7:$B$1006,"&lt;="&amp;($C236+$D$5),Статистика!$C$7:$C$1006,IF($D236="","&lt;&gt;§",$D236),Статистика!$D$7:$D$1006,IF($E236="","&lt;&gt;§",$E236)))</f>
        <v/>
      </c>
      <c r="W236" s="52" t="str">
        <f aca="false">IF($C236="","",SUMIFS(Статистика!$H$7:$H$1006,Статистика!$B$7:$B$1006,"&gt;="&amp;($C236+1),Статистика!$B$7:$B$1006,"&lt;="&amp;($C236+$D$5),Статистика!$C$7:$C$1006,IF($D236="","&lt;&gt;§",$D236),Статистика!$D$7:$D$1006,IF($E236="","&lt;&gt;§",$E236)))</f>
        <v/>
      </c>
      <c r="X236" s="52" t="str">
        <f aca="false">IF($C236="","",SUMIFS(Статистика!$T$7:$T$1006,Статистика!$B$7:$B$1006,"&gt;="&amp;($C236+1),Статистика!$B$7:$B$1006,"&lt;="&amp;($C236+$D$5),Статистика!$C$7:$C$1006,IF($D236="","&lt;&gt;§",$D236),Статистика!$D$7:$D$1006,IF($E236="","&lt;&gt;§",$E236)))</f>
        <v/>
      </c>
      <c r="Y236" s="1"/>
      <c r="Z236" s="1"/>
      <c r="AA236" s="1"/>
      <c r="AB236" s="1"/>
      <c r="AC236" s="1"/>
      <c r="AD236" s="1"/>
    </row>
    <row r="237" customFormat="false" ht="30" hidden="false" customHeight="true" outlineLevel="0" collapsed="false">
      <c r="A237" s="1"/>
      <c r="B237" s="49" t="str">
        <f aca="false">IF($C237="","",ROW()-8)</f>
        <v/>
      </c>
      <c r="C237" s="35"/>
      <c r="D237" s="8"/>
      <c r="E237" s="26"/>
      <c r="F237" s="26"/>
      <c r="G237" s="50"/>
      <c r="H237" s="50"/>
      <c r="I237" s="30" t="str">
        <f aca="false">IF($C237="","",IFERROR(S237/T237,"—"))</f>
        <v/>
      </c>
      <c r="J237" s="30" t="str">
        <f aca="false">IF($C237="","",IFERROR(V237/W237,"—"))</f>
        <v/>
      </c>
      <c r="K237" s="41" t="str">
        <f aca="false">IF($C237="","",IFERROR(J237/I237-1,""))</f>
        <v/>
      </c>
      <c r="L237" s="41" t="str">
        <f aca="false">IF($C237="","",IFERROR((U237-S237)/S237,"—"))</f>
        <v/>
      </c>
      <c r="M237" s="41" t="str">
        <f aca="false">IF($C237="","",IFERROR((X237-V237)/V237,"—"))</f>
        <v/>
      </c>
      <c r="N237" s="39" t="str">
        <f aca="false">IF($C237="","",T237/$D$5)</f>
        <v/>
      </c>
      <c r="O237" s="39" t="str">
        <f aca="false">IF($C237="","",W237/$D$5)</f>
        <v/>
      </c>
      <c r="P237" s="51" t="str">
        <f aca="false">IF($C237="","",IF(MAX(Статистика!$B$7:$B$1006)&lt;$C237+$D$5,"Чекаємо даних",IF(S237=0,"Новий (без бази)",IF(OR(T237=0,W237=0),"Мало даних",IF(K237&lt;=-$F$5,"Покращило",IF(K237&gt;=$F$5,"Погіршило","Без змін"))))))</f>
        <v/>
      </c>
      <c r="Q237" s="50"/>
      <c r="R237" s="1"/>
      <c r="S237" s="52" t="str">
        <f aca="false">IF($C237="","",SUMIFS(Статистика!$E$7:$E$1006,Статистика!$B$7:$B$1006,"&gt;="&amp;($C237-$D$5),Статистика!$B$7:$B$1006,"&lt;="&amp;($C237-1),Статистика!$C$7:$C$1006,IF($D237="","&lt;&gt;§",$D237),Статистика!$D$7:$D$1006,IF($E237="","&lt;&gt;§",$E237)))</f>
        <v/>
      </c>
      <c r="T237" s="52" t="str">
        <f aca="false">IF($C237="","",SUMIFS(Статистика!$H$7:$H$1006,Статистика!$B$7:$B$1006,"&gt;="&amp;($C237-$D$5),Статистика!$B$7:$B$1006,"&lt;="&amp;($C237-1),Статистика!$C$7:$C$1006,IF($D237="","&lt;&gt;§",$D237),Статистика!$D$7:$D$1006,IF($E237="","&lt;&gt;§",$E237)))</f>
        <v/>
      </c>
      <c r="U237" s="52" t="str">
        <f aca="false">IF($C237="","",SUMIFS(Статистика!$T$7:$T$1006,Статистика!$B$7:$B$1006,"&gt;="&amp;($C237-$D$5),Статистика!$B$7:$B$1006,"&lt;="&amp;($C237-1),Статистика!$C$7:$C$1006,IF($D237="","&lt;&gt;§",$D237),Статистика!$D$7:$D$1006,IF($E237="","&lt;&gt;§",$E237)))</f>
        <v/>
      </c>
      <c r="V237" s="52" t="str">
        <f aca="false">IF($C237="","",SUMIFS(Статистика!$E$7:$E$1006,Статистика!$B$7:$B$1006,"&gt;="&amp;($C237+1),Статистика!$B$7:$B$1006,"&lt;="&amp;($C237+$D$5),Статистика!$C$7:$C$1006,IF($D237="","&lt;&gt;§",$D237),Статистика!$D$7:$D$1006,IF($E237="","&lt;&gt;§",$E237)))</f>
        <v/>
      </c>
      <c r="W237" s="52" t="str">
        <f aca="false">IF($C237="","",SUMIFS(Статистика!$H$7:$H$1006,Статистика!$B$7:$B$1006,"&gt;="&amp;($C237+1),Статистика!$B$7:$B$1006,"&lt;="&amp;($C237+$D$5),Статистика!$C$7:$C$1006,IF($D237="","&lt;&gt;§",$D237),Статистика!$D$7:$D$1006,IF($E237="","&lt;&gt;§",$E237)))</f>
        <v/>
      </c>
      <c r="X237" s="52" t="str">
        <f aca="false">IF($C237="","",SUMIFS(Статистика!$T$7:$T$1006,Статистика!$B$7:$B$1006,"&gt;="&amp;($C237+1),Статистика!$B$7:$B$1006,"&lt;="&amp;($C237+$D$5),Статистика!$C$7:$C$1006,IF($D237="","&lt;&gt;§",$D237),Статистика!$D$7:$D$1006,IF($E237="","&lt;&gt;§",$E237)))</f>
        <v/>
      </c>
      <c r="Y237" s="1"/>
      <c r="Z237" s="1"/>
      <c r="AA237" s="1"/>
      <c r="AB237" s="1"/>
      <c r="AC237" s="1"/>
      <c r="AD237" s="1"/>
    </row>
    <row r="238" customFormat="false" ht="30" hidden="false" customHeight="true" outlineLevel="0" collapsed="false">
      <c r="A238" s="1"/>
      <c r="B238" s="49" t="str">
        <f aca="false">IF($C238="","",ROW()-8)</f>
        <v/>
      </c>
      <c r="C238" s="35"/>
      <c r="D238" s="8"/>
      <c r="E238" s="26"/>
      <c r="F238" s="26"/>
      <c r="G238" s="50"/>
      <c r="H238" s="50"/>
      <c r="I238" s="30" t="str">
        <f aca="false">IF($C238="","",IFERROR(S238/T238,"—"))</f>
        <v/>
      </c>
      <c r="J238" s="30" t="str">
        <f aca="false">IF($C238="","",IFERROR(V238/W238,"—"))</f>
        <v/>
      </c>
      <c r="K238" s="41" t="str">
        <f aca="false">IF($C238="","",IFERROR(J238/I238-1,""))</f>
        <v/>
      </c>
      <c r="L238" s="41" t="str">
        <f aca="false">IF($C238="","",IFERROR((U238-S238)/S238,"—"))</f>
        <v/>
      </c>
      <c r="M238" s="41" t="str">
        <f aca="false">IF($C238="","",IFERROR((X238-V238)/V238,"—"))</f>
        <v/>
      </c>
      <c r="N238" s="39" t="str">
        <f aca="false">IF($C238="","",T238/$D$5)</f>
        <v/>
      </c>
      <c r="O238" s="39" t="str">
        <f aca="false">IF($C238="","",W238/$D$5)</f>
        <v/>
      </c>
      <c r="P238" s="51" t="str">
        <f aca="false">IF($C238="","",IF(MAX(Статистика!$B$7:$B$1006)&lt;$C238+$D$5,"Чекаємо даних",IF(S238=0,"Новий (без бази)",IF(OR(T238=0,W238=0),"Мало даних",IF(K238&lt;=-$F$5,"Покращило",IF(K238&gt;=$F$5,"Погіршило","Без змін"))))))</f>
        <v/>
      </c>
      <c r="Q238" s="50"/>
      <c r="R238" s="1"/>
      <c r="S238" s="52" t="str">
        <f aca="false">IF($C238="","",SUMIFS(Статистика!$E$7:$E$1006,Статистика!$B$7:$B$1006,"&gt;="&amp;($C238-$D$5),Статистика!$B$7:$B$1006,"&lt;="&amp;($C238-1),Статистика!$C$7:$C$1006,IF($D238="","&lt;&gt;§",$D238),Статистика!$D$7:$D$1006,IF($E238="","&lt;&gt;§",$E238)))</f>
        <v/>
      </c>
      <c r="T238" s="52" t="str">
        <f aca="false">IF($C238="","",SUMIFS(Статистика!$H$7:$H$1006,Статистика!$B$7:$B$1006,"&gt;="&amp;($C238-$D$5),Статистика!$B$7:$B$1006,"&lt;="&amp;($C238-1),Статистика!$C$7:$C$1006,IF($D238="","&lt;&gt;§",$D238),Статистика!$D$7:$D$1006,IF($E238="","&lt;&gt;§",$E238)))</f>
        <v/>
      </c>
      <c r="U238" s="52" t="str">
        <f aca="false">IF($C238="","",SUMIFS(Статистика!$T$7:$T$1006,Статистика!$B$7:$B$1006,"&gt;="&amp;($C238-$D$5),Статистика!$B$7:$B$1006,"&lt;="&amp;($C238-1),Статистика!$C$7:$C$1006,IF($D238="","&lt;&gt;§",$D238),Статистика!$D$7:$D$1006,IF($E238="","&lt;&gt;§",$E238)))</f>
        <v/>
      </c>
      <c r="V238" s="52" t="str">
        <f aca="false">IF($C238="","",SUMIFS(Статистика!$E$7:$E$1006,Статистика!$B$7:$B$1006,"&gt;="&amp;($C238+1),Статистика!$B$7:$B$1006,"&lt;="&amp;($C238+$D$5),Статистика!$C$7:$C$1006,IF($D238="","&lt;&gt;§",$D238),Статистика!$D$7:$D$1006,IF($E238="","&lt;&gt;§",$E238)))</f>
        <v/>
      </c>
      <c r="W238" s="52" t="str">
        <f aca="false">IF($C238="","",SUMIFS(Статистика!$H$7:$H$1006,Статистика!$B$7:$B$1006,"&gt;="&amp;($C238+1),Статистика!$B$7:$B$1006,"&lt;="&amp;($C238+$D$5),Статистика!$C$7:$C$1006,IF($D238="","&lt;&gt;§",$D238),Статистика!$D$7:$D$1006,IF($E238="","&lt;&gt;§",$E238)))</f>
        <v/>
      </c>
      <c r="X238" s="52" t="str">
        <f aca="false">IF($C238="","",SUMIFS(Статистика!$T$7:$T$1006,Статистика!$B$7:$B$1006,"&gt;="&amp;($C238+1),Статистика!$B$7:$B$1006,"&lt;="&amp;($C238+$D$5),Статистика!$C$7:$C$1006,IF($D238="","&lt;&gt;§",$D238),Статистика!$D$7:$D$1006,IF($E238="","&lt;&gt;§",$E238)))</f>
        <v/>
      </c>
      <c r="Y238" s="1"/>
      <c r="Z238" s="1"/>
      <c r="AA238" s="1"/>
      <c r="AB238" s="1"/>
      <c r="AC238" s="1"/>
      <c r="AD238" s="1"/>
    </row>
    <row r="239" customFormat="false" ht="30" hidden="false" customHeight="true" outlineLevel="0" collapsed="false">
      <c r="A239" s="1"/>
      <c r="B239" s="49" t="str">
        <f aca="false">IF($C239="","",ROW()-8)</f>
        <v/>
      </c>
      <c r="C239" s="35"/>
      <c r="D239" s="8"/>
      <c r="E239" s="26"/>
      <c r="F239" s="26"/>
      <c r="G239" s="50"/>
      <c r="H239" s="50"/>
      <c r="I239" s="30" t="str">
        <f aca="false">IF($C239="","",IFERROR(S239/T239,"—"))</f>
        <v/>
      </c>
      <c r="J239" s="30" t="str">
        <f aca="false">IF($C239="","",IFERROR(V239/W239,"—"))</f>
        <v/>
      </c>
      <c r="K239" s="41" t="str">
        <f aca="false">IF($C239="","",IFERROR(J239/I239-1,""))</f>
        <v/>
      </c>
      <c r="L239" s="41" t="str">
        <f aca="false">IF($C239="","",IFERROR((U239-S239)/S239,"—"))</f>
        <v/>
      </c>
      <c r="M239" s="41" t="str">
        <f aca="false">IF($C239="","",IFERROR((X239-V239)/V239,"—"))</f>
        <v/>
      </c>
      <c r="N239" s="39" t="str">
        <f aca="false">IF($C239="","",T239/$D$5)</f>
        <v/>
      </c>
      <c r="O239" s="39" t="str">
        <f aca="false">IF($C239="","",W239/$D$5)</f>
        <v/>
      </c>
      <c r="P239" s="51" t="str">
        <f aca="false">IF($C239="","",IF(MAX(Статистика!$B$7:$B$1006)&lt;$C239+$D$5,"Чекаємо даних",IF(S239=0,"Новий (без бази)",IF(OR(T239=0,W239=0),"Мало даних",IF(K239&lt;=-$F$5,"Покращило",IF(K239&gt;=$F$5,"Погіршило","Без змін"))))))</f>
        <v/>
      </c>
      <c r="Q239" s="50"/>
      <c r="R239" s="1"/>
      <c r="S239" s="52" t="str">
        <f aca="false">IF($C239="","",SUMIFS(Статистика!$E$7:$E$1006,Статистика!$B$7:$B$1006,"&gt;="&amp;($C239-$D$5),Статистика!$B$7:$B$1006,"&lt;="&amp;($C239-1),Статистика!$C$7:$C$1006,IF($D239="","&lt;&gt;§",$D239),Статистика!$D$7:$D$1006,IF($E239="","&lt;&gt;§",$E239)))</f>
        <v/>
      </c>
      <c r="T239" s="52" t="str">
        <f aca="false">IF($C239="","",SUMIFS(Статистика!$H$7:$H$1006,Статистика!$B$7:$B$1006,"&gt;="&amp;($C239-$D$5),Статистика!$B$7:$B$1006,"&lt;="&amp;($C239-1),Статистика!$C$7:$C$1006,IF($D239="","&lt;&gt;§",$D239),Статистика!$D$7:$D$1006,IF($E239="","&lt;&gt;§",$E239)))</f>
        <v/>
      </c>
      <c r="U239" s="52" t="str">
        <f aca="false">IF($C239="","",SUMIFS(Статистика!$T$7:$T$1006,Статистика!$B$7:$B$1006,"&gt;="&amp;($C239-$D$5),Статистика!$B$7:$B$1006,"&lt;="&amp;($C239-1),Статистика!$C$7:$C$1006,IF($D239="","&lt;&gt;§",$D239),Статистика!$D$7:$D$1006,IF($E239="","&lt;&gt;§",$E239)))</f>
        <v/>
      </c>
      <c r="V239" s="52" t="str">
        <f aca="false">IF($C239="","",SUMIFS(Статистика!$E$7:$E$1006,Статистика!$B$7:$B$1006,"&gt;="&amp;($C239+1),Статистика!$B$7:$B$1006,"&lt;="&amp;($C239+$D$5),Статистика!$C$7:$C$1006,IF($D239="","&lt;&gt;§",$D239),Статистика!$D$7:$D$1006,IF($E239="","&lt;&gt;§",$E239)))</f>
        <v/>
      </c>
      <c r="W239" s="52" t="str">
        <f aca="false">IF($C239="","",SUMIFS(Статистика!$H$7:$H$1006,Статистика!$B$7:$B$1006,"&gt;="&amp;($C239+1),Статистика!$B$7:$B$1006,"&lt;="&amp;($C239+$D$5),Статистика!$C$7:$C$1006,IF($D239="","&lt;&gt;§",$D239),Статистика!$D$7:$D$1006,IF($E239="","&lt;&gt;§",$E239)))</f>
        <v/>
      </c>
      <c r="X239" s="52" t="str">
        <f aca="false">IF($C239="","",SUMIFS(Статистика!$T$7:$T$1006,Статистика!$B$7:$B$1006,"&gt;="&amp;($C239+1),Статистика!$B$7:$B$1006,"&lt;="&amp;($C239+$D$5),Статистика!$C$7:$C$1006,IF($D239="","&lt;&gt;§",$D239),Статистика!$D$7:$D$1006,IF($E239="","&lt;&gt;§",$E239)))</f>
        <v/>
      </c>
      <c r="Y239" s="1"/>
      <c r="Z239" s="1"/>
      <c r="AA239" s="1"/>
      <c r="AB239" s="1"/>
      <c r="AC239" s="1"/>
      <c r="AD239" s="1"/>
    </row>
    <row r="240" customFormat="false" ht="30" hidden="false" customHeight="true" outlineLevel="0" collapsed="false">
      <c r="A240" s="1"/>
      <c r="B240" s="49" t="str">
        <f aca="false">IF($C240="","",ROW()-8)</f>
        <v/>
      </c>
      <c r="C240" s="35"/>
      <c r="D240" s="8"/>
      <c r="E240" s="26"/>
      <c r="F240" s="26"/>
      <c r="G240" s="50"/>
      <c r="H240" s="50"/>
      <c r="I240" s="30" t="str">
        <f aca="false">IF($C240="","",IFERROR(S240/T240,"—"))</f>
        <v/>
      </c>
      <c r="J240" s="30" t="str">
        <f aca="false">IF($C240="","",IFERROR(V240/W240,"—"))</f>
        <v/>
      </c>
      <c r="K240" s="41" t="str">
        <f aca="false">IF($C240="","",IFERROR(J240/I240-1,""))</f>
        <v/>
      </c>
      <c r="L240" s="41" t="str">
        <f aca="false">IF($C240="","",IFERROR((U240-S240)/S240,"—"))</f>
        <v/>
      </c>
      <c r="M240" s="41" t="str">
        <f aca="false">IF($C240="","",IFERROR((X240-V240)/V240,"—"))</f>
        <v/>
      </c>
      <c r="N240" s="39" t="str">
        <f aca="false">IF($C240="","",T240/$D$5)</f>
        <v/>
      </c>
      <c r="O240" s="39" t="str">
        <f aca="false">IF($C240="","",W240/$D$5)</f>
        <v/>
      </c>
      <c r="P240" s="51" t="str">
        <f aca="false">IF($C240="","",IF(MAX(Статистика!$B$7:$B$1006)&lt;$C240+$D$5,"Чекаємо даних",IF(S240=0,"Новий (без бази)",IF(OR(T240=0,W240=0),"Мало даних",IF(K240&lt;=-$F$5,"Покращило",IF(K240&gt;=$F$5,"Погіршило","Без змін"))))))</f>
        <v/>
      </c>
      <c r="Q240" s="50"/>
      <c r="R240" s="1"/>
      <c r="S240" s="52" t="str">
        <f aca="false">IF($C240="","",SUMIFS(Статистика!$E$7:$E$1006,Статистика!$B$7:$B$1006,"&gt;="&amp;($C240-$D$5),Статистика!$B$7:$B$1006,"&lt;="&amp;($C240-1),Статистика!$C$7:$C$1006,IF($D240="","&lt;&gt;§",$D240),Статистика!$D$7:$D$1006,IF($E240="","&lt;&gt;§",$E240)))</f>
        <v/>
      </c>
      <c r="T240" s="52" t="str">
        <f aca="false">IF($C240="","",SUMIFS(Статистика!$H$7:$H$1006,Статистика!$B$7:$B$1006,"&gt;="&amp;($C240-$D$5),Статистика!$B$7:$B$1006,"&lt;="&amp;($C240-1),Статистика!$C$7:$C$1006,IF($D240="","&lt;&gt;§",$D240),Статистика!$D$7:$D$1006,IF($E240="","&lt;&gt;§",$E240)))</f>
        <v/>
      </c>
      <c r="U240" s="52" t="str">
        <f aca="false">IF($C240="","",SUMIFS(Статистика!$T$7:$T$1006,Статистика!$B$7:$B$1006,"&gt;="&amp;($C240-$D$5),Статистика!$B$7:$B$1006,"&lt;="&amp;($C240-1),Статистика!$C$7:$C$1006,IF($D240="","&lt;&gt;§",$D240),Статистика!$D$7:$D$1006,IF($E240="","&lt;&gt;§",$E240)))</f>
        <v/>
      </c>
      <c r="V240" s="52" t="str">
        <f aca="false">IF($C240="","",SUMIFS(Статистика!$E$7:$E$1006,Статистика!$B$7:$B$1006,"&gt;="&amp;($C240+1),Статистика!$B$7:$B$1006,"&lt;="&amp;($C240+$D$5),Статистика!$C$7:$C$1006,IF($D240="","&lt;&gt;§",$D240),Статистика!$D$7:$D$1006,IF($E240="","&lt;&gt;§",$E240)))</f>
        <v/>
      </c>
      <c r="W240" s="52" t="str">
        <f aca="false">IF($C240="","",SUMIFS(Статистика!$H$7:$H$1006,Статистика!$B$7:$B$1006,"&gt;="&amp;($C240+1),Статистика!$B$7:$B$1006,"&lt;="&amp;($C240+$D$5),Статистика!$C$7:$C$1006,IF($D240="","&lt;&gt;§",$D240),Статистика!$D$7:$D$1006,IF($E240="","&lt;&gt;§",$E240)))</f>
        <v/>
      </c>
      <c r="X240" s="52" t="str">
        <f aca="false">IF($C240="","",SUMIFS(Статистика!$T$7:$T$1006,Статистика!$B$7:$B$1006,"&gt;="&amp;($C240+1),Статистика!$B$7:$B$1006,"&lt;="&amp;($C240+$D$5),Статистика!$C$7:$C$1006,IF($D240="","&lt;&gt;§",$D240),Статистика!$D$7:$D$1006,IF($E240="","&lt;&gt;§",$E240)))</f>
        <v/>
      </c>
      <c r="Y240" s="1"/>
      <c r="Z240" s="1"/>
      <c r="AA240" s="1"/>
      <c r="AB240" s="1"/>
      <c r="AC240" s="1"/>
      <c r="AD240" s="1"/>
    </row>
    <row r="241" customFormat="false" ht="30" hidden="false" customHeight="true" outlineLevel="0" collapsed="false">
      <c r="A241" s="1"/>
      <c r="B241" s="49" t="str">
        <f aca="false">IF($C241="","",ROW()-8)</f>
        <v/>
      </c>
      <c r="C241" s="35"/>
      <c r="D241" s="8"/>
      <c r="E241" s="26"/>
      <c r="F241" s="26"/>
      <c r="G241" s="50"/>
      <c r="H241" s="50"/>
      <c r="I241" s="30" t="str">
        <f aca="false">IF($C241="","",IFERROR(S241/T241,"—"))</f>
        <v/>
      </c>
      <c r="J241" s="30" t="str">
        <f aca="false">IF($C241="","",IFERROR(V241/W241,"—"))</f>
        <v/>
      </c>
      <c r="K241" s="41" t="str">
        <f aca="false">IF($C241="","",IFERROR(J241/I241-1,""))</f>
        <v/>
      </c>
      <c r="L241" s="41" t="str">
        <f aca="false">IF($C241="","",IFERROR((U241-S241)/S241,"—"))</f>
        <v/>
      </c>
      <c r="M241" s="41" t="str">
        <f aca="false">IF($C241="","",IFERROR((X241-V241)/V241,"—"))</f>
        <v/>
      </c>
      <c r="N241" s="39" t="str">
        <f aca="false">IF($C241="","",T241/$D$5)</f>
        <v/>
      </c>
      <c r="O241" s="39" t="str">
        <f aca="false">IF($C241="","",W241/$D$5)</f>
        <v/>
      </c>
      <c r="P241" s="51" t="str">
        <f aca="false">IF($C241="","",IF(MAX(Статистика!$B$7:$B$1006)&lt;$C241+$D$5,"Чекаємо даних",IF(S241=0,"Новий (без бази)",IF(OR(T241=0,W241=0),"Мало даних",IF(K241&lt;=-$F$5,"Покращило",IF(K241&gt;=$F$5,"Погіршило","Без змін"))))))</f>
        <v/>
      </c>
      <c r="Q241" s="50"/>
      <c r="R241" s="1"/>
      <c r="S241" s="52" t="str">
        <f aca="false">IF($C241="","",SUMIFS(Статистика!$E$7:$E$1006,Статистика!$B$7:$B$1006,"&gt;="&amp;($C241-$D$5),Статистика!$B$7:$B$1006,"&lt;="&amp;($C241-1),Статистика!$C$7:$C$1006,IF($D241="","&lt;&gt;§",$D241),Статистика!$D$7:$D$1006,IF($E241="","&lt;&gt;§",$E241)))</f>
        <v/>
      </c>
      <c r="T241" s="52" t="str">
        <f aca="false">IF($C241="","",SUMIFS(Статистика!$H$7:$H$1006,Статистика!$B$7:$B$1006,"&gt;="&amp;($C241-$D$5),Статистика!$B$7:$B$1006,"&lt;="&amp;($C241-1),Статистика!$C$7:$C$1006,IF($D241="","&lt;&gt;§",$D241),Статистика!$D$7:$D$1006,IF($E241="","&lt;&gt;§",$E241)))</f>
        <v/>
      </c>
      <c r="U241" s="52" t="str">
        <f aca="false">IF($C241="","",SUMIFS(Статистика!$T$7:$T$1006,Статистика!$B$7:$B$1006,"&gt;="&amp;($C241-$D$5),Статистика!$B$7:$B$1006,"&lt;="&amp;($C241-1),Статистика!$C$7:$C$1006,IF($D241="","&lt;&gt;§",$D241),Статистика!$D$7:$D$1006,IF($E241="","&lt;&gt;§",$E241)))</f>
        <v/>
      </c>
      <c r="V241" s="52" t="str">
        <f aca="false">IF($C241="","",SUMIFS(Статистика!$E$7:$E$1006,Статистика!$B$7:$B$1006,"&gt;="&amp;($C241+1),Статистика!$B$7:$B$1006,"&lt;="&amp;($C241+$D$5),Статистика!$C$7:$C$1006,IF($D241="","&lt;&gt;§",$D241),Статистика!$D$7:$D$1006,IF($E241="","&lt;&gt;§",$E241)))</f>
        <v/>
      </c>
      <c r="W241" s="52" t="str">
        <f aca="false">IF($C241="","",SUMIFS(Статистика!$H$7:$H$1006,Статистика!$B$7:$B$1006,"&gt;="&amp;($C241+1),Статистика!$B$7:$B$1006,"&lt;="&amp;($C241+$D$5),Статистика!$C$7:$C$1006,IF($D241="","&lt;&gt;§",$D241),Статистика!$D$7:$D$1006,IF($E241="","&lt;&gt;§",$E241)))</f>
        <v/>
      </c>
      <c r="X241" s="52" t="str">
        <f aca="false">IF($C241="","",SUMIFS(Статистика!$T$7:$T$1006,Статистика!$B$7:$B$1006,"&gt;="&amp;($C241+1),Статистика!$B$7:$B$1006,"&lt;="&amp;($C241+$D$5),Статистика!$C$7:$C$1006,IF($D241="","&lt;&gt;§",$D241),Статистика!$D$7:$D$1006,IF($E241="","&lt;&gt;§",$E241)))</f>
        <v/>
      </c>
      <c r="Y241" s="1"/>
      <c r="Z241" s="1"/>
      <c r="AA241" s="1"/>
      <c r="AB241" s="1"/>
      <c r="AC241" s="1"/>
      <c r="AD241" s="1"/>
    </row>
    <row r="242" customFormat="false" ht="30" hidden="false" customHeight="true" outlineLevel="0" collapsed="false">
      <c r="A242" s="1"/>
      <c r="B242" s="49" t="str">
        <f aca="false">IF($C242="","",ROW()-8)</f>
        <v/>
      </c>
      <c r="C242" s="35"/>
      <c r="D242" s="8"/>
      <c r="E242" s="26"/>
      <c r="F242" s="26"/>
      <c r="G242" s="50"/>
      <c r="H242" s="50"/>
      <c r="I242" s="30" t="str">
        <f aca="false">IF($C242="","",IFERROR(S242/T242,"—"))</f>
        <v/>
      </c>
      <c r="J242" s="30" t="str">
        <f aca="false">IF($C242="","",IFERROR(V242/W242,"—"))</f>
        <v/>
      </c>
      <c r="K242" s="41" t="str">
        <f aca="false">IF($C242="","",IFERROR(J242/I242-1,""))</f>
        <v/>
      </c>
      <c r="L242" s="41" t="str">
        <f aca="false">IF($C242="","",IFERROR((U242-S242)/S242,"—"))</f>
        <v/>
      </c>
      <c r="M242" s="41" t="str">
        <f aca="false">IF($C242="","",IFERROR((X242-V242)/V242,"—"))</f>
        <v/>
      </c>
      <c r="N242" s="39" t="str">
        <f aca="false">IF($C242="","",T242/$D$5)</f>
        <v/>
      </c>
      <c r="O242" s="39" t="str">
        <f aca="false">IF($C242="","",W242/$D$5)</f>
        <v/>
      </c>
      <c r="P242" s="51" t="str">
        <f aca="false">IF($C242="","",IF(MAX(Статистика!$B$7:$B$1006)&lt;$C242+$D$5,"Чекаємо даних",IF(S242=0,"Новий (без бази)",IF(OR(T242=0,W242=0),"Мало даних",IF(K242&lt;=-$F$5,"Покращило",IF(K242&gt;=$F$5,"Погіршило","Без змін"))))))</f>
        <v/>
      </c>
      <c r="Q242" s="50"/>
      <c r="R242" s="1"/>
      <c r="S242" s="52" t="str">
        <f aca="false">IF($C242="","",SUMIFS(Статистика!$E$7:$E$1006,Статистика!$B$7:$B$1006,"&gt;="&amp;($C242-$D$5),Статистика!$B$7:$B$1006,"&lt;="&amp;($C242-1),Статистика!$C$7:$C$1006,IF($D242="","&lt;&gt;§",$D242),Статистика!$D$7:$D$1006,IF($E242="","&lt;&gt;§",$E242)))</f>
        <v/>
      </c>
      <c r="T242" s="52" t="str">
        <f aca="false">IF($C242="","",SUMIFS(Статистика!$H$7:$H$1006,Статистика!$B$7:$B$1006,"&gt;="&amp;($C242-$D$5),Статистика!$B$7:$B$1006,"&lt;="&amp;($C242-1),Статистика!$C$7:$C$1006,IF($D242="","&lt;&gt;§",$D242),Статистика!$D$7:$D$1006,IF($E242="","&lt;&gt;§",$E242)))</f>
        <v/>
      </c>
      <c r="U242" s="52" t="str">
        <f aca="false">IF($C242="","",SUMIFS(Статистика!$T$7:$T$1006,Статистика!$B$7:$B$1006,"&gt;="&amp;($C242-$D$5),Статистика!$B$7:$B$1006,"&lt;="&amp;($C242-1),Статистика!$C$7:$C$1006,IF($D242="","&lt;&gt;§",$D242),Статистика!$D$7:$D$1006,IF($E242="","&lt;&gt;§",$E242)))</f>
        <v/>
      </c>
      <c r="V242" s="52" t="str">
        <f aca="false">IF($C242="","",SUMIFS(Статистика!$E$7:$E$1006,Статистика!$B$7:$B$1006,"&gt;="&amp;($C242+1),Статистика!$B$7:$B$1006,"&lt;="&amp;($C242+$D$5),Статистика!$C$7:$C$1006,IF($D242="","&lt;&gt;§",$D242),Статистика!$D$7:$D$1006,IF($E242="","&lt;&gt;§",$E242)))</f>
        <v/>
      </c>
      <c r="W242" s="52" t="str">
        <f aca="false">IF($C242="","",SUMIFS(Статистика!$H$7:$H$1006,Статистика!$B$7:$B$1006,"&gt;="&amp;($C242+1),Статистика!$B$7:$B$1006,"&lt;="&amp;($C242+$D$5),Статистика!$C$7:$C$1006,IF($D242="","&lt;&gt;§",$D242),Статистика!$D$7:$D$1006,IF($E242="","&lt;&gt;§",$E242)))</f>
        <v/>
      </c>
      <c r="X242" s="52" t="str">
        <f aca="false">IF($C242="","",SUMIFS(Статистика!$T$7:$T$1006,Статистика!$B$7:$B$1006,"&gt;="&amp;($C242+1),Статистика!$B$7:$B$1006,"&lt;="&amp;($C242+$D$5),Статистика!$C$7:$C$1006,IF($D242="","&lt;&gt;§",$D242),Статистика!$D$7:$D$1006,IF($E242="","&lt;&gt;§",$E242)))</f>
        <v/>
      </c>
      <c r="Y242" s="1"/>
      <c r="Z242" s="1"/>
      <c r="AA242" s="1"/>
      <c r="AB242" s="1"/>
      <c r="AC242" s="1"/>
      <c r="AD242" s="1"/>
    </row>
    <row r="243" customFormat="false" ht="30" hidden="false" customHeight="true" outlineLevel="0" collapsed="false">
      <c r="A243" s="1"/>
      <c r="B243" s="49" t="str">
        <f aca="false">IF($C243="","",ROW()-8)</f>
        <v/>
      </c>
      <c r="C243" s="35"/>
      <c r="D243" s="8"/>
      <c r="E243" s="26"/>
      <c r="F243" s="26"/>
      <c r="G243" s="50"/>
      <c r="H243" s="50"/>
      <c r="I243" s="30" t="str">
        <f aca="false">IF($C243="","",IFERROR(S243/T243,"—"))</f>
        <v/>
      </c>
      <c r="J243" s="30" t="str">
        <f aca="false">IF($C243="","",IFERROR(V243/W243,"—"))</f>
        <v/>
      </c>
      <c r="K243" s="41" t="str">
        <f aca="false">IF($C243="","",IFERROR(J243/I243-1,""))</f>
        <v/>
      </c>
      <c r="L243" s="41" t="str">
        <f aca="false">IF($C243="","",IFERROR((U243-S243)/S243,"—"))</f>
        <v/>
      </c>
      <c r="M243" s="41" t="str">
        <f aca="false">IF($C243="","",IFERROR((X243-V243)/V243,"—"))</f>
        <v/>
      </c>
      <c r="N243" s="39" t="str">
        <f aca="false">IF($C243="","",T243/$D$5)</f>
        <v/>
      </c>
      <c r="O243" s="39" t="str">
        <f aca="false">IF($C243="","",W243/$D$5)</f>
        <v/>
      </c>
      <c r="P243" s="51" t="str">
        <f aca="false">IF($C243="","",IF(MAX(Статистика!$B$7:$B$1006)&lt;$C243+$D$5,"Чекаємо даних",IF(S243=0,"Новий (без бази)",IF(OR(T243=0,W243=0),"Мало даних",IF(K243&lt;=-$F$5,"Покращило",IF(K243&gt;=$F$5,"Погіршило","Без змін"))))))</f>
        <v/>
      </c>
      <c r="Q243" s="50"/>
      <c r="R243" s="1"/>
      <c r="S243" s="52" t="str">
        <f aca="false">IF($C243="","",SUMIFS(Статистика!$E$7:$E$1006,Статистика!$B$7:$B$1006,"&gt;="&amp;($C243-$D$5),Статистика!$B$7:$B$1006,"&lt;="&amp;($C243-1),Статистика!$C$7:$C$1006,IF($D243="","&lt;&gt;§",$D243),Статистика!$D$7:$D$1006,IF($E243="","&lt;&gt;§",$E243)))</f>
        <v/>
      </c>
      <c r="T243" s="52" t="str">
        <f aca="false">IF($C243="","",SUMIFS(Статистика!$H$7:$H$1006,Статистика!$B$7:$B$1006,"&gt;="&amp;($C243-$D$5),Статистика!$B$7:$B$1006,"&lt;="&amp;($C243-1),Статистика!$C$7:$C$1006,IF($D243="","&lt;&gt;§",$D243),Статистика!$D$7:$D$1006,IF($E243="","&lt;&gt;§",$E243)))</f>
        <v/>
      </c>
      <c r="U243" s="52" t="str">
        <f aca="false">IF($C243="","",SUMIFS(Статистика!$T$7:$T$1006,Статистика!$B$7:$B$1006,"&gt;="&amp;($C243-$D$5),Статистика!$B$7:$B$1006,"&lt;="&amp;($C243-1),Статистика!$C$7:$C$1006,IF($D243="","&lt;&gt;§",$D243),Статистика!$D$7:$D$1006,IF($E243="","&lt;&gt;§",$E243)))</f>
        <v/>
      </c>
      <c r="V243" s="52" t="str">
        <f aca="false">IF($C243="","",SUMIFS(Статистика!$E$7:$E$1006,Статистика!$B$7:$B$1006,"&gt;="&amp;($C243+1),Статистика!$B$7:$B$1006,"&lt;="&amp;($C243+$D$5),Статистика!$C$7:$C$1006,IF($D243="","&lt;&gt;§",$D243),Статистика!$D$7:$D$1006,IF($E243="","&lt;&gt;§",$E243)))</f>
        <v/>
      </c>
      <c r="W243" s="52" t="str">
        <f aca="false">IF($C243="","",SUMIFS(Статистика!$H$7:$H$1006,Статистика!$B$7:$B$1006,"&gt;="&amp;($C243+1),Статистика!$B$7:$B$1006,"&lt;="&amp;($C243+$D$5),Статистика!$C$7:$C$1006,IF($D243="","&lt;&gt;§",$D243),Статистика!$D$7:$D$1006,IF($E243="","&lt;&gt;§",$E243)))</f>
        <v/>
      </c>
      <c r="X243" s="52" t="str">
        <f aca="false">IF($C243="","",SUMIFS(Статистика!$T$7:$T$1006,Статистика!$B$7:$B$1006,"&gt;="&amp;($C243+1),Статистика!$B$7:$B$1006,"&lt;="&amp;($C243+$D$5),Статистика!$C$7:$C$1006,IF($D243="","&lt;&gt;§",$D243),Статистика!$D$7:$D$1006,IF($E243="","&lt;&gt;§",$E243)))</f>
        <v/>
      </c>
      <c r="Y243" s="1"/>
      <c r="Z243" s="1"/>
      <c r="AA243" s="1"/>
      <c r="AB243" s="1"/>
      <c r="AC243" s="1"/>
      <c r="AD243" s="1"/>
    </row>
    <row r="244" customFormat="false" ht="30" hidden="false" customHeight="true" outlineLevel="0" collapsed="false">
      <c r="A244" s="1"/>
      <c r="B244" s="49" t="str">
        <f aca="false">IF($C244="","",ROW()-8)</f>
        <v/>
      </c>
      <c r="C244" s="35"/>
      <c r="D244" s="8"/>
      <c r="E244" s="26"/>
      <c r="F244" s="26"/>
      <c r="G244" s="50"/>
      <c r="H244" s="50"/>
      <c r="I244" s="30" t="str">
        <f aca="false">IF($C244="","",IFERROR(S244/T244,"—"))</f>
        <v/>
      </c>
      <c r="J244" s="30" t="str">
        <f aca="false">IF($C244="","",IFERROR(V244/W244,"—"))</f>
        <v/>
      </c>
      <c r="K244" s="41" t="str">
        <f aca="false">IF($C244="","",IFERROR(J244/I244-1,""))</f>
        <v/>
      </c>
      <c r="L244" s="41" t="str">
        <f aca="false">IF($C244="","",IFERROR((U244-S244)/S244,"—"))</f>
        <v/>
      </c>
      <c r="M244" s="41" t="str">
        <f aca="false">IF($C244="","",IFERROR((X244-V244)/V244,"—"))</f>
        <v/>
      </c>
      <c r="N244" s="39" t="str">
        <f aca="false">IF($C244="","",T244/$D$5)</f>
        <v/>
      </c>
      <c r="O244" s="39" t="str">
        <f aca="false">IF($C244="","",W244/$D$5)</f>
        <v/>
      </c>
      <c r="P244" s="51" t="str">
        <f aca="false">IF($C244="","",IF(MAX(Статистика!$B$7:$B$1006)&lt;$C244+$D$5,"Чекаємо даних",IF(S244=0,"Новий (без бази)",IF(OR(T244=0,W244=0),"Мало даних",IF(K244&lt;=-$F$5,"Покращило",IF(K244&gt;=$F$5,"Погіршило","Без змін"))))))</f>
        <v/>
      </c>
      <c r="Q244" s="50"/>
      <c r="R244" s="1"/>
      <c r="S244" s="52" t="str">
        <f aca="false">IF($C244="","",SUMIFS(Статистика!$E$7:$E$1006,Статистика!$B$7:$B$1006,"&gt;="&amp;($C244-$D$5),Статистика!$B$7:$B$1006,"&lt;="&amp;($C244-1),Статистика!$C$7:$C$1006,IF($D244="","&lt;&gt;§",$D244),Статистика!$D$7:$D$1006,IF($E244="","&lt;&gt;§",$E244)))</f>
        <v/>
      </c>
      <c r="T244" s="52" t="str">
        <f aca="false">IF($C244="","",SUMIFS(Статистика!$H$7:$H$1006,Статистика!$B$7:$B$1006,"&gt;="&amp;($C244-$D$5),Статистика!$B$7:$B$1006,"&lt;="&amp;($C244-1),Статистика!$C$7:$C$1006,IF($D244="","&lt;&gt;§",$D244),Статистика!$D$7:$D$1006,IF($E244="","&lt;&gt;§",$E244)))</f>
        <v/>
      </c>
      <c r="U244" s="52" t="str">
        <f aca="false">IF($C244="","",SUMIFS(Статистика!$T$7:$T$1006,Статистика!$B$7:$B$1006,"&gt;="&amp;($C244-$D$5),Статистика!$B$7:$B$1006,"&lt;="&amp;($C244-1),Статистика!$C$7:$C$1006,IF($D244="","&lt;&gt;§",$D244),Статистика!$D$7:$D$1006,IF($E244="","&lt;&gt;§",$E244)))</f>
        <v/>
      </c>
      <c r="V244" s="52" t="str">
        <f aca="false">IF($C244="","",SUMIFS(Статистика!$E$7:$E$1006,Статистика!$B$7:$B$1006,"&gt;="&amp;($C244+1),Статистика!$B$7:$B$1006,"&lt;="&amp;($C244+$D$5),Статистика!$C$7:$C$1006,IF($D244="","&lt;&gt;§",$D244),Статистика!$D$7:$D$1006,IF($E244="","&lt;&gt;§",$E244)))</f>
        <v/>
      </c>
      <c r="W244" s="52" t="str">
        <f aca="false">IF($C244="","",SUMIFS(Статистика!$H$7:$H$1006,Статистика!$B$7:$B$1006,"&gt;="&amp;($C244+1),Статистика!$B$7:$B$1006,"&lt;="&amp;($C244+$D$5),Статистика!$C$7:$C$1006,IF($D244="","&lt;&gt;§",$D244),Статистика!$D$7:$D$1006,IF($E244="","&lt;&gt;§",$E244)))</f>
        <v/>
      </c>
      <c r="X244" s="52" t="str">
        <f aca="false">IF($C244="","",SUMIFS(Статистика!$T$7:$T$1006,Статистика!$B$7:$B$1006,"&gt;="&amp;($C244+1),Статистика!$B$7:$B$1006,"&lt;="&amp;($C244+$D$5),Статистика!$C$7:$C$1006,IF($D244="","&lt;&gt;§",$D244),Статистика!$D$7:$D$1006,IF($E244="","&lt;&gt;§",$E244)))</f>
        <v/>
      </c>
      <c r="Y244" s="1"/>
      <c r="Z244" s="1"/>
      <c r="AA244" s="1"/>
      <c r="AB244" s="1"/>
      <c r="AC244" s="1"/>
      <c r="AD244" s="1"/>
    </row>
    <row r="245" customFormat="false" ht="30" hidden="false" customHeight="true" outlineLevel="0" collapsed="false">
      <c r="A245" s="1"/>
      <c r="B245" s="49" t="str">
        <f aca="false">IF($C245="","",ROW()-8)</f>
        <v/>
      </c>
      <c r="C245" s="35"/>
      <c r="D245" s="8"/>
      <c r="E245" s="26"/>
      <c r="F245" s="26"/>
      <c r="G245" s="50"/>
      <c r="H245" s="50"/>
      <c r="I245" s="30" t="str">
        <f aca="false">IF($C245="","",IFERROR(S245/T245,"—"))</f>
        <v/>
      </c>
      <c r="J245" s="30" t="str">
        <f aca="false">IF($C245="","",IFERROR(V245/W245,"—"))</f>
        <v/>
      </c>
      <c r="K245" s="41" t="str">
        <f aca="false">IF($C245="","",IFERROR(J245/I245-1,""))</f>
        <v/>
      </c>
      <c r="L245" s="41" t="str">
        <f aca="false">IF($C245="","",IFERROR((U245-S245)/S245,"—"))</f>
        <v/>
      </c>
      <c r="M245" s="41" t="str">
        <f aca="false">IF($C245="","",IFERROR((X245-V245)/V245,"—"))</f>
        <v/>
      </c>
      <c r="N245" s="39" t="str">
        <f aca="false">IF($C245="","",T245/$D$5)</f>
        <v/>
      </c>
      <c r="O245" s="39" t="str">
        <f aca="false">IF($C245="","",W245/$D$5)</f>
        <v/>
      </c>
      <c r="P245" s="51" t="str">
        <f aca="false">IF($C245="","",IF(MAX(Статистика!$B$7:$B$1006)&lt;$C245+$D$5,"Чекаємо даних",IF(S245=0,"Новий (без бази)",IF(OR(T245=0,W245=0),"Мало даних",IF(K245&lt;=-$F$5,"Покращило",IF(K245&gt;=$F$5,"Погіршило","Без змін"))))))</f>
        <v/>
      </c>
      <c r="Q245" s="50"/>
      <c r="R245" s="1"/>
      <c r="S245" s="52" t="str">
        <f aca="false">IF($C245="","",SUMIFS(Статистика!$E$7:$E$1006,Статистика!$B$7:$B$1006,"&gt;="&amp;($C245-$D$5),Статистика!$B$7:$B$1006,"&lt;="&amp;($C245-1),Статистика!$C$7:$C$1006,IF($D245="","&lt;&gt;§",$D245),Статистика!$D$7:$D$1006,IF($E245="","&lt;&gt;§",$E245)))</f>
        <v/>
      </c>
      <c r="T245" s="52" t="str">
        <f aca="false">IF($C245="","",SUMIFS(Статистика!$H$7:$H$1006,Статистика!$B$7:$B$1006,"&gt;="&amp;($C245-$D$5),Статистика!$B$7:$B$1006,"&lt;="&amp;($C245-1),Статистика!$C$7:$C$1006,IF($D245="","&lt;&gt;§",$D245),Статистика!$D$7:$D$1006,IF($E245="","&lt;&gt;§",$E245)))</f>
        <v/>
      </c>
      <c r="U245" s="52" t="str">
        <f aca="false">IF($C245="","",SUMIFS(Статистика!$T$7:$T$1006,Статистика!$B$7:$B$1006,"&gt;="&amp;($C245-$D$5),Статистика!$B$7:$B$1006,"&lt;="&amp;($C245-1),Статистика!$C$7:$C$1006,IF($D245="","&lt;&gt;§",$D245),Статистика!$D$7:$D$1006,IF($E245="","&lt;&gt;§",$E245)))</f>
        <v/>
      </c>
      <c r="V245" s="52" t="str">
        <f aca="false">IF($C245="","",SUMIFS(Статистика!$E$7:$E$1006,Статистика!$B$7:$B$1006,"&gt;="&amp;($C245+1),Статистика!$B$7:$B$1006,"&lt;="&amp;($C245+$D$5),Статистика!$C$7:$C$1006,IF($D245="","&lt;&gt;§",$D245),Статистика!$D$7:$D$1006,IF($E245="","&lt;&gt;§",$E245)))</f>
        <v/>
      </c>
      <c r="W245" s="52" t="str">
        <f aca="false">IF($C245="","",SUMIFS(Статистика!$H$7:$H$1006,Статистика!$B$7:$B$1006,"&gt;="&amp;($C245+1),Статистика!$B$7:$B$1006,"&lt;="&amp;($C245+$D$5),Статистика!$C$7:$C$1006,IF($D245="","&lt;&gt;§",$D245),Статистика!$D$7:$D$1006,IF($E245="","&lt;&gt;§",$E245)))</f>
        <v/>
      </c>
      <c r="X245" s="52" t="str">
        <f aca="false">IF($C245="","",SUMIFS(Статистика!$T$7:$T$1006,Статистика!$B$7:$B$1006,"&gt;="&amp;($C245+1),Статистика!$B$7:$B$1006,"&lt;="&amp;($C245+$D$5),Статистика!$C$7:$C$1006,IF($D245="","&lt;&gt;§",$D245),Статистика!$D$7:$D$1006,IF($E245="","&lt;&gt;§",$E245)))</f>
        <v/>
      </c>
      <c r="Y245" s="1"/>
      <c r="Z245" s="1"/>
      <c r="AA245" s="1"/>
      <c r="AB245" s="1"/>
      <c r="AC245" s="1"/>
      <c r="AD245" s="1"/>
    </row>
    <row r="246" customFormat="false" ht="30" hidden="false" customHeight="true" outlineLevel="0" collapsed="false">
      <c r="A246" s="1"/>
      <c r="B246" s="49" t="str">
        <f aca="false">IF($C246="","",ROW()-8)</f>
        <v/>
      </c>
      <c r="C246" s="35"/>
      <c r="D246" s="8"/>
      <c r="E246" s="26"/>
      <c r="F246" s="26"/>
      <c r="G246" s="50"/>
      <c r="H246" s="50"/>
      <c r="I246" s="30" t="str">
        <f aca="false">IF($C246="","",IFERROR(S246/T246,"—"))</f>
        <v/>
      </c>
      <c r="J246" s="30" t="str">
        <f aca="false">IF($C246="","",IFERROR(V246/W246,"—"))</f>
        <v/>
      </c>
      <c r="K246" s="41" t="str">
        <f aca="false">IF($C246="","",IFERROR(J246/I246-1,""))</f>
        <v/>
      </c>
      <c r="L246" s="41" t="str">
        <f aca="false">IF($C246="","",IFERROR((U246-S246)/S246,"—"))</f>
        <v/>
      </c>
      <c r="M246" s="41" t="str">
        <f aca="false">IF($C246="","",IFERROR((X246-V246)/V246,"—"))</f>
        <v/>
      </c>
      <c r="N246" s="39" t="str">
        <f aca="false">IF($C246="","",T246/$D$5)</f>
        <v/>
      </c>
      <c r="O246" s="39" t="str">
        <f aca="false">IF($C246="","",W246/$D$5)</f>
        <v/>
      </c>
      <c r="P246" s="51" t="str">
        <f aca="false">IF($C246="","",IF(MAX(Статистика!$B$7:$B$1006)&lt;$C246+$D$5,"Чекаємо даних",IF(S246=0,"Новий (без бази)",IF(OR(T246=0,W246=0),"Мало даних",IF(K246&lt;=-$F$5,"Покращило",IF(K246&gt;=$F$5,"Погіршило","Без змін"))))))</f>
        <v/>
      </c>
      <c r="Q246" s="50"/>
      <c r="R246" s="1"/>
      <c r="S246" s="52" t="str">
        <f aca="false">IF($C246="","",SUMIFS(Статистика!$E$7:$E$1006,Статистика!$B$7:$B$1006,"&gt;="&amp;($C246-$D$5),Статистика!$B$7:$B$1006,"&lt;="&amp;($C246-1),Статистика!$C$7:$C$1006,IF($D246="","&lt;&gt;§",$D246),Статистика!$D$7:$D$1006,IF($E246="","&lt;&gt;§",$E246)))</f>
        <v/>
      </c>
      <c r="T246" s="52" t="str">
        <f aca="false">IF($C246="","",SUMIFS(Статистика!$H$7:$H$1006,Статистика!$B$7:$B$1006,"&gt;="&amp;($C246-$D$5),Статистика!$B$7:$B$1006,"&lt;="&amp;($C246-1),Статистика!$C$7:$C$1006,IF($D246="","&lt;&gt;§",$D246),Статистика!$D$7:$D$1006,IF($E246="","&lt;&gt;§",$E246)))</f>
        <v/>
      </c>
      <c r="U246" s="52" t="str">
        <f aca="false">IF($C246="","",SUMIFS(Статистика!$T$7:$T$1006,Статистика!$B$7:$B$1006,"&gt;="&amp;($C246-$D$5),Статистика!$B$7:$B$1006,"&lt;="&amp;($C246-1),Статистика!$C$7:$C$1006,IF($D246="","&lt;&gt;§",$D246),Статистика!$D$7:$D$1006,IF($E246="","&lt;&gt;§",$E246)))</f>
        <v/>
      </c>
      <c r="V246" s="52" t="str">
        <f aca="false">IF($C246="","",SUMIFS(Статистика!$E$7:$E$1006,Статистика!$B$7:$B$1006,"&gt;="&amp;($C246+1),Статистика!$B$7:$B$1006,"&lt;="&amp;($C246+$D$5),Статистика!$C$7:$C$1006,IF($D246="","&lt;&gt;§",$D246),Статистика!$D$7:$D$1006,IF($E246="","&lt;&gt;§",$E246)))</f>
        <v/>
      </c>
      <c r="W246" s="52" t="str">
        <f aca="false">IF($C246="","",SUMIFS(Статистика!$H$7:$H$1006,Статистика!$B$7:$B$1006,"&gt;="&amp;($C246+1),Статистика!$B$7:$B$1006,"&lt;="&amp;($C246+$D$5),Статистика!$C$7:$C$1006,IF($D246="","&lt;&gt;§",$D246),Статистика!$D$7:$D$1006,IF($E246="","&lt;&gt;§",$E246)))</f>
        <v/>
      </c>
      <c r="X246" s="52" t="str">
        <f aca="false">IF($C246="","",SUMIFS(Статистика!$T$7:$T$1006,Статистика!$B$7:$B$1006,"&gt;="&amp;($C246+1),Статистика!$B$7:$B$1006,"&lt;="&amp;($C246+$D$5),Статистика!$C$7:$C$1006,IF($D246="","&lt;&gt;§",$D246),Статистика!$D$7:$D$1006,IF($E246="","&lt;&gt;§",$E246)))</f>
        <v/>
      </c>
      <c r="Y246" s="1"/>
      <c r="Z246" s="1"/>
      <c r="AA246" s="1"/>
      <c r="AB246" s="1"/>
      <c r="AC246" s="1"/>
      <c r="AD246" s="1"/>
    </row>
    <row r="247" customFormat="false" ht="30" hidden="false" customHeight="true" outlineLevel="0" collapsed="false">
      <c r="A247" s="1"/>
      <c r="B247" s="49" t="str">
        <f aca="false">IF($C247="","",ROW()-8)</f>
        <v/>
      </c>
      <c r="C247" s="35"/>
      <c r="D247" s="8"/>
      <c r="E247" s="26"/>
      <c r="F247" s="26"/>
      <c r="G247" s="50"/>
      <c r="H247" s="50"/>
      <c r="I247" s="30" t="str">
        <f aca="false">IF($C247="","",IFERROR(S247/T247,"—"))</f>
        <v/>
      </c>
      <c r="J247" s="30" t="str">
        <f aca="false">IF($C247="","",IFERROR(V247/W247,"—"))</f>
        <v/>
      </c>
      <c r="K247" s="41" t="str">
        <f aca="false">IF($C247="","",IFERROR(J247/I247-1,""))</f>
        <v/>
      </c>
      <c r="L247" s="41" t="str">
        <f aca="false">IF($C247="","",IFERROR((U247-S247)/S247,"—"))</f>
        <v/>
      </c>
      <c r="M247" s="41" t="str">
        <f aca="false">IF($C247="","",IFERROR((X247-V247)/V247,"—"))</f>
        <v/>
      </c>
      <c r="N247" s="39" t="str">
        <f aca="false">IF($C247="","",T247/$D$5)</f>
        <v/>
      </c>
      <c r="O247" s="39" t="str">
        <f aca="false">IF($C247="","",W247/$D$5)</f>
        <v/>
      </c>
      <c r="P247" s="51" t="str">
        <f aca="false">IF($C247="","",IF(MAX(Статистика!$B$7:$B$1006)&lt;$C247+$D$5,"Чекаємо даних",IF(S247=0,"Новий (без бази)",IF(OR(T247=0,W247=0),"Мало даних",IF(K247&lt;=-$F$5,"Покращило",IF(K247&gt;=$F$5,"Погіршило","Без змін"))))))</f>
        <v/>
      </c>
      <c r="Q247" s="50"/>
      <c r="R247" s="1"/>
      <c r="S247" s="52" t="str">
        <f aca="false">IF($C247="","",SUMIFS(Статистика!$E$7:$E$1006,Статистика!$B$7:$B$1006,"&gt;="&amp;($C247-$D$5),Статистика!$B$7:$B$1006,"&lt;="&amp;($C247-1),Статистика!$C$7:$C$1006,IF($D247="","&lt;&gt;§",$D247),Статистика!$D$7:$D$1006,IF($E247="","&lt;&gt;§",$E247)))</f>
        <v/>
      </c>
      <c r="T247" s="52" t="str">
        <f aca="false">IF($C247="","",SUMIFS(Статистика!$H$7:$H$1006,Статистика!$B$7:$B$1006,"&gt;="&amp;($C247-$D$5),Статистика!$B$7:$B$1006,"&lt;="&amp;($C247-1),Статистика!$C$7:$C$1006,IF($D247="","&lt;&gt;§",$D247),Статистика!$D$7:$D$1006,IF($E247="","&lt;&gt;§",$E247)))</f>
        <v/>
      </c>
      <c r="U247" s="52" t="str">
        <f aca="false">IF($C247="","",SUMIFS(Статистика!$T$7:$T$1006,Статистика!$B$7:$B$1006,"&gt;="&amp;($C247-$D$5),Статистика!$B$7:$B$1006,"&lt;="&amp;($C247-1),Статистика!$C$7:$C$1006,IF($D247="","&lt;&gt;§",$D247),Статистика!$D$7:$D$1006,IF($E247="","&lt;&gt;§",$E247)))</f>
        <v/>
      </c>
      <c r="V247" s="52" t="str">
        <f aca="false">IF($C247="","",SUMIFS(Статистика!$E$7:$E$1006,Статистика!$B$7:$B$1006,"&gt;="&amp;($C247+1),Статистика!$B$7:$B$1006,"&lt;="&amp;($C247+$D$5),Статистика!$C$7:$C$1006,IF($D247="","&lt;&gt;§",$D247),Статистика!$D$7:$D$1006,IF($E247="","&lt;&gt;§",$E247)))</f>
        <v/>
      </c>
      <c r="W247" s="52" t="str">
        <f aca="false">IF($C247="","",SUMIFS(Статистика!$H$7:$H$1006,Статистика!$B$7:$B$1006,"&gt;="&amp;($C247+1),Статистика!$B$7:$B$1006,"&lt;="&amp;($C247+$D$5),Статистика!$C$7:$C$1006,IF($D247="","&lt;&gt;§",$D247),Статистика!$D$7:$D$1006,IF($E247="","&lt;&gt;§",$E247)))</f>
        <v/>
      </c>
      <c r="X247" s="52" t="str">
        <f aca="false">IF($C247="","",SUMIFS(Статистика!$T$7:$T$1006,Статистика!$B$7:$B$1006,"&gt;="&amp;($C247+1),Статистика!$B$7:$B$1006,"&lt;="&amp;($C247+$D$5),Статистика!$C$7:$C$1006,IF($D247="","&lt;&gt;§",$D247),Статистика!$D$7:$D$1006,IF($E247="","&lt;&gt;§",$E247)))</f>
        <v/>
      </c>
      <c r="Y247" s="1"/>
      <c r="Z247" s="1"/>
      <c r="AA247" s="1"/>
      <c r="AB247" s="1"/>
      <c r="AC247" s="1"/>
      <c r="AD247" s="1"/>
    </row>
    <row r="248" customFormat="false" ht="30" hidden="false" customHeight="true" outlineLevel="0" collapsed="false">
      <c r="A248" s="1"/>
      <c r="B248" s="49" t="str">
        <f aca="false">IF($C248="","",ROW()-8)</f>
        <v/>
      </c>
      <c r="C248" s="35"/>
      <c r="D248" s="8"/>
      <c r="E248" s="26"/>
      <c r="F248" s="26"/>
      <c r="G248" s="50"/>
      <c r="H248" s="50"/>
      <c r="I248" s="30" t="str">
        <f aca="false">IF($C248="","",IFERROR(S248/T248,"—"))</f>
        <v/>
      </c>
      <c r="J248" s="30" t="str">
        <f aca="false">IF($C248="","",IFERROR(V248/W248,"—"))</f>
        <v/>
      </c>
      <c r="K248" s="41" t="str">
        <f aca="false">IF($C248="","",IFERROR(J248/I248-1,""))</f>
        <v/>
      </c>
      <c r="L248" s="41" t="str">
        <f aca="false">IF($C248="","",IFERROR((U248-S248)/S248,"—"))</f>
        <v/>
      </c>
      <c r="M248" s="41" t="str">
        <f aca="false">IF($C248="","",IFERROR((X248-V248)/V248,"—"))</f>
        <v/>
      </c>
      <c r="N248" s="39" t="str">
        <f aca="false">IF($C248="","",T248/$D$5)</f>
        <v/>
      </c>
      <c r="O248" s="39" t="str">
        <f aca="false">IF($C248="","",W248/$D$5)</f>
        <v/>
      </c>
      <c r="P248" s="51" t="str">
        <f aca="false">IF($C248="","",IF(MAX(Статистика!$B$7:$B$1006)&lt;$C248+$D$5,"Чекаємо даних",IF(S248=0,"Новий (без бази)",IF(OR(T248=0,W248=0),"Мало даних",IF(K248&lt;=-$F$5,"Покращило",IF(K248&gt;=$F$5,"Погіршило","Без змін"))))))</f>
        <v/>
      </c>
      <c r="Q248" s="50"/>
      <c r="R248" s="1"/>
      <c r="S248" s="52" t="str">
        <f aca="false">IF($C248="","",SUMIFS(Статистика!$E$7:$E$1006,Статистика!$B$7:$B$1006,"&gt;="&amp;($C248-$D$5),Статистика!$B$7:$B$1006,"&lt;="&amp;($C248-1),Статистика!$C$7:$C$1006,IF($D248="","&lt;&gt;§",$D248),Статистика!$D$7:$D$1006,IF($E248="","&lt;&gt;§",$E248)))</f>
        <v/>
      </c>
      <c r="T248" s="52" t="str">
        <f aca="false">IF($C248="","",SUMIFS(Статистика!$H$7:$H$1006,Статистика!$B$7:$B$1006,"&gt;="&amp;($C248-$D$5),Статистика!$B$7:$B$1006,"&lt;="&amp;($C248-1),Статистика!$C$7:$C$1006,IF($D248="","&lt;&gt;§",$D248),Статистика!$D$7:$D$1006,IF($E248="","&lt;&gt;§",$E248)))</f>
        <v/>
      </c>
      <c r="U248" s="52" t="str">
        <f aca="false">IF($C248="","",SUMIFS(Статистика!$T$7:$T$1006,Статистика!$B$7:$B$1006,"&gt;="&amp;($C248-$D$5),Статистика!$B$7:$B$1006,"&lt;="&amp;($C248-1),Статистика!$C$7:$C$1006,IF($D248="","&lt;&gt;§",$D248),Статистика!$D$7:$D$1006,IF($E248="","&lt;&gt;§",$E248)))</f>
        <v/>
      </c>
      <c r="V248" s="52" t="str">
        <f aca="false">IF($C248="","",SUMIFS(Статистика!$E$7:$E$1006,Статистика!$B$7:$B$1006,"&gt;="&amp;($C248+1),Статистика!$B$7:$B$1006,"&lt;="&amp;($C248+$D$5),Статистика!$C$7:$C$1006,IF($D248="","&lt;&gt;§",$D248),Статистика!$D$7:$D$1006,IF($E248="","&lt;&gt;§",$E248)))</f>
        <v/>
      </c>
      <c r="W248" s="52" t="str">
        <f aca="false">IF($C248="","",SUMIFS(Статистика!$H$7:$H$1006,Статистика!$B$7:$B$1006,"&gt;="&amp;($C248+1),Статистика!$B$7:$B$1006,"&lt;="&amp;($C248+$D$5),Статистика!$C$7:$C$1006,IF($D248="","&lt;&gt;§",$D248),Статистика!$D$7:$D$1006,IF($E248="","&lt;&gt;§",$E248)))</f>
        <v/>
      </c>
      <c r="X248" s="52" t="str">
        <f aca="false">IF($C248="","",SUMIFS(Статистика!$T$7:$T$1006,Статистика!$B$7:$B$1006,"&gt;="&amp;($C248+1),Статистика!$B$7:$B$1006,"&lt;="&amp;($C248+$D$5),Статистика!$C$7:$C$1006,IF($D248="","&lt;&gt;§",$D248),Статистика!$D$7:$D$1006,IF($E248="","&lt;&gt;§",$E248)))</f>
        <v/>
      </c>
      <c r="Y248" s="1"/>
      <c r="Z248" s="1"/>
      <c r="AA248" s="1"/>
      <c r="AB248" s="1"/>
      <c r="AC248" s="1"/>
      <c r="AD248" s="1"/>
    </row>
    <row r="249" customFormat="false" ht="30" hidden="false" customHeight="true" outlineLevel="0" collapsed="false">
      <c r="A249" s="1"/>
      <c r="B249" s="49" t="str">
        <f aca="false">IF($C249="","",ROW()-8)</f>
        <v/>
      </c>
      <c r="C249" s="35"/>
      <c r="D249" s="8"/>
      <c r="E249" s="26"/>
      <c r="F249" s="26"/>
      <c r="G249" s="50"/>
      <c r="H249" s="50"/>
      <c r="I249" s="30" t="str">
        <f aca="false">IF($C249="","",IFERROR(S249/T249,"—"))</f>
        <v/>
      </c>
      <c r="J249" s="30" t="str">
        <f aca="false">IF($C249="","",IFERROR(V249/W249,"—"))</f>
        <v/>
      </c>
      <c r="K249" s="41" t="str">
        <f aca="false">IF($C249="","",IFERROR(J249/I249-1,""))</f>
        <v/>
      </c>
      <c r="L249" s="41" t="str">
        <f aca="false">IF($C249="","",IFERROR((U249-S249)/S249,"—"))</f>
        <v/>
      </c>
      <c r="M249" s="41" t="str">
        <f aca="false">IF($C249="","",IFERROR((X249-V249)/V249,"—"))</f>
        <v/>
      </c>
      <c r="N249" s="39" t="str">
        <f aca="false">IF($C249="","",T249/$D$5)</f>
        <v/>
      </c>
      <c r="O249" s="39" t="str">
        <f aca="false">IF($C249="","",W249/$D$5)</f>
        <v/>
      </c>
      <c r="P249" s="51" t="str">
        <f aca="false">IF($C249="","",IF(MAX(Статистика!$B$7:$B$1006)&lt;$C249+$D$5,"Чекаємо даних",IF(S249=0,"Новий (без бази)",IF(OR(T249=0,W249=0),"Мало даних",IF(K249&lt;=-$F$5,"Покращило",IF(K249&gt;=$F$5,"Погіршило","Без змін"))))))</f>
        <v/>
      </c>
      <c r="Q249" s="50"/>
      <c r="R249" s="1"/>
      <c r="S249" s="52" t="str">
        <f aca="false">IF($C249="","",SUMIFS(Статистика!$E$7:$E$1006,Статистика!$B$7:$B$1006,"&gt;="&amp;($C249-$D$5),Статистика!$B$7:$B$1006,"&lt;="&amp;($C249-1),Статистика!$C$7:$C$1006,IF($D249="","&lt;&gt;§",$D249),Статистика!$D$7:$D$1006,IF($E249="","&lt;&gt;§",$E249)))</f>
        <v/>
      </c>
      <c r="T249" s="52" t="str">
        <f aca="false">IF($C249="","",SUMIFS(Статистика!$H$7:$H$1006,Статистика!$B$7:$B$1006,"&gt;="&amp;($C249-$D$5),Статистика!$B$7:$B$1006,"&lt;="&amp;($C249-1),Статистика!$C$7:$C$1006,IF($D249="","&lt;&gt;§",$D249),Статистика!$D$7:$D$1006,IF($E249="","&lt;&gt;§",$E249)))</f>
        <v/>
      </c>
      <c r="U249" s="52" t="str">
        <f aca="false">IF($C249="","",SUMIFS(Статистика!$T$7:$T$1006,Статистика!$B$7:$B$1006,"&gt;="&amp;($C249-$D$5),Статистика!$B$7:$B$1006,"&lt;="&amp;($C249-1),Статистика!$C$7:$C$1006,IF($D249="","&lt;&gt;§",$D249),Статистика!$D$7:$D$1006,IF($E249="","&lt;&gt;§",$E249)))</f>
        <v/>
      </c>
      <c r="V249" s="52" t="str">
        <f aca="false">IF($C249="","",SUMIFS(Статистика!$E$7:$E$1006,Статистика!$B$7:$B$1006,"&gt;="&amp;($C249+1),Статистика!$B$7:$B$1006,"&lt;="&amp;($C249+$D$5),Статистика!$C$7:$C$1006,IF($D249="","&lt;&gt;§",$D249),Статистика!$D$7:$D$1006,IF($E249="","&lt;&gt;§",$E249)))</f>
        <v/>
      </c>
      <c r="W249" s="52" t="str">
        <f aca="false">IF($C249="","",SUMIFS(Статистика!$H$7:$H$1006,Статистика!$B$7:$B$1006,"&gt;="&amp;($C249+1),Статистика!$B$7:$B$1006,"&lt;="&amp;($C249+$D$5),Статистика!$C$7:$C$1006,IF($D249="","&lt;&gt;§",$D249),Статистика!$D$7:$D$1006,IF($E249="","&lt;&gt;§",$E249)))</f>
        <v/>
      </c>
      <c r="X249" s="52" t="str">
        <f aca="false">IF($C249="","",SUMIFS(Статистика!$T$7:$T$1006,Статистика!$B$7:$B$1006,"&gt;="&amp;($C249+1),Статистика!$B$7:$B$1006,"&lt;="&amp;($C249+$D$5),Статистика!$C$7:$C$1006,IF($D249="","&lt;&gt;§",$D249),Статистика!$D$7:$D$1006,IF($E249="","&lt;&gt;§",$E249)))</f>
        <v/>
      </c>
      <c r="Y249" s="1"/>
      <c r="Z249" s="1"/>
      <c r="AA249" s="1"/>
      <c r="AB249" s="1"/>
      <c r="AC249" s="1"/>
      <c r="AD249" s="1"/>
    </row>
    <row r="250" customFormat="false" ht="30" hidden="false" customHeight="true" outlineLevel="0" collapsed="false">
      <c r="A250" s="1"/>
      <c r="B250" s="49" t="str">
        <f aca="false">IF($C250="","",ROW()-8)</f>
        <v/>
      </c>
      <c r="C250" s="35"/>
      <c r="D250" s="8"/>
      <c r="E250" s="26"/>
      <c r="F250" s="26"/>
      <c r="G250" s="50"/>
      <c r="H250" s="50"/>
      <c r="I250" s="30" t="str">
        <f aca="false">IF($C250="","",IFERROR(S250/T250,"—"))</f>
        <v/>
      </c>
      <c r="J250" s="30" t="str">
        <f aca="false">IF($C250="","",IFERROR(V250/W250,"—"))</f>
        <v/>
      </c>
      <c r="K250" s="41" t="str">
        <f aca="false">IF($C250="","",IFERROR(J250/I250-1,""))</f>
        <v/>
      </c>
      <c r="L250" s="41" t="str">
        <f aca="false">IF($C250="","",IFERROR((U250-S250)/S250,"—"))</f>
        <v/>
      </c>
      <c r="M250" s="41" t="str">
        <f aca="false">IF($C250="","",IFERROR((X250-V250)/V250,"—"))</f>
        <v/>
      </c>
      <c r="N250" s="39" t="str">
        <f aca="false">IF($C250="","",T250/$D$5)</f>
        <v/>
      </c>
      <c r="O250" s="39" t="str">
        <f aca="false">IF($C250="","",W250/$D$5)</f>
        <v/>
      </c>
      <c r="P250" s="51" t="str">
        <f aca="false">IF($C250="","",IF(MAX(Статистика!$B$7:$B$1006)&lt;$C250+$D$5,"Чекаємо даних",IF(S250=0,"Новий (без бази)",IF(OR(T250=0,W250=0),"Мало даних",IF(K250&lt;=-$F$5,"Покращило",IF(K250&gt;=$F$5,"Погіршило","Без змін"))))))</f>
        <v/>
      </c>
      <c r="Q250" s="50"/>
      <c r="R250" s="1"/>
      <c r="S250" s="52" t="str">
        <f aca="false">IF($C250="","",SUMIFS(Статистика!$E$7:$E$1006,Статистика!$B$7:$B$1006,"&gt;="&amp;($C250-$D$5),Статистика!$B$7:$B$1006,"&lt;="&amp;($C250-1),Статистика!$C$7:$C$1006,IF($D250="","&lt;&gt;§",$D250),Статистика!$D$7:$D$1006,IF($E250="","&lt;&gt;§",$E250)))</f>
        <v/>
      </c>
      <c r="T250" s="52" t="str">
        <f aca="false">IF($C250="","",SUMIFS(Статистика!$H$7:$H$1006,Статистика!$B$7:$B$1006,"&gt;="&amp;($C250-$D$5),Статистика!$B$7:$B$1006,"&lt;="&amp;($C250-1),Статистика!$C$7:$C$1006,IF($D250="","&lt;&gt;§",$D250),Статистика!$D$7:$D$1006,IF($E250="","&lt;&gt;§",$E250)))</f>
        <v/>
      </c>
      <c r="U250" s="52" t="str">
        <f aca="false">IF($C250="","",SUMIFS(Статистика!$T$7:$T$1006,Статистика!$B$7:$B$1006,"&gt;="&amp;($C250-$D$5),Статистика!$B$7:$B$1006,"&lt;="&amp;($C250-1),Статистика!$C$7:$C$1006,IF($D250="","&lt;&gt;§",$D250),Статистика!$D$7:$D$1006,IF($E250="","&lt;&gt;§",$E250)))</f>
        <v/>
      </c>
      <c r="V250" s="52" t="str">
        <f aca="false">IF($C250="","",SUMIFS(Статистика!$E$7:$E$1006,Статистика!$B$7:$B$1006,"&gt;="&amp;($C250+1),Статистика!$B$7:$B$1006,"&lt;="&amp;($C250+$D$5),Статистика!$C$7:$C$1006,IF($D250="","&lt;&gt;§",$D250),Статистика!$D$7:$D$1006,IF($E250="","&lt;&gt;§",$E250)))</f>
        <v/>
      </c>
      <c r="W250" s="52" t="str">
        <f aca="false">IF($C250="","",SUMIFS(Статистика!$H$7:$H$1006,Статистика!$B$7:$B$1006,"&gt;="&amp;($C250+1),Статистика!$B$7:$B$1006,"&lt;="&amp;($C250+$D$5),Статистика!$C$7:$C$1006,IF($D250="","&lt;&gt;§",$D250),Статистика!$D$7:$D$1006,IF($E250="","&lt;&gt;§",$E250)))</f>
        <v/>
      </c>
      <c r="X250" s="52" t="str">
        <f aca="false">IF($C250="","",SUMIFS(Статистика!$T$7:$T$1006,Статистика!$B$7:$B$1006,"&gt;="&amp;($C250+1),Статистика!$B$7:$B$1006,"&lt;="&amp;($C250+$D$5),Статистика!$C$7:$C$1006,IF($D250="","&lt;&gt;§",$D250),Статистика!$D$7:$D$1006,IF($E250="","&lt;&gt;§",$E250)))</f>
        <v/>
      </c>
      <c r="Y250" s="1"/>
      <c r="Z250" s="1"/>
      <c r="AA250" s="1"/>
      <c r="AB250" s="1"/>
      <c r="AC250" s="1"/>
      <c r="AD250" s="1"/>
    </row>
    <row r="251" customFormat="false" ht="30" hidden="false" customHeight="true" outlineLevel="0" collapsed="false">
      <c r="A251" s="1"/>
      <c r="B251" s="49" t="str">
        <f aca="false">IF($C251="","",ROW()-8)</f>
        <v/>
      </c>
      <c r="C251" s="35"/>
      <c r="D251" s="8"/>
      <c r="E251" s="26"/>
      <c r="F251" s="26"/>
      <c r="G251" s="50"/>
      <c r="H251" s="50"/>
      <c r="I251" s="30" t="str">
        <f aca="false">IF($C251="","",IFERROR(S251/T251,"—"))</f>
        <v/>
      </c>
      <c r="J251" s="30" t="str">
        <f aca="false">IF($C251="","",IFERROR(V251/W251,"—"))</f>
        <v/>
      </c>
      <c r="K251" s="41" t="str">
        <f aca="false">IF($C251="","",IFERROR(J251/I251-1,""))</f>
        <v/>
      </c>
      <c r="L251" s="41" t="str">
        <f aca="false">IF($C251="","",IFERROR((U251-S251)/S251,"—"))</f>
        <v/>
      </c>
      <c r="M251" s="41" t="str">
        <f aca="false">IF($C251="","",IFERROR((X251-V251)/V251,"—"))</f>
        <v/>
      </c>
      <c r="N251" s="39" t="str">
        <f aca="false">IF($C251="","",T251/$D$5)</f>
        <v/>
      </c>
      <c r="O251" s="39" t="str">
        <f aca="false">IF($C251="","",W251/$D$5)</f>
        <v/>
      </c>
      <c r="P251" s="51" t="str">
        <f aca="false">IF($C251="","",IF(MAX(Статистика!$B$7:$B$1006)&lt;$C251+$D$5,"Чекаємо даних",IF(S251=0,"Новий (без бази)",IF(OR(T251=0,W251=0),"Мало даних",IF(K251&lt;=-$F$5,"Покращило",IF(K251&gt;=$F$5,"Погіршило","Без змін"))))))</f>
        <v/>
      </c>
      <c r="Q251" s="50"/>
      <c r="R251" s="1"/>
      <c r="S251" s="52" t="str">
        <f aca="false">IF($C251="","",SUMIFS(Статистика!$E$7:$E$1006,Статистика!$B$7:$B$1006,"&gt;="&amp;($C251-$D$5),Статистика!$B$7:$B$1006,"&lt;="&amp;($C251-1),Статистика!$C$7:$C$1006,IF($D251="","&lt;&gt;§",$D251),Статистика!$D$7:$D$1006,IF($E251="","&lt;&gt;§",$E251)))</f>
        <v/>
      </c>
      <c r="T251" s="52" t="str">
        <f aca="false">IF($C251="","",SUMIFS(Статистика!$H$7:$H$1006,Статистика!$B$7:$B$1006,"&gt;="&amp;($C251-$D$5),Статистика!$B$7:$B$1006,"&lt;="&amp;($C251-1),Статистика!$C$7:$C$1006,IF($D251="","&lt;&gt;§",$D251),Статистика!$D$7:$D$1006,IF($E251="","&lt;&gt;§",$E251)))</f>
        <v/>
      </c>
      <c r="U251" s="52" t="str">
        <f aca="false">IF($C251="","",SUMIFS(Статистика!$T$7:$T$1006,Статистика!$B$7:$B$1006,"&gt;="&amp;($C251-$D$5),Статистика!$B$7:$B$1006,"&lt;="&amp;($C251-1),Статистика!$C$7:$C$1006,IF($D251="","&lt;&gt;§",$D251),Статистика!$D$7:$D$1006,IF($E251="","&lt;&gt;§",$E251)))</f>
        <v/>
      </c>
      <c r="V251" s="52" t="str">
        <f aca="false">IF($C251="","",SUMIFS(Статистика!$E$7:$E$1006,Статистика!$B$7:$B$1006,"&gt;="&amp;($C251+1),Статистика!$B$7:$B$1006,"&lt;="&amp;($C251+$D$5),Статистика!$C$7:$C$1006,IF($D251="","&lt;&gt;§",$D251),Статистика!$D$7:$D$1006,IF($E251="","&lt;&gt;§",$E251)))</f>
        <v/>
      </c>
      <c r="W251" s="52" t="str">
        <f aca="false">IF($C251="","",SUMIFS(Статистика!$H$7:$H$1006,Статистика!$B$7:$B$1006,"&gt;="&amp;($C251+1),Статистика!$B$7:$B$1006,"&lt;="&amp;($C251+$D$5),Статистика!$C$7:$C$1006,IF($D251="","&lt;&gt;§",$D251),Статистика!$D$7:$D$1006,IF($E251="","&lt;&gt;§",$E251)))</f>
        <v/>
      </c>
      <c r="X251" s="52" t="str">
        <f aca="false">IF($C251="","",SUMIFS(Статистика!$T$7:$T$1006,Статистика!$B$7:$B$1006,"&gt;="&amp;($C251+1),Статистика!$B$7:$B$1006,"&lt;="&amp;($C251+$D$5),Статистика!$C$7:$C$1006,IF($D251="","&lt;&gt;§",$D251),Статистика!$D$7:$D$1006,IF($E251="","&lt;&gt;§",$E251)))</f>
        <v/>
      </c>
      <c r="Y251" s="1"/>
      <c r="Z251" s="1"/>
      <c r="AA251" s="1"/>
      <c r="AB251" s="1"/>
      <c r="AC251" s="1"/>
      <c r="AD251" s="1"/>
    </row>
    <row r="252" customFormat="false" ht="30" hidden="false" customHeight="true" outlineLevel="0" collapsed="false">
      <c r="A252" s="1"/>
      <c r="B252" s="49" t="str">
        <f aca="false">IF($C252="","",ROW()-8)</f>
        <v/>
      </c>
      <c r="C252" s="35"/>
      <c r="D252" s="8"/>
      <c r="E252" s="26"/>
      <c r="F252" s="26"/>
      <c r="G252" s="50"/>
      <c r="H252" s="50"/>
      <c r="I252" s="30" t="str">
        <f aca="false">IF($C252="","",IFERROR(S252/T252,"—"))</f>
        <v/>
      </c>
      <c r="J252" s="30" t="str">
        <f aca="false">IF($C252="","",IFERROR(V252/W252,"—"))</f>
        <v/>
      </c>
      <c r="K252" s="41" t="str">
        <f aca="false">IF($C252="","",IFERROR(J252/I252-1,""))</f>
        <v/>
      </c>
      <c r="L252" s="41" t="str">
        <f aca="false">IF($C252="","",IFERROR((U252-S252)/S252,"—"))</f>
        <v/>
      </c>
      <c r="M252" s="41" t="str">
        <f aca="false">IF($C252="","",IFERROR((X252-V252)/V252,"—"))</f>
        <v/>
      </c>
      <c r="N252" s="39" t="str">
        <f aca="false">IF($C252="","",T252/$D$5)</f>
        <v/>
      </c>
      <c r="O252" s="39" t="str">
        <f aca="false">IF($C252="","",W252/$D$5)</f>
        <v/>
      </c>
      <c r="P252" s="51" t="str">
        <f aca="false">IF($C252="","",IF(MAX(Статистика!$B$7:$B$1006)&lt;$C252+$D$5,"Чекаємо даних",IF(S252=0,"Новий (без бази)",IF(OR(T252=0,W252=0),"Мало даних",IF(K252&lt;=-$F$5,"Покращило",IF(K252&gt;=$F$5,"Погіршило","Без змін"))))))</f>
        <v/>
      </c>
      <c r="Q252" s="50"/>
      <c r="R252" s="1"/>
      <c r="S252" s="52" t="str">
        <f aca="false">IF($C252="","",SUMIFS(Статистика!$E$7:$E$1006,Статистика!$B$7:$B$1006,"&gt;="&amp;($C252-$D$5),Статистика!$B$7:$B$1006,"&lt;="&amp;($C252-1),Статистика!$C$7:$C$1006,IF($D252="","&lt;&gt;§",$D252),Статистика!$D$7:$D$1006,IF($E252="","&lt;&gt;§",$E252)))</f>
        <v/>
      </c>
      <c r="T252" s="52" t="str">
        <f aca="false">IF($C252="","",SUMIFS(Статистика!$H$7:$H$1006,Статистика!$B$7:$B$1006,"&gt;="&amp;($C252-$D$5),Статистика!$B$7:$B$1006,"&lt;="&amp;($C252-1),Статистика!$C$7:$C$1006,IF($D252="","&lt;&gt;§",$D252),Статистика!$D$7:$D$1006,IF($E252="","&lt;&gt;§",$E252)))</f>
        <v/>
      </c>
      <c r="U252" s="52" t="str">
        <f aca="false">IF($C252="","",SUMIFS(Статистика!$T$7:$T$1006,Статистика!$B$7:$B$1006,"&gt;="&amp;($C252-$D$5),Статистика!$B$7:$B$1006,"&lt;="&amp;($C252-1),Статистика!$C$7:$C$1006,IF($D252="","&lt;&gt;§",$D252),Статистика!$D$7:$D$1006,IF($E252="","&lt;&gt;§",$E252)))</f>
        <v/>
      </c>
      <c r="V252" s="52" t="str">
        <f aca="false">IF($C252="","",SUMIFS(Статистика!$E$7:$E$1006,Статистика!$B$7:$B$1006,"&gt;="&amp;($C252+1),Статистика!$B$7:$B$1006,"&lt;="&amp;($C252+$D$5),Статистика!$C$7:$C$1006,IF($D252="","&lt;&gt;§",$D252),Статистика!$D$7:$D$1006,IF($E252="","&lt;&gt;§",$E252)))</f>
        <v/>
      </c>
      <c r="W252" s="52" t="str">
        <f aca="false">IF($C252="","",SUMIFS(Статистика!$H$7:$H$1006,Статистика!$B$7:$B$1006,"&gt;="&amp;($C252+1),Статистика!$B$7:$B$1006,"&lt;="&amp;($C252+$D$5),Статистика!$C$7:$C$1006,IF($D252="","&lt;&gt;§",$D252),Статистика!$D$7:$D$1006,IF($E252="","&lt;&gt;§",$E252)))</f>
        <v/>
      </c>
      <c r="X252" s="52" t="str">
        <f aca="false">IF($C252="","",SUMIFS(Статистика!$T$7:$T$1006,Статистика!$B$7:$B$1006,"&gt;="&amp;($C252+1),Статистика!$B$7:$B$1006,"&lt;="&amp;($C252+$D$5),Статистика!$C$7:$C$1006,IF($D252="","&lt;&gt;§",$D252),Статистика!$D$7:$D$1006,IF($E252="","&lt;&gt;§",$E252)))</f>
        <v/>
      </c>
      <c r="Y252" s="1"/>
      <c r="Z252" s="1"/>
      <c r="AA252" s="1"/>
      <c r="AB252" s="1"/>
      <c r="AC252" s="1"/>
      <c r="AD252" s="1"/>
    </row>
    <row r="253" customFormat="false" ht="30" hidden="false" customHeight="true" outlineLevel="0" collapsed="false">
      <c r="A253" s="1"/>
      <c r="B253" s="49" t="str">
        <f aca="false">IF($C253="","",ROW()-8)</f>
        <v/>
      </c>
      <c r="C253" s="35"/>
      <c r="D253" s="8"/>
      <c r="E253" s="26"/>
      <c r="F253" s="26"/>
      <c r="G253" s="50"/>
      <c r="H253" s="50"/>
      <c r="I253" s="30" t="str">
        <f aca="false">IF($C253="","",IFERROR(S253/T253,"—"))</f>
        <v/>
      </c>
      <c r="J253" s="30" t="str">
        <f aca="false">IF($C253="","",IFERROR(V253/W253,"—"))</f>
        <v/>
      </c>
      <c r="K253" s="41" t="str">
        <f aca="false">IF($C253="","",IFERROR(J253/I253-1,""))</f>
        <v/>
      </c>
      <c r="L253" s="41" t="str">
        <f aca="false">IF($C253="","",IFERROR((U253-S253)/S253,"—"))</f>
        <v/>
      </c>
      <c r="M253" s="41" t="str">
        <f aca="false">IF($C253="","",IFERROR((X253-V253)/V253,"—"))</f>
        <v/>
      </c>
      <c r="N253" s="39" t="str">
        <f aca="false">IF($C253="","",T253/$D$5)</f>
        <v/>
      </c>
      <c r="O253" s="39" t="str">
        <f aca="false">IF($C253="","",W253/$D$5)</f>
        <v/>
      </c>
      <c r="P253" s="51" t="str">
        <f aca="false">IF($C253="","",IF(MAX(Статистика!$B$7:$B$1006)&lt;$C253+$D$5,"Чекаємо даних",IF(S253=0,"Новий (без бази)",IF(OR(T253=0,W253=0),"Мало даних",IF(K253&lt;=-$F$5,"Покращило",IF(K253&gt;=$F$5,"Погіршило","Без змін"))))))</f>
        <v/>
      </c>
      <c r="Q253" s="50"/>
      <c r="R253" s="1"/>
      <c r="S253" s="52" t="str">
        <f aca="false">IF($C253="","",SUMIFS(Статистика!$E$7:$E$1006,Статистика!$B$7:$B$1006,"&gt;="&amp;($C253-$D$5),Статистика!$B$7:$B$1006,"&lt;="&amp;($C253-1),Статистика!$C$7:$C$1006,IF($D253="","&lt;&gt;§",$D253),Статистика!$D$7:$D$1006,IF($E253="","&lt;&gt;§",$E253)))</f>
        <v/>
      </c>
      <c r="T253" s="52" t="str">
        <f aca="false">IF($C253="","",SUMIFS(Статистика!$H$7:$H$1006,Статистика!$B$7:$B$1006,"&gt;="&amp;($C253-$D$5),Статистика!$B$7:$B$1006,"&lt;="&amp;($C253-1),Статистика!$C$7:$C$1006,IF($D253="","&lt;&gt;§",$D253),Статистика!$D$7:$D$1006,IF($E253="","&lt;&gt;§",$E253)))</f>
        <v/>
      </c>
      <c r="U253" s="52" t="str">
        <f aca="false">IF($C253="","",SUMIFS(Статистика!$T$7:$T$1006,Статистика!$B$7:$B$1006,"&gt;="&amp;($C253-$D$5),Статистика!$B$7:$B$1006,"&lt;="&amp;($C253-1),Статистика!$C$7:$C$1006,IF($D253="","&lt;&gt;§",$D253),Статистика!$D$7:$D$1006,IF($E253="","&lt;&gt;§",$E253)))</f>
        <v/>
      </c>
      <c r="V253" s="52" t="str">
        <f aca="false">IF($C253="","",SUMIFS(Статистика!$E$7:$E$1006,Статистика!$B$7:$B$1006,"&gt;="&amp;($C253+1),Статистика!$B$7:$B$1006,"&lt;="&amp;($C253+$D$5),Статистика!$C$7:$C$1006,IF($D253="","&lt;&gt;§",$D253),Статистика!$D$7:$D$1006,IF($E253="","&lt;&gt;§",$E253)))</f>
        <v/>
      </c>
      <c r="W253" s="52" t="str">
        <f aca="false">IF($C253="","",SUMIFS(Статистика!$H$7:$H$1006,Статистика!$B$7:$B$1006,"&gt;="&amp;($C253+1),Статистика!$B$7:$B$1006,"&lt;="&amp;($C253+$D$5),Статистика!$C$7:$C$1006,IF($D253="","&lt;&gt;§",$D253),Статистика!$D$7:$D$1006,IF($E253="","&lt;&gt;§",$E253)))</f>
        <v/>
      </c>
      <c r="X253" s="52" t="str">
        <f aca="false">IF($C253="","",SUMIFS(Статистика!$T$7:$T$1006,Статистика!$B$7:$B$1006,"&gt;="&amp;($C253+1),Статистика!$B$7:$B$1006,"&lt;="&amp;($C253+$D$5),Статистика!$C$7:$C$1006,IF($D253="","&lt;&gt;§",$D253),Статистика!$D$7:$D$1006,IF($E253="","&lt;&gt;§",$E253)))</f>
        <v/>
      </c>
      <c r="Y253" s="1"/>
      <c r="Z253" s="1"/>
      <c r="AA253" s="1"/>
      <c r="AB253" s="1"/>
      <c r="AC253" s="1"/>
      <c r="AD253" s="1"/>
    </row>
    <row r="254" customFormat="false" ht="30" hidden="false" customHeight="true" outlineLevel="0" collapsed="false">
      <c r="A254" s="1"/>
      <c r="B254" s="49" t="str">
        <f aca="false">IF($C254="","",ROW()-8)</f>
        <v/>
      </c>
      <c r="C254" s="35"/>
      <c r="D254" s="8"/>
      <c r="E254" s="26"/>
      <c r="F254" s="26"/>
      <c r="G254" s="50"/>
      <c r="H254" s="50"/>
      <c r="I254" s="30" t="str">
        <f aca="false">IF($C254="","",IFERROR(S254/T254,"—"))</f>
        <v/>
      </c>
      <c r="J254" s="30" t="str">
        <f aca="false">IF($C254="","",IFERROR(V254/W254,"—"))</f>
        <v/>
      </c>
      <c r="K254" s="41" t="str">
        <f aca="false">IF($C254="","",IFERROR(J254/I254-1,""))</f>
        <v/>
      </c>
      <c r="L254" s="41" t="str">
        <f aca="false">IF($C254="","",IFERROR((U254-S254)/S254,"—"))</f>
        <v/>
      </c>
      <c r="M254" s="41" t="str">
        <f aca="false">IF($C254="","",IFERROR((X254-V254)/V254,"—"))</f>
        <v/>
      </c>
      <c r="N254" s="39" t="str">
        <f aca="false">IF($C254="","",T254/$D$5)</f>
        <v/>
      </c>
      <c r="O254" s="39" t="str">
        <f aca="false">IF($C254="","",W254/$D$5)</f>
        <v/>
      </c>
      <c r="P254" s="51" t="str">
        <f aca="false">IF($C254="","",IF(MAX(Статистика!$B$7:$B$1006)&lt;$C254+$D$5,"Чекаємо даних",IF(S254=0,"Новий (без бази)",IF(OR(T254=0,W254=0),"Мало даних",IF(K254&lt;=-$F$5,"Покращило",IF(K254&gt;=$F$5,"Погіршило","Без змін"))))))</f>
        <v/>
      </c>
      <c r="Q254" s="50"/>
      <c r="R254" s="1"/>
      <c r="S254" s="52" t="str">
        <f aca="false">IF($C254="","",SUMIFS(Статистика!$E$7:$E$1006,Статистика!$B$7:$B$1006,"&gt;="&amp;($C254-$D$5),Статистика!$B$7:$B$1006,"&lt;="&amp;($C254-1),Статистика!$C$7:$C$1006,IF($D254="","&lt;&gt;§",$D254),Статистика!$D$7:$D$1006,IF($E254="","&lt;&gt;§",$E254)))</f>
        <v/>
      </c>
      <c r="T254" s="52" t="str">
        <f aca="false">IF($C254="","",SUMIFS(Статистика!$H$7:$H$1006,Статистика!$B$7:$B$1006,"&gt;="&amp;($C254-$D$5),Статистика!$B$7:$B$1006,"&lt;="&amp;($C254-1),Статистика!$C$7:$C$1006,IF($D254="","&lt;&gt;§",$D254),Статистика!$D$7:$D$1006,IF($E254="","&lt;&gt;§",$E254)))</f>
        <v/>
      </c>
      <c r="U254" s="52" t="str">
        <f aca="false">IF($C254="","",SUMIFS(Статистика!$T$7:$T$1006,Статистика!$B$7:$B$1006,"&gt;="&amp;($C254-$D$5),Статистика!$B$7:$B$1006,"&lt;="&amp;($C254-1),Статистика!$C$7:$C$1006,IF($D254="","&lt;&gt;§",$D254),Статистика!$D$7:$D$1006,IF($E254="","&lt;&gt;§",$E254)))</f>
        <v/>
      </c>
      <c r="V254" s="52" t="str">
        <f aca="false">IF($C254="","",SUMIFS(Статистика!$E$7:$E$1006,Статистика!$B$7:$B$1006,"&gt;="&amp;($C254+1),Статистика!$B$7:$B$1006,"&lt;="&amp;($C254+$D$5),Статистика!$C$7:$C$1006,IF($D254="","&lt;&gt;§",$D254),Статистика!$D$7:$D$1006,IF($E254="","&lt;&gt;§",$E254)))</f>
        <v/>
      </c>
      <c r="W254" s="52" t="str">
        <f aca="false">IF($C254="","",SUMIFS(Статистика!$H$7:$H$1006,Статистика!$B$7:$B$1006,"&gt;="&amp;($C254+1),Статистика!$B$7:$B$1006,"&lt;="&amp;($C254+$D$5),Статистика!$C$7:$C$1006,IF($D254="","&lt;&gt;§",$D254),Статистика!$D$7:$D$1006,IF($E254="","&lt;&gt;§",$E254)))</f>
        <v/>
      </c>
      <c r="X254" s="52" t="str">
        <f aca="false">IF($C254="","",SUMIFS(Статистика!$T$7:$T$1006,Статистика!$B$7:$B$1006,"&gt;="&amp;($C254+1),Статистика!$B$7:$B$1006,"&lt;="&amp;($C254+$D$5),Статистика!$C$7:$C$1006,IF($D254="","&lt;&gt;§",$D254),Статистика!$D$7:$D$1006,IF($E254="","&lt;&gt;§",$E254)))</f>
        <v/>
      </c>
      <c r="Y254" s="1"/>
      <c r="Z254" s="1"/>
      <c r="AA254" s="1"/>
      <c r="AB254" s="1"/>
      <c r="AC254" s="1"/>
      <c r="AD254" s="1"/>
    </row>
    <row r="255" customFormat="false" ht="30" hidden="false" customHeight="true" outlineLevel="0" collapsed="false">
      <c r="A255" s="1"/>
      <c r="B255" s="49" t="str">
        <f aca="false">IF($C255="","",ROW()-8)</f>
        <v/>
      </c>
      <c r="C255" s="35"/>
      <c r="D255" s="8"/>
      <c r="E255" s="26"/>
      <c r="F255" s="26"/>
      <c r="G255" s="50"/>
      <c r="H255" s="50"/>
      <c r="I255" s="30" t="str">
        <f aca="false">IF($C255="","",IFERROR(S255/T255,"—"))</f>
        <v/>
      </c>
      <c r="J255" s="30" t="str">
        <f aca="false">IF($C255="","",IFERROR(V255/W255,"—"))</f>
        <v/>
      </c>
      <c r="K255" s="41" t="str">
        <f aca="false">IF($C255="","",IFERROR(J255/I255-1,""))</f>
        <v/>
      </c>
      <c r="L255" s="41" t="str">
        <f aca="false">IF($C255="","",IFERROR((U255-S255)/S255,"—"))</f>
        <v/>
      </c>
      <c r="M255" s="41" t="str">
        <f aca="false">IF($C255="","",IFERROR((X255-V255)/V255,"—"))</f>
        <v/>
      </c>
      <c r="N255" s="39" t="str">
        <f aca="false">IF($C255="","",T255/$D$5)</f>
        <v/>
      </c>
      <c r="O255" s="39" t="str">
        <f aca="false">IF($C255="","",W255/$D$5)</f>
        <v/>
      </c>
      <c r="P255" s="51" t="str">
        <f aca="false">IF($C255="","",IF(MAX(Статистика!$B$7:$B$1006)&lt;$C255+$D$5,"Чекаємо даних",IF(S255=0,"Новий (без бази)",IF(OR(T255=0,W255=0),"Мало даних",IF(K255&lt;=-$F$5,"Покращило",IF(K255&gt;=$F$5,"Погіршило","Без змін"))))))</f>
        <v/>
      </c>
      <c r="Q255" s="50"/>
      <c r="R255" s="1"/>
      <c r="S255" s="52" t="str">
        <f aca="false">IF($C255="","",SUMIFS(Статистика!$E$7:$E$1006,Статистика!$B$7:$B$1006,"&gt;="&amp;($C255-$D$5),Статистика!$B$7:$B$1006,"&lt;="&amp;($C255-1),Статистика!$C$7:$C$1006,IF($D255="","&lt;&gt;§",$D255),Статистика!$D$7:$D$1006,IF($E255="","&lt;&gt;§",$E255)))</f>
        <v/>
      </c>
      <c r="T255" s="52" t="str">
        <f aca="false">IF($C255="","",SUMIFS(Статистика!$H$7:$H$1006,Статистика!$B$7:$B$1006,"&gt;="&amp;($C255-$D$5),Статистика!$B$7:$B$1006,"&lt;="&amp;($C255-1),Статистика!$C$7:$C$1006,IF($D255="","&lt;&gt;§",$D255),Статистика!$D$7:$D$1006,IF($E255="","&lt;&gt;§",$E255)))</f>
        <v/>
      </c>
      <c r="U255" s="52" t="str">
        <f aca="false">IF($C255="","",SUMIFS(Статистика!$T$7:$T$1006,Статистика!$B$7:$B$1006,"&gt;="&amp;($C255-$D$5),Статистика!$B$7:$B$1006,"&lt;="&amp;($C255-1),Статистика!$C$7:$C$1006,IF($D255="","&lt;&gt;§",$D255),Статистика!$D$7:$D$1006,IF($E255="","&lt;&gt;§",$E255)))</f>
        <v/>
      </c>
      <c r="V255" s="52" t="str">
        <f aca="false">IF($C255="","",SUMIFS(Статистика!$E$7:$E$1006,Статистика!$B$7:$B$1006,"&gt;="&amp;($C255+1),Статистика!$B$7:$B$1006,"&lt;="&amp;($C255+$D$5),Статистика!$C$7:$C$1006,IF($D255="","&lt;&gt;§",$D255),Статистика!$D$7:$D$1006,IF($E255="","&lt;&gt;§",$E255)))</f>
        <v/>
      </c>
      <c r="W255" s="52" t="str">
        <f aca="false">IF($C255="","",SUMIFS(Статистика!$H$7:$H$1006,Статистика!$B$7:$B$1006,"&gt;="&amp;($C255+1),Статистика!$B$7:$B$1006,"&lt;="&amp;($C255+$D$5),Статистика!$C$7:$C$1006,IF($D255="","&lt;&gt;§",$D255),Статистика!$D$7:$D$1006,IF($E255="","&lt;&gt;§",$E255)))</f>
        <v/>
      </c>
      <c r="X255" s="52" t="str">
        <f aca="false">IF($C255="","",SUMIFS(Статистика!$T$7:$T$1006,Статистика!$B$7:$B$1006,"&gt;="&amp;($C255+1),Статистика!$B$7:$B$1006,"&lt;="&amp;($C255+$D$5),Статистика!$C$7:$C$1006,IF($D255="","&lt;&gt;§",$D255),Статистика!$D$7:$D$1006,IF($E255="","&lt;&gt;§",$E255)))</f>
        <v/>
      </c>
      <c r="Y255" s="1"/>
      <c r="Z255" s="1"/>
      <c r="AA255" s="1"/>
      <c r="AB255" s="1"/>
      <c r="AC255" s="1"/>
      <c r="AD255" s="1"/>
    </row>
    <row r="256" customFormat="false" ht="30" hidden="false" customHeight="true" outlineLevel="0" collapsed="false">
      <c r="A256" s="1"/>
      <c r="B256" s="49" t="str">
        <f aca="false">IF($C256="","",ROW()-8)</f>
        <v/>
      </c>
      <c r="C256" s="35"/>
      <c r="D256" s="8"/>
      <c r="E256" s="26"/>
      <c r="F256" s="26"/>
      <c r="G256" s="50"/>
      <c r="H256" s="50"/>
      <c r="I256" s="30" t="str">
        <f aca="false">IF($C256="","",IFERROR(S256/T256,"—"))</f>
        <v/>
      </c>
      <c r="J256" s="30" t="str">
        <f aca="false">IF($C256="","",IFERROR(V256/W256,"—"))</f>
        <v/>
      </c>
      <c r="K256" s="41" t="str">
        <f aca="false">IF($C256="","",IFERROR(J256/I256-1,""))</f>
        <v/>
      </c>
      <c r="L256" s="41" t="str">
        <f aca="false">IF($C256="","",IFERROR((U256-S256)/S256,"—"))</f>
        <v/>
      </c>
      <c r="M256" s="41" t="str">
        <f aca="false">IF($C256="","",IFERROR((X256-V256)/V256,"—"))</f>
        <v/>
      </c>
      <c r="N256" s="39" t="str">
        <f aca="false">IF($C256="","",T256/$D$5)</f>
        <v/>
      </c>
      <c r="O256" s="39" t="str">
        <f aca="false">IF($C256="","",W256/$D$5)</f>
        <v/>
      </c>
      <c r="P256" s="51" t="str">
        <f aca="false">IF($C256="","",IF(MAX(Статистика!$B$7:$B$1006)&lt;$C256+$D$5,"Чекаємо даних",IF(S256=0,"Новий (без бази)",IF(OR(T256=0,W256=0),"Мало даних",IF(K256&lt;=-$F$5,"Покращило",IF(K256&gt;=$F$5,"Погіршило","Без змін"))))))</f>
        <v/>
      </c>
      <c r="Q256" s="50"/>
      <c r="R256" s="1"/>
      <c r="S256" s="52" t="str">
        <f aca="false">IF($C256="","",SUMIFS(Статистика!$E$7:$E$1006,Статистика!$B$7:$B$1006,"&gt;="&amp;($C256-$D$5),Статистика!$B$7:$B$1006,"&lt;="&amp;($C256-1),Статистика!$C$7:$C$1006,IF($D256="","&lt;&gt;§",$D256),Статистика!$D$7:$D$1006,IF($E256="","&lt;&gt;§",$E256)))</f>
        <v/>
      </c>
      <c r="T256" s="52" t="str">
        <f aca="false">IF($C256="","",SUMIFS(Статистика!$H$7:$H$1006,Статистика!$B$7:$B$1006,"&gt;="&amp;($C256-$D$5),Статистика!$B$7:$B$1006,"&lt;="&amp;($C256-1),Статистика!$C$7:$C$1006,IF($D256="","&lt;&gt;§",$D256),Статистика!$D$7:$D$1006,IF($E256="","&lt;&gt;§",$E256)))</f>
        <v/>
      </c>
      <c r="U256" s="52" t="str">
        <f aca="false">IF($C256="","",SUMIFS(Статистика!$T$7:$T$1006,Статистика!$B$7:$B$1006,"&gt;="&amp;($C256-$D$5),Статистика!$B$7:$B$1006,"&lt;="&amp;($C256-1),Статистика!$C$7:$C$1006,IF($D256="","&lt;&gt;§",$D256),Статистика!$D$7:$D$1006,IF($E256="","&lt;&gt;§",$E256)))</f>
        <v/>
      </c>
      <c r="V256" s="52" t="str">
        <f aca="false">IF($C256="","",SUMIFS(Статистика!$E$7:$E$1006,Статистика!$B$7:$B$1006,"&gt;="&amp;($C256+1),Статистика!$B$7:$B$1006,"&lt;="&amp;($C256+$D$5),Статистика!$C$7:$C$1006,IF($D256="","&lt;&gt;§",$D256),Статистика!$D$7:$D$1006,IF($E256="","&lt;&gt;§",$E256)))</f>
        <v/>
      </c>
      <c r="W256" s="52" t="str">
        <f aca="false">IF($C256="","",SUMIFS(Статистика!$H$7:$H$1006,Статистика!$B$7:$B$1006,"&gt;="&amp;($C256+1),Статистика!$B$7:$B$1006,"&lt;="&amp;($C256+$D$5),Статистика!$C$7:$C$1006,IF($D256="","&lt;&gt;§",$D256),Статистика!$D$7:$D$1006,IF($E256="","&lt;&gt;§",$E256)))</f>
        <v/>
      </c>
      <c r="X256" s="52" t="str">
        <f aca="false">IF($C256="","",SUMIFS(Статистика!$T$7:$T$1006,Статистика!$B$7:$B$1006,"&gt;="&amp;($C256+1),Статистика!$B$7:$B$1006,"&lt;="&amp;($C256+$D$5),Статистика!$C$7:$C$1006,IF($D256="","&lt;&gt;§",$D256),Статистика!$D$7:$D$1006,IF($E256="","&lt;&gt;§",$E256)))</f>
        <v/>
      </c>
      <c r="Y256" s="1"/>
      <c r="Z256" s="1"/>
      <c r="AA256" s="1"/>
      <c r="AB256" s="1"/>
      <c r="AC256" s="1"/>
      <c r="AD256" s="1"/>
    </row>
    <row r="257" customFormat="false" ht="30" hidden="false" customHeight="true" outlineLevel="0" collapsed="false">
      <c r="A257" s="1"/>
      <c r="B257" s="49" t="str">
        <f aca="false">IF($C257="","",ROW()-8)</f>
        <v/>
      </c>
      <c r="C257" s="35"/>
      <c r="D257" s="8"/>
      <c r="E257" s="26"/>
      <c r="F257" s="26"/>
      <c r="G257" s="50"/>
      <c r="H257" s="50"/>
      <c r="I257" s="30" t="str">
        <f aca="false">IF($C257="","",IFERROR(S257/T257,"—"))</f>
        <v/>
      </c>
      <c r="J257" s="30" t="str">
        <f aca="false">IF($C257="","",IFERROR(V257/W257,"—"))</f>
        <v/>
      </c>
      <c r="K257" s="41" t="str">
        <f aca="false">IF($C257="","",IFERROR(J257/I257-1,""))</f>
        <v/>
      </c>
      <c r="L257" s="41" t="str">
        <f aca="false">IF($C257="","",IFERROR((U257-S257)/S257,"—"))</f>
        <v/>
      </c>
      <c r="M257" s="41" t="str">
        <f aca="false">IF($C257="","",IFERROR((X257-V257)/V257,"—"))</f>
        <v/>
      </c>
      <c r="N257" s="39" t="str">
        <f aca="false">IF($C257="","",T257/$D$5)</f>
        <v/>
      </c>
      <c r="O257" s="39" t="str">
        <f aca="false">IF($C257="","",W257/$D$5)</f>
        <v/>
      </c>
      <c r="P257" s="51" t="str">
        <f aca="false">IF($C257="","",IF(MAX(Статистика!$B$7:$B$1006)&lt;$C257+$D$5,"Чекаємо даних",IF(S257=0,"Новий (без бази)",IF(OR(T257=0,W257=0),"Мало даних",IF(K257&lt;=-$F$5,"Покращило",IF(K257&gt;=$F$5,"Погіршило","Без змін"))))))</f>
        <v/>
      </c>
      <c r="Q257" s="50"/>
      <c r="R257" s="1"/>
      <c r="S257" s="52" t="str">
        <f aca="false">IF($C257="","",SUMIFS(Статистика!$E$7:$E$1006,Статистика!$B$7:$B$1006,"&gt;="&amp;($C257-$D$5),Статистика!$B$7:$B$1006,"&lt;="&amp;($C257-1),Статистика!$C$7:$C$1006,IF($D257="","&lt;&gt;§",$D257),Статистика!$D$7:$D$1006,IF($E257="","&lt;&gt;§",$E257)))</f>
        <v/>
      </c>
      <c r="T257" s="52" t="str">
        <f aca="false">IF($C257="","",SUMIFS(Статистика!$H$7:$H$1006,Статистика!$B$7:$B$1006,"&gt;="&amp;($C257-$D$5),Статистика!$B$7:$B$1006,"&lt;="&amp;($C257-1),Статистика!$C$7:$C$1006,IF($D257="","&lt;&gt;§",$D257),Статистика!$D$7:$D$1006,IF($E257="","&lt;&gt;§",$E257)))</f>
        <v/>
      </c>
      <c r="U257" s="52" t="str">
        <f aca="false">IF($C257="","",SUMIFS(Статистика!$T$7:$T$1006,Статистика!$B$7:$B$1006,"&gt;="&amp;($C257-$D$5),Статистика!$B$7:$B$1006,"&lt;="&amp;($C257-1),Статистика!$C$7:$C$1006,IF($D257="","&lt;&gt;§",$D257),Статистика!$D$7:$D$1006,IF($E257="","&lt;&gt;§",$E257)))</f>
        <v/>
      </c>
      <c r="V257" s="52" t="str">
        <f aca="false">IF($C257="","",SUMIFS(Статистика!$E$7:$E$1006,Статистика!$B$7:$B$1006,"&gt;="&amp;($C257+1),Статистика!$B$7:$B$1006,"&lt;="&amp;($C257+$D$5),Статистика!$C$7:$C$1006,IF($D257="","&lt;&gt;§",$D257),Статистика!$D$7:$D$1006,IF($E257="","&lt;&gt;§",$E257)))</f>
        <v/>
      </c>
      <c r="W257" s="52" t="str">
        <f aca="false">IF($C257="","",SUMIFS(Статистика!$H$7:$H$1006,Статистика!$B$7:$B$1006,"&gt;="&amp;($C257+1),Статистика!$B$7:$B$1006,"&lt;="&amp;($C257+$D$5),Статистика!$C$7:$C$1006,IF($D257="","&lt;&gt;§",$D257),Статистика!$D$7:$D$1006,IF($E257="","&lt;&gt;§",$E257)))</f>
        <v/>
      </c>
      <c r="X257" s="52" t="str">
        <f aca="false">IF($C257="","",SUMIFS(Статистика!$T$7:$T$1006,Статистика!$B$7:$B$1006,"&gt;="&amp;($C257+1),Статистика!$B$7:$B$1006,"&lt;="&amp;($C257+$D$5),Статистика!$C$7:$C$1006,IF($D257="","&lt;&gt;§",$D257),Статистика!$D$7:$D$1006,IF($E257="","&lt;&gt;§",$E257)))</f>
        <v/>
      </c>
      <c r="Y257" s="1"/>
      <c r="Z257" s="1"/>
      <c r="AA257" s="1"/>
      <c r="AB257" s="1"/>
      <c r="AC257" s="1"/>
      <c r="AD257" s="1"/>
    </row>
    <row r="258" customFormat="false" ht="30" hidden="false" customHeight="true" outlineLevel="0" collapsed="false">
      <c r="A258" s="1"/>
      <c r="B258" s="49" t="str">
        <f aca="false">IF($C258="","",ROW()-8)</f>
        <v/>
      </c>
      <c r="C258" s="35"/>
      <c r="D258" s="8"/>
      <c r="E258" s="26"/>
      <c r="F258" s="26"/>
      <c r="G258" s="50"/>
      <c r="H258" s="50"/>
      <c r="I258" s="30" t="str">
        <f aca="false">IF($C258="","",IFERROR(S258/T258,"—"))</f>
        <v/>
      </c>
      <c r="J258" s="30" t="str">
        <f aca="false">IF($C258="","",IFERROR(V258/W258,"—"))</f>
        <v/>
      </c>
      <c r="K258" s="41" t="str">
        <f aca="false">IF($C258="","",IFERROR(J258/I258-1,""))</f>
        <v/>
      </c>
      <c r="L258" s="41" t="str">
        <f aca="false">IF($C258="","",IFERROR((U258-S258)/S258,"—"))</f>
        <v/>
      </c>
      <c r="M258" s="41" t="str">
        <f aca="false">IF($C258="","",IFERROR((X258-V258)/V258,"—"))</f>
        <v/>
      </c>
      <c r="N258" s="39" t="str">
        <f aca="false">IF($C258="","",T258/$D$5)</f>
        <v/>
      </c>
      <c r="O258" s="39" t="str">
        <f aca="false">IF($C258="","",W258/$D$5)</f>
        <v/>
      </c>
      <c r="P258" s="51" t="str">
        <f aca="false">IF($C258="","",IF(MAX(Статистика!$B$7:$B$1006)&lt;$C258+$D$5,"Чекаємо даних",IF(S258=0,"Новий (без бази)",IF(OR(T258=0,W258=0),"Мало даних",IF(K258&lt;=-$F$5,"Покращило",IF(K258&gt;=$F$5,"Погіршило","Без змін"))))))</f>
        <v/>
      </c>
      <c r="Q258" s="50"/>
      <c r="R258" s="1"/>
      <c r="S258" s="52" t="str">
        <f aca="false">IF($C258="","",SUMIFS(Статистика!$E$7:$E$1006,Статистика!$B$7:$B$1006,"&gt;="&amp;($C258-$D$5),Статистика!$B$7:$B$1006,"&lt;="&amp;($C258-1),Статистика!$C$7:$C$1006,IF($D258="","&lt;&gt;§",$D258),Статистика!$D$7:$D$1006,IF($E258="","&lt;&gt;§",$E258)))</f>
        <v/>
      </c>
      <c r="T258" s="52" t="str">
        <f aca="false">IF($C258="","",SUMIFS(Статистика!$H$7:$H$1006,Статистика!$B$7:$B$1006,"&gt;="&amp;($C258-$D$5),Статистика!$B$7:$B$1006,"&lt;="&amp;($C258-1),Статистика!$C$7:$C$1006,IF($D258="","&lt;&gt;§",$D258),Статистика!$D$7:$D$1006,IF($E258="","&lt;&gt;§",$E258)))</f>
        <v/>
      </c>
      <c r="U258" s="52" t="str">
        <f aca="false">IF($C258="","",SUMIFS(Статистика!$T$7:$T$1006,Статистика!$B$7:$B$1006,"&gt;="&amp;($C258-$D$5),Статистика!$B$7:$B$1006,"&lt;="&amp;($C258-1),Статистика!$C$7:$C$1006,IF($D258="","&lt;&gt;§",$D258),Статистика!$D$7:$D$1006,IF($E258="","&lt;&gt;§",$E258)))</f>
        <v/>
      </c>
      <c r="V258" s="52" t="str">
        <f aca="false">IF($C258="","",SUMIFS(Статистика!$E$7:$E$1006,Статистика!$B$7:$B$1006,"&gt;="&amp;($C258+1),Статистика!$B$7:$B$1006,"&lt;="&amp;($C258+$D$5),Статистика!$C$7:$C$1006,IF($D258="","&lt;&gt;§",$D258),Статистика!$D$7:$D$1006,IF($E258="","&lt;&gt;§",$E258)))</f>
        <v/>
      </c>
      <c r="W258" s="52" t="str">
        <f aca="false">IF($C258="","",SUMIFS(Статистика!$H$7:$H$1006,Статистика!$B$7:$B$1006,"&gt;="&amp;($C258+1),Статистика!$B$7:$B$1006,"&lt;="&amp;($C258+$D$5),Статистика!$C$7:$C$1006,IF($D258="","&lt;&gt;§",$D258),Статистика!$D$7:$D$1006,IF($E258="","&lt;&gt;§",$E258)))</f>
        <v/>
      </c>
      <c r="X258" s="52" t="str">
        <f aca="false">IF($C258="","",SUMIFS(Статистика!$T$7:$T$1006,Статистика!$B$7:$B$1006,"&gt;="&amp;($C258+1),Статистика!$B$7:$B$1006,"&lt;="&amp;($C258+$D$5),Статистика!$C$7:$C$1006,IF($D258="","&lt;&gt;§",$D258),Статистика!$D$7:$D$1006,IF($E258="","&lt;&gt;§",$E258)))</f>
        <v/>
      </c>
      <c r="Y258" s="1"/>
      <c r="Z258" s="1"/>
      <c r="AA258" s="1"/>
      <c r="AB258" s="1"/>
      <c r="AC258" s="1"/>
      <c r="AD258" s="1"/>
    </row>
    <row r="259" customFormat="false" ht="30" hidden="false" customHeight="true" outlineLevel="0" collapsed="false">
      <c r="A259" s="1"/>
      <c r="B259" s="49" t="str">
        <f aca="false">IF($C259="","",ROW()-8)</f>
        <v/>
      </c>
      <c r="C259" s="35"/>
      <c r="D259" s="8"/>
      <c r="E259" s="26"/>
      <c r="F259" s="26"/>
      <c r="G259" s="50"/>
      <c r="H259" s="50"/>
      <c r="I259" s="30" t="str">
        <f aca="false">IF($C259="","",IFERROR(S259/T259,"—"))</f>
        <v/>
      </c>
      <c r="J259" s="30" t="str">
        <f aca="false">IF($C259="","",IFERROR(V259/W259,"—"))</f>
        <v/>
      </c>
      <c r="K259" s="41" t="str">
        <f aca="false">IF($C259="","",IFERROR(J259/I259-1,""))</f>
        <v/>
      </c>
      <c r="L259" s="41" t="str">
        <f aca="false">IF($C259="","",IFERROR((U259-S259)/S259,"—"))</f>
        <v/>
      </c>
      <c r="M259" s="41" t="str">
        <f aca="false">IF($C259="","",IFERROR((X259-V259)/V259,"—"))</f>
        <v/>
      </c>
      <c r="N259" s="39" t="str">
        <f aca="false">IF($C259="","",T259/$D$5)</f>
        <v/>
      </c>
      <c r="O259" s="39" t="str">
        <f aca="false">IF($C259="","",W259/$D$5)</f>
        <v/>
      </c>
      <c r="P259" s="51" t="str">
        <f aca="false">IF($C259="","",IF(MAX(Статистика!$B$7:$B$1006)&lt;$C259+$D$5,"Чекаємо даних",IF(S259=0,"Новий (без бази)",IF(OR(T259=0,W259=0),"Мало даних",IF(K259&lt;=-$F$5,"Покращило",IF(K259&gt;=$F$5,"Погіршило","Без змін"))))))</f>
        <v/>
      </c>
      <c r="Q259" s="50"/>
      <c r="R259" s="1"/>
      <c r="S259" s="52" t="str">
        <f aca="false">IF($C259="","",SUMIFS(Статистика!$E$7:$E$1006,Статистика!$B$7:$B$1006,"&gt;="&amp;($C259-$D$5),Статистика!$B$7:$B$1006,"&lt;="&amp;($C259-1),Статистика!$C$7:$C$1006,IF($D259="","&lt;&gt;§",$D259),Статистика!$D$7:$D$1006,IF($E259="","&lt;&gt;§",$E259)))</f>
        <v/>
      </c>
      <c r="T259" s="52" t="str">
        <f aca="false">IF($C259="","",SUMIFS(Статистика!$H$7:$H$1006,Статистика!$B$7:$B$1006,"&gt;="&amp;($C259-$D$5),Статистика!$B$7:$B$1006,"&lt;="&amp;($C259-1),Статистика!$C$7:$C$1006,IF($D259="","&lt;&gt;§",$D259),Статистика!$D$7:$D$1006,IF($E259="","&lt;&gt;§",$E259)))</f>
        <v/>
      </c>
      <c r="U259" s="52" t="str">
        <f aca="false">IF($C259="","",SUMIFS(Статистика!$T$7:$T$1006,Статистика!$B$7:$B$1006,"&gt;="&amp;($C259-$D$5),Статистика!$B$7:$B$1006,"&lt;="&amp;($C259-1),Статистика!$C$7:$C$1006,IF($D259="","&lt;&gt;§",$D259),Статистика!$D$7:$D$1006,IF($E259="","&lt;&gt;§",$E259)))</f>
        <v/>
      </c>
      <c r="V259" s="52" t="str">
        <f aca="false">IF($C259="","",SUMIFS(Статистика!$E$7:$E$1006,Статистика!$B$7:$B$1006,"&gt;="&amp;($C259+1),Статистика!$B$7:$B$1006,"&lt;="&amp;($C259+$D$5),Статистика!$C$7:$C$1006,IF($D259="","&lt;&gt;§",$D259),Статистика!$D$7:$D$1006,IF($E259="","&lt;&gt;§",$E259)))</f>
        <v/>
      </c>
      <c r="W259" s="52" t="str">
        <f aca="false">IF($C259="","",SUMIFS(Статистика!$H$7:$H$1006,Статистика!$B$7:$B$1006,"&gt;="&amp;($C259+1),Статистика!$B$7:$B$1006,"&lt;="&amp;($C259+$D$5),Статистика!$C$7:$C$1006,IF($D259="","&lt;&gt;§",$D259),Статистика!$D$7:$D$1006,IF($E259="","&lt;&gt;§",$E259)))</f>
        <v/>
      </c>
      <c r="X259" s="52" t="str">
        <f aca="false">IF($C259="","",SUMIFS(Статистика!$T$7:$T$1006,Статистика!$B$7:$B$1006,"&gt;="&amp;($C259+1),Статистика!$B$7:$B$1006,"&lt;="&amp;($C259+$D$5),Статистика!$C$7:$C$1006,IF($D259="","&lt;&gt;§",$D259),Статистика!$D$7:$D$1006,IF($E259="","&lt;&gt;§",$E259)))</f>
        <v/>
      </c>
      <c r="Y259" s="1"/>
      <c r="Z259" s="1"/>
      <c r="AA259" s="1"/>
      <c r="AB259" s="1"/>
      <c r="AC259" s="1"/>
      <c r="AD259" s="1"/>
    </row>
    <row r="260" customFormat="false" ht="30" hidden="false" customHeight="true" outlineLevel="0" collapsed="false">
      <c r="A260" s="1"/>
      <c r="B260" s="49" t="str">
        <f aca="false">IF($C260="","",ROW()-8)</f>
        <v/>
      </c>
      <c r="C260" s="35"/>
      <c r="D260" s="8"/>
      <c r="E260" s="26"/>
      <c r="F260" s="26"/>
      <c r="G260" s="50"/>
      <c r="H260" s="50"/>
      <c r="I260" s="30" t="str">
        <f aca="false">IF($C260="","",IFERROR(S260/T260,"—"))</f>
        <v/>
      </c>
      <c r="J260" s="30" t="str">
        <f aca="false">IF($C260="","",IFERROR(V260/W260,"—"))</f>
        <v/>
      </c>
      <c r="K260" s="41" t="str">
        <f aca="false">IF($C260="","",IFERROR(J260/I260-1,""))</f>
        <v/>
      </c>
      <c r="L260" s="41" t="str">
        <f aca="false">IF($C260="","",IFERROR((U260-S260)/S260,"—"))</f>
        <v/>
      </c>
      <c r="M260" s="41" t="str">
        <f aca="false">IF($C260="","",IFERROR((X260-V260)/V260,"—"))</f>
        <v/>
      </c>
      <c r="N260" s="39" t="str">
        <f aca="false">IF($C260="","",T260/$D$5)</f>
        <v/>
      </c>
      <c r="O260" s="39" t="str">
        <f aca="false">IF($C260="","",W260/$D$5)</f>
        <v/>
      </c>
      <c r="P260" s="51" t="str">
        <f aca="false">IF($C260="","",IF(MAX(Статистика!$B$7:$B$1006)&lt;$C260+$D$5,"Чекаємо даних",IF(S260=0,"Новий (без бази)",IF(OR(T260=0,W260=0),"Мало даних",IF(K260&lt;=-$F$5,"Покращило",IF(K260&gt;=$F$5,"Погіршило","Без змін"))))))</f>
        <v/>
      </c>
      <c r="Q260" s="50"/>
      <c r="R260" s="1"/>
      <c r="S260" s="52" t="str">
        <f aca="false">IF($C260="","",SUMIFS(Статистика!$E$7:$E$1006,Статистика!$B$7:$B$1006,"&gt;="&amp;($C260-$D$5),Статистика!$B$7:$B$1006,"&lt;="&amp;($C260-1),Статистика!$C$7:$C$1006,IF($D260="","&lt;&gt;§",$D260),Статистика!$D$7:$D$1006,IF($E260="","&lt;&gt;§",$E260)))</f>
        <v/>
      </c>
      <c r="T260" s="52" t="str">
        <f aca="false">IF($C260="","",SUMIFS(Статистика!$H$7:$H$1006,Статистика!$B$7:$B$1006,"&gt;="&amp;($C260-$D$5),Статистика!$B$7:$B$1006,"&lt;="&amp;($C260-1),Статистика!$C$7:$C$1006,IF($D260="","&lt;&gt;§",$D260),Статистика!$D$7:$D$1006,IF($E260="","&lt;&gt;§",$E260)))</f>
        <v/>
      </c>
      <c r="U260" s="52" t="str">
        <f aca="false">IF($C260="","",SUMIFS(Статистика!$T$7:$T$1006,Статистика!$B$7:$B$1006,"&gt;="&amp;($C260-$D$5),Статистика!$B$7:$B$1006,"&lt;="&amp;($C260-1),Статистика!$C$7:$C$1006,IF($D260="","&lt;&gt;§",$D260),Статистика!$D$7:$D$1006,IF($E260="","&lt;&gt;§",$E260)))</f>
        <v/>
      </c>
      <c r="V260" s="52" t="str">
        <f aca="false">IF($C260="","",SUMIFS(Статистика!$E$7:$E$1006,Статистика!$B$7:$B$1006,"&gt;="&amp;($C260+1),Статистика!$B$7:$B$1006,"&lt;="&amp;($C260+$D$5),Статистика!$C$7:$C$1006,IF($D260="","&lt;&gt;§",$D260),Статистика!$D$7:$D$1006,IF($E260="","&lt;&gt;§",$E260)))</f>
        <v/>
      </c>
      <c r="W260" s="52" t="str">
        <f aca="false">IF($C260="","",SUMIFS(Статистика!$H$7:$H$1006,Статистика!$B$7:$B$1006,"&gt;="&amp;($C260+1),Статистика!$B$7:$B$1006,"&lt;="&amp;($C260+$D$5),Статистика!$C$7:$C$1006,IF($D260="","&lt;&gt;§",$D260),Статистика!$D$7:$D$1006,IF($E260="","&lt;&gt;§",$E260)))</f>
        <v/>
      </c>
      <c r="X260" s="52" t="str">
        <f aca="false">IF($C260="","",SUMIFS(Статистика!$T$7:$T$1006,Статистика!$B$7:$B$1006,"&gt;="&amp;($C260+1),Статистика!$B$7:$B$1006,"&lt;="&amp;($C260+$D$5),Статистика!$C$7:$C$1006,IF($D260="","&lt;&gt;§",$D260),Статистика!$D$7:$D$1006,IF($E260="","&lt;&gt;§",$E260)))</f>
        <v/>
      </c>
      <c r="Y260" s="1"/>
      <c r="Z260" s="1"/>
      <c r="AA260" s="1"/>
      <c r="AB260" s="1"/>
      <c r="AC260" s="1"/>
      <c r="AD260" s="1"/>
    </row>
    <row r="261" customFormat="false" ht="30" hidden="false" customHeight="true" outlineLevel="0" collapsed="false">
      <c r="A261" s="1"/>
      <c r="B261" s="49" t="str">
        <f aca="false">IF($C261="","",ROW()-8)</f>
        <v/>
      </c>
      <c r="C261" s="35"/>
      <c r="D261" s="8"/>
      <c r="E261" s="26"/>
      <c r="F261" s="26"/>
      <c r="G261" s="50"/>
      <c r="H261" s="50"/>
      <c r="I261" s="30" t="str">
        <f aca="false">IF($C261="","",IFERROR(S261/T261,"—"))</f>
        <v/>
      </c>
      <c r="J261" s="30" t="str">
        <f aca="false">IF($C261="","",IFERROR(V261/W261,"—"))</f>
        <v/>
      </c>
      <c r="K261" s="41" t="str">
        <f aca="false">IF($C261="","",IFERROR(J261/I261-1,""))</f>
        <v/>
      </c>
      <c r="L261" s="41" t="str">
        <f aca="false">IF($C261="","",IFERROR((U261-S261)/S261,"—"))</f>
        <v/>
      </c>
      <c r="M261" s="41" t="str">
        <f aca="false">IF($C261="","",IFERROR((X261-V261)/V261,"—"))</f>
        <v/>
      </c>
      <c r="N261" s="39" t="str">
        <f aca="false">IF($C261="","",T261/$D$5)</f>
        <v/>
      </c>
      <c r="O261" s="39" t="str">
        <f aca="false">IF($C261="","",W261/$D$5)</f>
        <v/>
      </c>
      <c r="P261" s="51" t="str">
        <f aca="false">IF($C261="","",IF(MAX(Статистика!$B$7:$B$1006)&lt;$C261+$D$5,"Чекаємо даних",IF(S261=0,"Новий (без бази)",IF(OR(T261=0,W261=0),"Мало даних",IF(K261&lt;=-$F$5,"Покращило",IF(K261&gt;=$F$5,"Погіршило","Без змін"))))))</f>
        <v/>
      </c>
      <c r="Q261" s="50"/>
      <c r="R261" s="1"/>
      <c r="S261" s="52" t="str">
        <f aca="false">IF($C261="","",SUMIFS(Статистика!$E$7:$E$1006,Статистика!$B$7:$B$1006,"&gt;="&amp;($C261-$D$5),Статистика!$B$7:$B$1006,"&lt;="&amp;($C261-1),Статистика!$C$7:$C$1006,IF($D261="","&lt;&gt;§",$D261),Статистика!$D$7:$D$1006,IF($E261="","&lt;&gt;§",$E261)))</f>
        <v/>
      </c>
      <c r="T261" s="52" t="str">
        <f aca="false">IF($C261="","",SUMIFS(Статистика!$H$7:$H$1006,Статистика!$B$7:$B$1006,"&gt;="&amp;($C261-$D$5),Статистика!$B$7:$B$1006,"&lt;="&amp;($C261-1),Статистика!$C$7:$C$1006,IF($D261="","&lt;&gt;§",$D261),Статистика!$D$7:$D$1006,IF($E261="","&lt;&gt;§",$E261)))</f>
        <v/>
      </c>
      <c r="U261" s="52" t="str">
        <f aca="false">IF($C261="","",SUMIFS(Статистика!$T$7:$T$1006,Статистика!$B$7:$B$1006,"&gt;="&amp;($C261-$D$5),Статистика!$B$7:$B$1006,"&lt;="&amp;($C261-1),Статистика!$C$7:$C$1006,IF($D261="","&lt;&gt;§",$D261),Статистика!$D$7:$D$1006,IF($E261="","&lt;&gt;§",$E261)))</f>
        <v/>
      </c>
      <c r="V261" s="52" t="str">
        <f aca="false">IF($C261="","",SUMIFS(Статистика!$E$7:$E$1006,Статистика!$B$7:$B$1006,"&gt;="&amp;($C261+1),Статистика!$B$7:$B$1006,"&lt;="&amp;($C261+$D$5),Статистика!$C$7:$C$1006,IF($D261="","&lt;&gt;§",$D261),Статистика!$D$7:$D$1006,IF($E261="","&lt;&gt;§",$E261)))</f>
        <v/>
      </c>
      <c r="W261" s="52" t="str">
        <f aca="false">IF($C261="","",SUMIFS(Статистика!$H$7:$H$1006,Статистика!$B$7:$B$1006,"&gt;="&amp;($C261+1),Статистика!$B$7:$B$1006,"&lt;="&amp;($C261+$D$5),Статистика!$C$7:$C$1006,IF($D261="","&lt;&gt;§",$D261),Статистика!$D$7:$D$1006,IF($E261="","&lt;&gt;§",$E261)))</f>
        <v/>
      </c>
      <c r="X261" s="52" t="str">
        <f aca="false">IF($C261="","",SUMIFS(Статистика!$T$7:$T$1006,Статистика!$B$7:$B$1006,"&gt;="&amp;($C261+1),Статистика!$B$7:$B$1006,"&lt;="&amp;($C261+$D$5),Статистика!$C$7:$C$1006,IF($D261="","&lt;&gt;§",$D261),Статистика!$D$7:$D$1006,IF($E261="","&lt;&gt;§",$E261)))</f>
        <v/>
      </c>
      <c r="Y261" s="1"/>
      <c r="Z261" s="1"/>
      <c r="AA261" s="1"/>
      <c r="AB261" s="1"/>
      <c r="AC261" s="1"/>
      <c r="AD261" s="1"/>
    </row>
    <row r="262" customFormat="false" ht="30" hidden="false" customHeight="true" outlineLevel="0" collapsed="false">
      <c r="A262" s="1"/>
      <c r="B262" s="49" t="str">
        <f aca="false">IF($C262="","",ROW()-8)</f>
        <v/>
      </c>
      <c r="C262" s="35"/>
      <c r="D262" s="8"/>
      <c r="E262" s="26"/>
      <c r="F262" s="26"/>
      <c r="G262" s="50"/>
      <c r="H262" s="50"/>
      <c r="I262" s="30" t="str">
        <f aca="false">IF($C262="","",IFERROR(S262/T262,"—"))</f>
        <v/>
      </c>
      <c r="J262" s="30" t="str">
        <f aca="false">IF($C262="","",IFERROR(V262/W262,"—"))</f>
        <v/>
      </c>
      <c r="K262" s="41" t="str">
        <f aca="false">IF($C262="","",IFERROR(J262/I262-1,""))</f>
        <v/>
      </c>
      <c r="L262" s="41" t="str">
        <f aca="false">IF($C262="","",IFERROR((U262-S262)/S262,"—"))</f>
        <v/>
      </c>
      <c r="M262" s="41" t="str">
        <f aca="false">IF($C262="","",IFERROR((X262-V262)/V262,"—"))</f>
        <v/>
      </c>
      <c r="N262" s="39" t="str">
        <f aca="false">IF($C262="","",T262/$D$5)</f>
        <v/>
      </c>
      <c r="O262" s="39" t="str">
        <f aca="false">IF($C262="","",W262/$D$5)</f>
        <v/>
      </c>
      <c r="P262" s="51" t="str">
        <f aca="false">IF($C262="","",IF(MAX(Статистика!$B$7:$B$1006)&lt;$C262+$D$5,"Чекаємо даних",IF(S262=0,"Новий (без бази)",IF(OR(T262=0,W262=0),"Мало даних",IF(K262&lt;=-$F$5,"Покращило",IF(K262&gt;=$F$5,"Погіршило","Без змін"))))))</f>
        <v/>
      </c>
      <c r="Q262" s="50"/>
      <c r="R262" s="1"/>
      <c r="S262" s="52" t="str">
        <f aca="false">IF($C262="","",SUMIFS(Статистика!$E$7:$E$1006,Статистика!$B$7:$B$1006,"&gt;="&amp;($C262-$D$5),Статистика!$B$7:$B$1006,"&lt;="&amp;($C262-1),Статистика!$C$7:$C$1006,IF($D262="","&lt;&gt;§",$D262),Статистика!$D$7:$D$1006,IF($E262="","&lt;&gt;§",$E262)))</f>
        <v/>
      </c>
      <c r="T262" s="52" t="str">
        <f aca="false">IF($C262="","",SUMIFS(Статистика!$H$7:$H$1006,Статистика!$B$7:$B$1006,"&gt;="&amp;($C262-$D$5),Статистика!$B$7:$B$1006,"&lt;="&amp;($C262-1),Статистика!$C$7:$C$1006,IF($D262="","&lt;&gt;§",$D262),Статистика!$D$7:$D$1006,IF($E262="","&lt;&gt;§",$E262)))</f>
        <v/>
      </c>
      <c r="U262" s="52" t="str">
        <f aca="false">IF($C262="","",SUMIFS(Статистика!$T$7:$T$1006,Статистика!$B$7:$B$1006,"&gt;="&amp;($C262-$D$5),Статистика!$B$7:$B$1006,"&lt;="&amp;($C262-1),Статистика!$C$7:$C$1006,IF($D262="","&lt;&gt;§",$D262),Статистика!$D$7:$D$1006,IF($E262="","&lt;&gt;§",$E262)))</f>
        <v/>
      </c>
      <c r="V262" s="52" t="str">
        <f aca="false">IF($C262="","",SUMIFS(Статистика!$E$7:$E$1006,Статистика!$B$7:$B$1006,"&gt;="&amp;($C262+1),Статистика!$B$7:$B$1006,"&lt;="&amp;($C262+$D$5),Статистика!$C$7:$C$1006,IF($D262="","&lt;&gt;§",$D262),Статистика!$D$7:$D$1006,IF($E262="","&lt;&gt;§",$E262)))</f>
        <v/>
      </c>
      <c r="W262" s="52" t="str">
        <f aca="false">IF($C262="","",SUMIFS(Статистика!$H$7:$H$1006,Статистика!$B$7:$B$1006,"&gt;="&amp;($C262+1),Статистика!$B$7:$B$1006,"&lt;="&amp;($C262+$D$5),Статистика!$C$7:$C$1006,IF($D262="","&lt;&gt;§",$D262),Статистика!$D$7:$D$1006,IF($E262="","&lt;&gt;§",$E262)))</f>
        <v/>
      </c>
      <c r="X262" s="52" t="str">
        <f aca="false">IF($C262="","",SUMIFS(Статистика!$T$7:$T$1006,Статистика!$B$7:$B$1006,"&gt;="&amp;($C262+1),Статистика!$B$7:$B$1006,"&lt;="&amp;($C262+$D$5),Статистика!$C$7:$C$1006,IF($D262="","&lt;&gt;§",$D262),Статистика!$D$7:$D$1006,IF($E262="","&lt;&gt;§",$E262)))</f>
        <v/>
      </c>
      <c r="Y262" s="1"/>
      <c r="Z262" s="1"/>
      <c r="AA262" s="1"/>
      <c r="AB262" s="1"/>
      <c r="AC262" s="1"/>
      <c r="AD262" s="1"/>
    </row>
    <row r="263" customFormat="false" ht="30" hidden="false" customHeight="true" outlineLevel="0" collapsed="false">
      <c r="A263" s="1"/>
      <c r="B263" s="49" t="str">
        <f aca="false">IF($C263="","",ROW()-8)</f>
        <v/>
      </c>
      <c r="C263" s="35"/>
      <c r="D263" s="8"/>
      <c r="E263" s="26"/>
      <c r="F263" s="26"/>
      <c r="G263" s="50"/>
      <c r="H263" s="50"/>
      <c r="I263" s="30" t="str">
        <f aca="false">IF($C263="","",IFERROR(S263/T263,"—"))</f>
        <v/>
      </c>
      <c r="J263" s="30" t="str">
        <f aca="false">IF($C263="","",IFERROR(V263/W263,"—"))</f>
        <v/>
      </c>
      <c r="K263" s="41" t="str">
        <f aca="false">IF($C263="","",IFERROR(J263/I263-1,""))</f>
        <v/>
      </c>
      <c r="L263" s="41" t="str">
        <f aca="false">IF($C263="","",IFERROR((U263-S263)/S263,"—"))</f>
        <v/>
      </c>
      <c r="M263" s="41" t="str">
        <f aca="false">IF($C263="","",IFERROR((X263-V263)/V263,"—"))</f>
        <v/>
      </c>
      <c r="N263" s="39" t="str">
        <f aca="false">IF($C263="","",T263/$D$5)</f>
        <v/>
      </c>
      <c r="O263" s="39" t="str">
        <f aca="false">IF($C263="","",W263/$D$5)</f>
        <v/>
      </c>
      <c r="P263" s="51" t="str">
        <f aca="false">IF($C263="","",IF(MAX(Статистика!$B$7:$B$1006)&lt;$C263+$D$5,"Чекаємо даних",IF(S263=0,"Новий (без бази)",IF(OR(T263=0,W263=0),"Мало даних",IF(K263&lt;=-$F$5,"Покращило",IF(K263&gt;=$F$5,"Погіршило","Без змін"))))))</f>
        <v/>
      </c>
      <c r="Q263" s="50"/>
      <c r="R263" s="1"/>
      <c r="S263" s="52" t="str">
        <f aca="false">IF($C263="","",SUMIFS(Статистика!$E$7:$E$1006,Статистика!$B$7:$B$1006,"&gt;="&amp;($C263-$D$5),Статистика!$B$7:$B$1006,"&lt;="&amp;($C263-1),Статистика!$C$7:$C$1006,IF($D263="","&lt;&gt;§",$D263),Статистика!$D$7:$D$1006,IF($E263="","&lt;&gt;§",$E263)))</f>
        <v/>
      </c>
      <c r="T263" s="52" t="str">
        <f aca="false">IF($C263="","",SUMIFS(Статистика!$H$7:$H$1006,Статистика!$B$7:$B$1006,"&gt;="&amp;($C263-$D$5),Статистика!$B$7:$B$1006,"&lt;="&amp;($C263-1),Статистика!$C$7:$C$1006,IF($D263="","&lt;&gt;§",$D263),Статистика!$D$7:$D$1006,IF($E263="","&lt;&gt;§",$E263)))</f>
        <v/>
      </c>
      <c r="U263" s="52" t="str">
        <f aca="false">IF($C263="","",SUMIFS(Статистика!$T$7:$T$1006,Статистика!$B$7:$B$1006,"&gt;="&amp;($C263-$D$5),Статистика!$B$7:$B$1006,"&lt;="&amp;($C263-1),Статистика!$C$7:$C$1006,IF($D263="","&lt;&gt;§",$D263),Статистика!$D$7:$D$1006,IF($E263="","&lt;&gt;§",$E263)))</f>
        <v/>
      </c>
      <c r="V263" s="52" t="str">
        <f aca="false">IF($C263="","",SUMIFS(Статистика!$E$7:$E$1006,Статистика!$B$7:$B$1006,"&gt;="&amp;($C263+1),Статистика!$B$7:$B$1006,"&lt;="&amp;($C263+$D$5),Статистика!$C$7:$C$1006,IF($D263="","&lt;&gt;§",$D263),Статистика!$D$7:$D$1006,IF($E263="","&lt;&gt;§",$E263)))</f>
        <v/>
      </c>
      <c r="W263" s="52" t="str">
        <f aca="false">IF($C263="","",SUMIFS(Статистика!$H$7:$H$1006,Статистика!$B$7:$B$1006,"&gt;="&amp;($C263+1),Статистика!$B$7:$B$1006,"&lt;="&amp;($C263+$D$5),Статистика!$C$7:$C$1006,IF($D263="","&lt;&gt;§",$D263),Статистика!$D$7:$D$1006,IF($E263="","&lt;&gt;§",$E263)))</f>
        <v/>
      </c>
      <c r="X263" s="52" t="str">
        <f aca="false">IF($C263="","",SUMIFS(Статистика!$T$7:$T$1006,Статистика!$B$7:$B$1006,"&gt;="&amp;($C263+1),Статистика!$B$7:$B$1006,"&lt;="&amp;($C263+$D$5),Статистика!$C$7:$C$1006,IF($D263="","&lt;&gt;§",$D263),Статистика!$D$7:$D$1006,IF($E263="","&lt;&gt;§",$E263)))</f>
        <v/>
      </c>
      <c r="Y263" s="1"/>
      <c r="Z263" s="1"/>
      <c r="AA263" s="1"/>
      <c r="AB263" s="1"/>
      <c r="AC263" s="1"/>
      <c r="AD263" s="1"/>
    </row>
    <row r="264" customFormat="false" ht="30" hidden="false" customHeight="true" outlineLevel="0" collapsed="false">
      <c r="A264" s="1"/>
      <c r="B264" s="49" t="str">
        <f aca="false">IF($C264="","",ROW()-8)</f>
        <v/>
      </c>
      <c r="C264" s="35"/>
      <c r="D264" s="8"/>
      <c r="E264" s="26"/>
      <c r="F264" s="26"/>
      <c r="G264" s="50"/>
      <c r="H264" s="50"/>
      <c r="I264" s="30" t="str">
        <f aca="false">IF($C264="","",IFERROR(S264/T264,"—"))</f>
        <v/>
      </c>
      <c r="J264" s="30" t="str">
        <f aca="false">IF($C264="","",IFERROR(V264/W264,"—"))</f>
        <v/>
      </c>
      <c r="K264" s="41" t="str">
        <f aca="false">IF($C264="","",IFERROR(J264/I264-1,""))</f>
        <v/>
      </c>
      <c r="L264" s="41" t="str">
        <f aca="false">IF($C264="","",IFERROR((U264-S264)/S264,"—"))</f>
        <v/>
      </c>
      <c r="M264" s="41" t="str">
        <f aca="false">IF($C264="","",IFERROR((X264-V264)/V264,"—"))</f>
        <v/>
      </c>
      <c r="N264" s="39" t="str">
        <f aca="false">IF($C264="","",T264/$D$5)</f>
        <v/>
      </c>
      <c r="O264" s="39" t="str">
        <f aca="false">IF($C264="","",W264/$D$5)</f>
        <v/>
      </c>
      <c r="P264" s="51" t="str">
        <f aca="false">IF($C264="","",IF(MAX(Статистика!$B$7:$B$1006)&lt;$C264+$D$5,"Чекаємо даних",IF(S264=0,"Новий (без бази)",IF(OR(T264=0,W264=0),"Мало даних",IF(K264&lt;=-$F$5,"Покращило",IF(K264&gt;=$F$5,"Погіршило","Без змін"))))))</f>
        <v/>
      </c>
      <c r="Q264" s="50"/>
      <c r="R264" s="1"/>
      <c r="S264" s="52" t="str">
        <f aca="false">IF($C264="","",SUMIFS(Статистика!$E$7:$E$1006,Статистика!$B$7:$B$1006,"&gt;="&amp;($C264-$D$5),Статистика!$B$7:$B$1006,"&lt;="&amp;($C264-1),Статистика!$C$7:$C$1006,IF($D264="","&lt;&gt;§",$D264),Статистика!$D$7:$D$1006,IF($E264="","&lt;&gt;§",$E264)))</f>
        <v/>
      </c>
      <c r="T264" s="52" t="str">
        <f aca="false">IF($C264="","",SUMIFS(Статистика!$H$7:$H$1006,Статистика!$B$7:$B$1006,"&gt;="&amp;($C264-$D$5),Статистика!$B$7:$B$1006,"&lt;="&amp;($C264-1),Статистика!$C$7:$C$1006,IF($D264="","&lt;&gt;§",$D264),Статистика!$D$7:$D$1006,IF($E264="","&lt;&gt;§",$E264)))</f>
        <v/>
      </c>
      <c r="U264" s="52" t="str">
        <f aca="false">IF($C264="","",SUMIFS(Статистика!$T$7:$T$1006,Статистика!$B$7:$B$1006,"&gt;="&amp;($C264-$D$5),Статистика!$B$7:$B$1006,"&lt;="&amp;($C264-1),Статистика!$C$7:$C$1006,IF($D264="","&lt;&gt;§",$D264),Статистика!$D$7:$D$1006,IF($E264="","&lt;&gt;§",$E264)))</f>
        <v/>
      </c>
      <c r="V264" s="52" t="str">
        <f aca="false">IF($C264="","",SUMIFS(Статистика!$E$7:$E$1006,Статистика!$B$7:$B$1006,"&gt;="&amp;($C264+1),Статистика!$B$7:$B$1006,"&lt;="&amp;($C264+$D$5),Статистика!$C$7:$C$1006,IF($D264="","&lt;&gt;§",$D264),Статистика!$D$7:$D$1006,IF($E264="","&lt;&gt;§",$E264)))</f>
        <v/>
      </c>
      <c r="W264" s="52" t="str">
        <f aca="false">IF($C264="","",SUMIFS(Статистика!$H$7:$H$1006,Статистика!$B$7:$B$1006,"&gt;="&amp;($C264+1),Статистика!$B$7:$B$1006,"&lt;="&amp;($C264+$D$5),Статистика!$C$7:$C$1006,IF($D264="","&lt;&gt;§",$D264),Статистика!$D$7:$D$1006,IF($E264="","&lt;&gt;§",$E264)))</f>
        <v/>
      </c>
      <c r="X264" s="52" t="str">
        <f aca="false">IF($C264="","",SUMIFS(Статистика!$T$7:$T$1006,Статистика!$B$7:$B$1006,"&gt;="&amp;($C264+1),Статистика!$B$7:$B$1006,"&lt;="&amp;($C264+$D$5),Статистика!$C$7:$C$1006,IF($D264="","&lt;&gt;§",$D264),Статистика!$D$7:$D$1006,IF($E264="","&lt;&gt;§",$E264)))</f>
        <v/>
      </c>
      <c r="Y264" s="1"/>
      <c r="Z264" s="1"/>
      <c r="AA264" s="1"/>
      <c r="AB264" s="1"/>
      <c r="AC264" s="1"/>
      <c r="AD264" s="1"/>
    </row>
    <row r="265" customFormat="false" ht="30" hidden="false" customHeight="true" outlineLevel="0" collapsed="false">
      <c r="A265" s="1"/>
      <c r="B265" s="49" t="str">
        <f aca="false">IF($C265="","",ROW()-8)</f>
        <v/>
      </c>
      <c r="C265" s="35"/>
      <c r="D265" s="8"/>
      <c r="E265" s="26"/>
      <c r="F265" s="26"/>
      <c r="G265" s="50"/>
      <c r="H265" s="50"/>
      <c r="I265" s="30" t="str">
        <f aca="false">IF($C265="","",IFERROR(S265/T265,"—"))</f>
        <v/>
      </c>
      <c r="J265" s="30" t="str">
        <f aca="false">IF($C265="","",IFERROR(V265/W265,"—"))</f>
        <v/>
      </c>
      <c r="K265" s="41" t="str">
        <f aca="false">IF($C265="","",IFERROR(J265/I265-1,""))</f>
        <v/>
      </c>
      <c r="L265" s="41" t="str">
        <f aca="false">IF($C265="","",IFERROR((U265-S265)/S265,"—"))</f>
        <v/>
      </c>
      <c r="M265" s="41" t="str">
        <f aca="false">IF($C265="","",IFERROR((X265-V265)/V265,"—"))</f>
        <v/>
      </c>
      <c r="N265" s="39" t="str">
        <f aca="false">IF($C265="","",T265/$D$5)</f>
        <v/>
      </c>
      <c r="O265" s="39" t="str">
        <f aca="false">IF($C265="","",W265/$D$5)</f>
        <v/>
      </c>
      <c r="P265" s="51" t="str">
        <f aca="false">IF($C265="","",IF(MAX(Статистика!$B$7:$B$1006)&lt;$C265+$D$5,"Чекаємо даних",IF(S265=0,"Новий (без бази)",IF(OR(T265=0,W265=0),"Мало даних",IF(K265&lt;=-$F$5,"Покращило",IF(K265&gt;=$F$5,"Погіршило","Без змін"))))))</f>
        <v/>
      </c>
      <c r="Q265" s="50"/>
      <c r="R265" s="1"/>
      <c r="S265" s="52" t="str">
        <f aca="false">IF($C265="","",SUMIFS(Статистика!$E$7:$E$1006,Статистика!$B$7:$B$1006,"&gt;="&amp;($C265-$D$5),Статистика!$B$7:$B$1006,"&lt;="&amp;($C265-1),Статистика!$C$7:$C$1006,IF($D265="","&lt;&gt;§",$D265),Статистика!$D$7:$D$1006,IF($E265="","&lt;&gt;§",$E265)))</f>
        <v/>
      </c>
      <c r="T265" s="52" t="str">
        <f aca="false">IF($C265="","",SUMIFS(Статистика!$H$7:$H$1006,Статистика!$B$7:$B$1006,"&gt;="&amp;($C265-$D$5),Статистика!$B$7:$B$1006,"&lt;="&amp;($C265-1),Статистика!$C$7:$C$1006,IF($D265="","&lt;&gt;§",$D265),Статистика!$D$7:$D$1006,IF($E265="","&lt;&gt;§",$E265)))</f>
        <v/>
      </c>
      <c r="U265" s="52" t="str">
        <f aca="false">IF($C265="","",SUMIFS(Статистика!$T$7:$T$1006,Статистика!$B$7:$B$1006,"&gt;="&amp;($C265-$D$5),Статистика!$B$7:$B$1006,"&lt;="&amp;($C265-1),Статистика!$C$7:$C$1006,IF($D265="","&lt;&gt;§",$D265),Статистика!$D$7:$D$1006,IF($E265="","&lt;&gt;§",$E265)))</f>
        <v/>
      </c>
      <c r="V265" s="52" t="str">
        <f aca="false">IF($C265="","",SUMIFS(Статистика!$E$7:$E$1006,Статистика!$B$7:$B$1006,"&gt;="&amp;($C265+1),Статистика!$B$7:$B$1006,"&lt;="&amp;($C265+$D$5),Статистика!$C$7:$C$1006,IF($D265="","&lt;&gt;§",$D265),Статистика!$D$7:$D$1006,IF($E265="","&lt;&gt;§",$E265)))</f>
        <v/>
      </c>
      <c r="W265" s="52" t="str">
        <f aca="false">IF($C265="","",SUMIFS(Статистика!$H$7:$H$1006,Статистика!$B$7:$B$1006,"&gt;="&amp;($C265+1),Статистика!$B$7:$B$1006,"&lt;="&amp;($C265+$D$5),Статистика!$C$7:$C$1006,IF($D265="","&lt;&gt;§",$D265),Статистика!$D$7:$D$1006,IF($E265="","&lt;&gt;§",$E265)))</f>
        <v/>
      </c>
      <c r="X265" s="52" t="str">
        <f aca="false">IF($C265="","",SUMIFS(Статистика!$T$7:$T$1006,Статистика!$B$7:$B$1006,"&gt;="&amp;($C265+1),Статистика!$B$7:$B$1006,"&lt;="&amp;($C265+$D$5),Статистика!$C$7:$C$1006,IF($D265="","&lt;&gt;§",$D265),Статистика!$D$7:$D$1006,IF($E265="","&lt;&gt;§",$E265)))</f>
        <v/>
      </c>
      <c r="Y265" s="1"/>
      <c r="Z265" s="1"/>
      <c r="AA265" s="1"/>
      <c r="AB265" s="1"/>
      <c r="AC265" s="1"/>
      <c r="AD265" s="1"/>
    </row>
    <row r="266" customFormat="false" ht="30" hidden="false" customHeight="true" outlineLevel="0" collapsed="false">
      <c r="A266" s="1"/>
      <c r="B266" s="49" t="str">
        <f aca="false">IF($C266="","",ROW()-8)</f>
        <v/>
      </c>
      <c r="C266" s="35"/>
      <c r="D266" s="8"/>
      <c r="E266" s="26"/>
      <c r="F266" s="26"/>
      <c r="G266" s="50"/>
      <c r="H266" s="50"/>
      <c r="I266" s="30" t="str">
        <f aca="false">IF($C266="","",IFERROR(S266/T266,"—"))</f>
        <v/>
      </c>
      <c r="J266" s="30" t="str">
        <f aca="false">IF($C266="","",IFERROR(V266/W266,"—"))</f>
        <v/>
      </c>
      <c r="K266" s="41" t="str">
        <f aca="false">IF($C266="","",IFERROR(J266/I266-1,""))</f>
        <v/>
      </c>
      <c r="L266" s="41" t="str">
        <f aca="false">IF($C266="","",IFERROR((U266-S266)/S266,"—"))</f>
        <v/>
      </c>
      <c r="M266" s="41" t="str">
        <f aca="false">IF($C266="","",IFERROR((X266-V266)/V266,"—"))</f>
        <v/>
      </c>
      <c r="N266" s="39" t="str">
        <f aca="false">IF($C266="","",T266/$D$5)</f>
        <v/>
      </c>
      <c r="O266" s="39" t="str">
        <f aca="false">IF($C266="","",W266/$D$5)</f>
        <v/>
      </c>
      <c r="P266" s="51" t="str">
        <f aca="false">IF($C266="","",IF(MAX(Статистика!$B$7:$B$1006)&lt;$C266+$D$5,"Чекаємо даних",IF(S266=0,"Новий (без бази)",IF(OR(T266=0,W266=0),"Мало даних",IF(K266&lt;=-$F$5,"Покращило",IF(K266&gt;=$F$5,"Погіршило","Без змін"))))))</f>
        <v/>
      </c>
      <c r="Q266" s="50"/>
      <c r="R266" s="1"/>
      <c r="S266" s="52" t="str">
        <f aca="false">IF($C266="","",SUMIFS(Статистика!$E$7:$E$1006,Статистика!$B$7:$B$1006,"&gt;="&amp;($C266-$D$5),Статистика!$B$7:$B$1006,"&lt;="&amp;($C266-1),Статистика!$C$7:$C$1006,IF($D266="","&lt;&gt;§",$D266),Статистика!$D$7:$D$1006,IF($E266="","&lt;&gt;§",$E266)))</f>
        <v/>
      </c>
      <c r="T266" s="52" t="str">
        <f aca="false">IF($C266="","",SUMIFS(Статистика!$H$7:$H$1006,Статистика!$B$7:$B$1006,"&gt;="&amp;($C266-$D$5),Статистика!$B$7:$B$1006,"&lt;="&amp;($C266-1),Статистика!$C$7:$C$1006,IF($D266="","&lt;&gt;§",$D266),Статистика!$D$7:$D$1006,IF($E266="","&lt;&gt;§",$E266)))</f>
        <v/>
      </c>
      <c r="U266" s="52" t="str">
        <f aca="false">IF($C266="","",SUMIFS(Статистика!$T$7:$T$1006,Статистика!$B$7:$B$1006,"&gt;="&amp;($C266-$D$5),Статистика!$B$7:$B$1006,"&lt;="&amp;($C266-1),Статистика!$C$7:$C$1006,IF($D266="","&lt;&gt;§",$D266),Статистика!$D$7:$D$1006,IF($E266="","&lt;&gt;§",$E266)))</f>
        <v/>
      </c>
      <c r="V266" s="52" t="str">
        <f aca="false">IF($C266="","",SUMIFS(Статистика!$E$7:$E$1006,Статистика!$B$7:$B$1006,"&gt;="&amp;($C266+1),Статистика!$B$7:$B$1006,"&lt;="&amp;($C266+$D$5),Статистика!$C$7:$C$1006,IF($D266="","&lt;&gt;§",$D266),Статистика!$D$7:$D$1006,IF($E266="","&lt;&gt;§",$E266)))</f>
        <v/>
      </c>
      <c r="W266" s="52" t="str">
        <f aca="false">IF($C266="","",SUMIFS(Статистика!$H$7:$H$1006,Статистика!$B$7:$B$1006,"&gt;="&amp;($C266+1),Статистика!$B$7:$B$1006,"&lt;="&amp;($C266+$D$5),Статистика!$C$7:$C$1006,IF($D266="","&lt;&gt;§",$D266),Статистика!$D$7:$D$1006,IF($E266="","&lt;&gt;§",$E266)))</f>
        <v/>
      </c>
      <c r="X266" s="52" t="str">
        <f aca="false">IF($C266="","",SUMIFS(Статистика!$T$7:$T$1006,Статистика!$B$7:$B$1006,"&gt;="&amp;($C266+1),Статистика!$B$7:$B$1006,"&lt;="&amp;($C266+$D$5),Статистика!$C$7:$C$1006,IF($D266="","&lt;&gt;§",$D266),Статистика!$D$7:$D$1006,IF($E266="","&lt;&gt;§",$E266)))</f>
        <v/>
      </c>
      <c r="Y266" s="1"/>
      <c r="Z266" s="1"/>
      <c r="AA266" s="1"/>
      <c r="AB266" s="1"/>
      <c r="AC266" s="1"/>
      <c r="AD266" s="1"/>
    </row>
    <row r="267" customFormat="false" ht="30" hidden="false" customHeight="true" outlineLevel="0" collapsed="false">
      <c r="A267" s="1"/>
      <c r="B267" s="49" t="str">
        <f aca="false">IF($C267="","",ROW()-8)</f>
        <v/>
      </c>
      <c r="C267" s="35"/>
      <c r="D267" s="8"/>
      <c r="E267" s="26"/>
      <c r="F267" s="26"/>
      <c r="G267" s="50"/>
      <c r="H267" s="50"/>
      <c r="I267" s="30" t="str">
        <f aca="false">IF($C267="","",IFERROR(S267/T267,"—"))</f>
        <v/>
      </c>
      <c r="J267" s="30" t="str">
        <f aca="false">IF($C267="","",IFERROR(V267/W267,"—"))</f>
        <v/>
      </c>
      <c r="K267" s="41" t="str">
        <f aca="false">IF($C267="","",IFERROR(J267/I267-1,""))</f>
        <v/>
      </c>
      <c r="L267" s="41" t="str">
        <f aca="false">IF($C267="","",IFERROR((U267-S267)/S267,"—"))</f>
        <v/>
      </c>
      <c r="M267" s="41" t="str">
        <f aca="false">IF($C267="","",IFERROR((X267-V267)/V267,"—"))</f>
        <v/>
      </c>
      <c r="N267" s="39" t="str">
        <f aca="false">IF($C267="","",T267/$D$5)</f>
        <v/>
      </c>
      <c r="O267" s="39" t="str">
        <f aca="false">IF($C267="","",W267/$D$5)</f>
        <v/>
      </c>
      <c r="P267" s="51" t="str">
        <f aca="false">IF($C267="","",IF(MAX(Статистика!$B$7:$B$1006)&lt;$C267+$D$5,"Чекаємо даних",IF(S267=0,"Новий (без бази)",IF(OR(T267=0,W267=0),"Мало даних",IF(K267&lt;=-$F$5,"Покращило",IF(K267&gt;=$F$5,"Погіршило","Без змін"))))))</f>
        <v/>
      </c>
      <c r="Q267" s="50"/>
      <c r="R267" s="1"/>
      <c r="S267" s="52" t="str">
        <f aca="false">IF($C267="","",SUMIFS(Статистика!$E$7:$E$1006,Статистика!$B$7:$B$1006,"&gt;="&amp;($C267-$D$5),Статистика!$B$7:$B$1006,"&lt;="&amp;($C267-1),Статистика!$C$7:$C$1006,IF($D267="","&lt;&gt;§",$D267),Статистика!$D$7:$D$1006,IF($E267="","&lt;&gt;§",$E267)))</f>
        <v/>
      </c>
      <c r="T267" s="52" t="str">
        <f aca="false">IF($C267="","",SUMIFS(Статистика!$H$7:$H$1006,Статистика!$B$7:$B$1006,"&gt;="&amp;($C267-$D$5),Статистика!$B$7:$B$1006,"&lt;="&amp;($C267-1),Статистика!$C$7:$C$1006,IF($D267="","&lt;&gt;§",$D267),Статистика!$D$7:$D$1006,IF($E267="","&lt;&gt;§",$E267)))</f>
        <v/>
      </c>
      <c r="U267" s="52" t="str">
        <f aca="false">IF($C267="","",SUMIFS(Статистика!$T$7:$T$1006,Статистика!$B$7:$B$1006,"&gt;="&amp;($C267-$D$5),Статистика!$B$7:$B$1006,"&lt;="&amp;($C267-1),Статистика!$C$7:$C$1006,IF($D267="","&lt;&gt;§",$D267),Статистика!$D$7:$D$1006,IF($E267="","&lt;&gt;§",$E267)))</f>
        <v/>
      </c>
      <c r="V267" s="52" t="str">
        <f aca="false">IF($C267="","",SUMIFS(Статистика!$E$7:$E$1006,Статистика!$B$7:$B$1006,"&gt;="&amp;($C267+1),Статистика!$B$7:$B$1006,"&lt;="&amp;($C267+$D$5),Статистика!$C$7:$C$1006,IF($D267="","&lt;&gt;§",$D267),Статистика!$D$7:$D$1006,IF($E267="","&lt;&gt;§",$E267)))</f>
        <v/>
      </c>
      <c r="W267" s="52" t="str">
        <f aca="false">IF($C267="","",SUMIFS(Статистика!$H$7:$H$1006,Статистика!$B$7:$B$1006,"&gt;="&amp;($C267+1),Статистика!$B$7:$B$1006,"&lt;="&amp;($C267+$D$5),Статистика!$C$7:$C$1006,IF($D267="","&lt;&gt;§",$D267),Статистика!$D$7:$D$1006,IF($E267="","&lt;&gt;§",$E267)))</f>
        <v/>
      </c>
      <c r="X267" s="52" t="str">
        <f aca="false">IF($C267="","",SUMIFS(Статистика!$T$7:$T$1006,Статистика!$B$7:$B$1006,"&gt;="&amp;($C267+1),Статистика!$B$7:$B$1006,"&lt;="&amp;($C267+$D$5),Статистика!$C$7:$C$1006,IF($D267="","&lt;&gt;§",$D267),Статистика!$D$7:$D$1006,IF($E267="","&lt;&gt;§",$E267)))</f>
        <v/>
      </c>
      <c r="Y267" s="1"/>
      <c r="Z267" s="1"/>
      <c r="AA267" s="1"/>
      <c r="AB267" s="1"/>
      <c r="AC267" s="1"/>
      <c r="AD267" s="1"/>
    </row>
    <row r="268" customFormat="false" ht="30" hidden="false" customHeight="true" outlineLevel="0" collapsed="false">
      <c r="A268" s="1"/>
      <c r="B268" s="49" t="str">
        <f aca="false">IF($C268="","",ROW()-8)</f>
        <v/>
      </c>
      <c r="C268" s="35"/>
      <c r="D268" s="8"/>
      <c r="E268" s="26"/>
      <c r="F268" s="26"/>
      <c r="G268" s="50"/>
      <c r="H268" s="50"/>
      <c r="I268" s="30" t="str">
        <f aca="false">IF($C268="","",IFERROR(S268/T268,"—"))</f>
        <v/>
      </c>
      <c r="J268" s="30" t="str">
        <f aca="false">IF($C268="","",IFERROR(V268/W268,"—"))</f>
        <v/>
      </c>
      <c r="K268" s="41" t="str">
        <f aca="false">IF($C268="","",IFERROR(J268/I268-1,""))</f>
        <v/>
      </c>
      <c r="L268" s="41" t="str">
        <f aca="false">IF($C268="","",IFERROR((U268-S268)/S268,"—"))</f>
        <v/>
      </c>
      <c r="M268" s="41" t="str">
        <f aca="false">IF($C268="","",IFERROR((X268-V268)/V268,"—"))</f>
        <v/>
      </c>
      <c r="N268" s="39" t="str">
        <f aca="false">IF($C268="","",T268/$D$5)</f>
        <v/>
      </c>
      <c r="O268" s="39" t="str">
        <f aca="false">IF($C268="","",W268/$D$5)</f>
        <v/>
      </c>
      <c r="P268" s="51" t="str">
        <f aca="false">IF($C268="","",IF(MAX(Статистика!$B$7:$B$1006)&lt;$C268+$D$5,"Чекаємо даних",IF(S268=0,"Новий (без бази)",IF(OR(T268=0,W268=0),"Мало даних",IF(K268&lt;=-$F$5,"Покращило",IF(K268&gt;=$F$5,"Погіршило","Без змін"))))))</f>
        <v/>
      </c>
      <c r="Q268" s="50"/>
      <c r="R268" s="1"/>
      <c r="S268" s="52" t="str">
        <f aca="false">IF($C268="","",SUMIFS(Статистика!$E$7:$E$1006,Статистика!$B$7:$B$1006,"&gt;="&amp;($C268-$D$5),Статистика!$B$7:$B$1006,"&lt;="&amp;($C268-1),Статистика!$C$7:$C$1006,IF($D268="","&lt;&gt;§",$D268),Статистика!$D$7:$D$1006,IF($E268="","&lt;&gt;§",$E268)))</f>
        <v/>
      </c>
      <c r="T268" s="52" t="str">
        <f aca="false">IF($C268="","",SUMIFS(Статистика!$H$7:$H$1006,Статистика!$B$7:$B$1006,"&gt;="&amp;($C268-$D$5),Статистика!$B$7:$B$1006,"&lt;="&amp;($C268-1),Статистика!$C$7:$C$1006,IF($D268="","&lt;&gt;§",$D268),Статистика!$D$7:$D$1006,IF($E268="","&lt;&gt;§",$E268)))</f>
        <v/>
      </c>
      <c r="U268" s="52" t="str">
        <f aca="false">IF($C268="","",SUMIFS(Статистика!$T$7:$T$1006,Статистика!$B$7:$B$1006,"&gt;="&amp;($C268-$D$5),Статистика!$B$7:$B$1006,"&lt;="&amp;($C268-1),Статистика!$C$7:$C$1006,IF($D268="","&lt;&gt;§",$D268),Статистика!$D$7:$D$1006,IF($E268="","&lt;&gt;§",$E268)))</f>
        <v/>
      </c>
      <c r="V268" s="52" t="str">
        <f aca="false">IF($C268="","",SUMIFS(Статистика!$E$7:$E$1006,Статистика!$B$7:$B$1006,"&gt;="&amp;($C268+1),Статистика!$B$7:$B$1006,"&lt;="&amp;($C268+$D$5),Статистика!$C$7:$C$1006,IF($D268="","&lt;&gt;§",$D268),Статистика!$D$7:$D$1006,IF($E268="","&lt;&gt;§",$E268)))</f>
        <v/>
      </c>
      <c r="W268" s="52" t="str">
        <f aca="false">IF($C268="","",SUMIFS(Статистика!$H$7:$H$1006,Статистика!$B$7:$B$1006,"&gt;="&amp;($C268+1),Статистика!$B$7:$B$1006,"&lt;="&amp;($C268+$D$5),Статистика!$C$7:$C$1006,IF($D268="","&lt;&gt;§",$D268),Статистика!$D$7:$D$1006,IF($E268="","&lt;&gt;§",$E268)))</f>
        <v/>
      </c>
      <c r="X268" s="52" t="str">
        <f aca="false">IF($C268="","",SUMIFS(Статистика!$T$7:$T$1006,Статистика!$B$7:$B$1006,"&gt;="&amp;($C268+1),Статистика!$B$7:$B$1006,"&lt;="&amp;($C268+$D$5),Статистика!$C$7:$C$1006,IF($D268="","&lt;&gt;§",$D268),Статистика!$D$7:$D$1006,IF($E268="","&lt;&gt;§",$E268)))</f>
        <v/>
      </c>
      <c r="Y268" s="1"/>
      <c r="Z268" s="1"/>
      <c r="AA268" s="1"/>
      <c r="AB268" s="1"/>
      <c r="AC268" s="1"/>
      <c r="AD268" s="1"/>
    </row>
    <row r="269" customFormat="false" ht="30" hidden="false" customHeight="true" outlineLevel="0" collapsed="false">
      <c r="A269" s="1"/>
      <c r="B269" s="49" t="str">
        <f aca="false">IF($C269="","",ROW()-8)</f>
        <v/>
      </c>
      <c r="C269" s="35"/>
      <c r="D269" s="8"/>
      <c r="E269" s="26"/>
      <c r="F269" s="26"/>
      <c r="G269" s="50"/>
      <c r="H269" s="50"/>
      <c r="I269" s="30" t="str">
        <f aca="false">IF($C269="","",IFERROR(S269/T269,"—"))</f>
        <v/>
      </c>
      <c r="J269" s="30" t="str">
        <f aca="false">IF($C269="","",IFERROR(V269/W269,"—"))</f>
        <v/>
      </c>
      <c r="K269" s="41" t="str">
        <f aca="false">IF($C269="","",IFERROR(J269/I269-1,""))</f>
        <v/>
      </c>
      <c r="L269" s="41" t="str">
        <f aca="false">IF($C269="","",IFERROR((U269-S269)/S269,"—"))</f>
        <v/>
      </c>
      <c r="M269" s="41" t="str">
        <f aca="false">IF($C269="","",IFERROR((X269-V269)/V269,"—"))</f>
        <v/>
      </c>
      <c r="N269" s="39" t="str">
        <f aca="false">IF($C269="","",T269/$D$5)</f>
        <v/>
      </c>
      <c r="O269" s="39" t="str">
        <f aca="false">IF($C269="","",W269/$D$5)</f>
        <v/>
      </c>
      <c r="P269" s="51" t="str">
        <f aca="false">IF($C269="","",IF(MAX(Статистика!$B$7:$B$1006)&lt;$C269+$D$5,"Чекаємо даних",IF(S269=0,"Новий (без бази)",IF(OR(T269=0,W269=0),"Мало даних",IF(K269&lt;=-$F$5,"Покращило",IF(K269&gt;=$F$5,"Погіршило","Без змін"))))))</f>
        <v/>
      </c>
      <c r="Q269" s="50"/>
      <c r="R269" s="1"/>
      <c r="S269" s="52" t="str">
        <f aca="false">IF($C269="","",SUMIFS(Статистика!$E$7:$E$1006,Статистика!$B$7:$B$1006,"&gt;="&amp;($C269-$D$5),Статистика!$B$7:$B$1006,"&lt;="&amp;($C269-1),Статистика!$C$7:$C$1006,IF($D269="","&lt;&gt;§",$D269),Статистика!$D$7:$D$1006,IF($E269="","&lt;&gt;§",$E269)))</f>
        <v/>
      </c>
      <c r="T269" s="52" t="str">
        <f aca="false">IF($C269="","",SUMIFS(Статистика!$H$7:$H$1006,Статистика!$B$7:$B$1006,"&gt;="&amp;($C269-$D$5),Статистика!$B$7:$B$1006,"&lt;="&amp;($C269-1),Статистика!$C$7:$C$1006,IF($D269="","&lt;&gt;§",$D269),Статистика!$D$7:$D$1006,IF($E269="","&lt;&gt;§",$E269)))</f>
        <v/>
      </c>
      <c r="U269" s="52" t="str">
        <f aca="false">IF($C269="","",SUMIFS(Статистика!$T$7:$T$1006,Статистика!$B$7:$B$1006,"&gt;="&amp;($C269-$D$5),Статистика!$B$7:$B$1006,"&lt;="&amp;($C269-1),Статистика!$C$7:$C$1006,IF($D269="","&lt;&gt;§",$D269),Статистика!$D$7:$D$1006,IF($E269="","&lt;&gt;§",$E269)))</f>
        <v/>
      </c>
      <c r="V269" s="52" t="str">
        <f aca="false">IF($C269="","",SUMIFS(Статистика!$E$7:$E$1006,Статистика!$B$7:$B$1006,"&gt;="&amp;($C269+1),Статистика!$B$7:$B$1006,"&lt;="&amp;($C269+$D$5),Статистика!$C$7:$C$1006,IF($D269="","&lt;&gt;§",$D269),Статистика!$D$7:$D$1006,IF($E269="","&lt;&gt;§",$E269)))</f>
        <v/>
      </c>
      <c r="W269" s="52" t="str">
        <f aca="false">IF($C269="","",SUMIFS(Статистика!$H$7:$H$1006,Статистика!$B$7:$B$1006,"&gt;="&amp;($C269+1),Статистика!$B$7:$B$1006,"&lt;="&amp;($C269+$D$5),Статистика!$C$7:$C$1006,IF($D269="","&lt;&gt;§",$D269),Статистика!$D$7:$D$1006,IF($E269="","&lt;&gt;§",$E269)))</f>
        <v/>
      </c>
      <c r="X269" s="52" t="str">
        <f aca="false">IF($C269="","",SUMIFS(Статистика!$T$7:$T$1006,Статистика!$B$7:$B$1006,"&gt;="&amp;($C269+1),Статистика!$B$7:$B$1006,"&lt;="&amp;($C269+$D$5),Статистика!$C$7:$C$1006,IF($D269="","&lt;&gt;§",$D269),Статистика!$D$7:$D$1006,IF($E269="","&lt;&gt;§",$E269)))</f>
        <v/>
      </c>
      <c r="Y269" s="1"/>
      <c r="Z269" s="1"/>
      <c r="AA269" s="1"/>
      <c r="AB269" s="1"/>
      <c r="AC269" s="1"/>
      <c r="AD269" s="1"/>
    </row>
    <row r="270" customFormat="false" ht="30" hidden="false" customHeight="true" outlineLevel="0" collapsed="false">
      <c r="A270" s="1"/>
      <c r="B270" s="49" t="str">
        <f aca="false">IF($C270="","",ROW()-8)</f>
        <v/>
      </c>
      <c r="C270" s="35"/>
      <c r="D270" s="8"/>
      <c r="E270" s="26"/>
      <c r="F270" s="26"/>
      <c r="G270" s="50"/>
      <c r="H270" s="50"/>
      <c r="I270" s="30" t="str">
        <f aca="false">IF($C270="","",IFERROR(S270/T270,"—"))</f>
        <v/>
      </c>
      <c r="J270" s="30" t="str">
        <f aca="false">IF($C270="","",IFERROR(V270/W270,"—"))</f>
        <v/>
      </c>
      <c r="K270" s="41" t="str">
        <f aca="false">IF($C270="","",IFERROR(J270/I270-1,""))</f>
        <v/>
      </c>
      <c r="L270" s="41" t="str">
        <f aca="false">IF($C270="","",IFERROR((U270-S270)/S270,"—"))</f>
        <v/>
      </c>
      <c r="M270" s="41" t="str">
        <f aca="false">IF($C270="","",IFERROR((X270-V270)/V270,"—"))</f>
        <v/>
      </c>
      <c r="N270" s="39" t="str">
        <f aca="false">IF($C270="","",T270/$D$5)</f>
        <v/>
      </c>
      <c r="O270" s="39" t="str">
        <f aca="false">IF($C270="","",W270/$D$5)</f>
        <v/>
      </c>
      <c r="P270" s="51" t="str">
        <f aca="false">IF($C270="","",IF(MAX(Статистика!$B$7:$B$1006)&lt;$C270+$D$5,"Чекаємо даних",IF(S270=0,"Новий (без бази)",IF(OR(T270=0,W270=0),"Мало даних",IF(K270&lt;=-$F$5,"Покращило",IF(K270&gt;=$F$5,"Погіршило","Без змін"))))))</f>
        <v/>
      </c>
      <c r="Q270" s="50"/>
      <c r="R270" s="1"/>
      <c r="S270" s="52" t="str">
        <f aca="false">IF($C270="","",SUMIFS(Статистика!$E$7:$E$1006,Статистика!$B$7:$B$1006,"&gt;="&amp;($C270-$D$5),Статистика!$B$7:$B$1006,"&lt;="&amp;($C270-1),Статистика!$C$7:$C$1006,IF($D270="","&lt;&gt;§",$D270),Статистика!$D$7:$D$1006,IF($E270="","&lt;&gt;§",$E270)))</f>
        <v/>
      </c>
      <c r="T270" s="52" t="str">
        <f aca="false">IF($C270="","",SUMIFS(Статистика!$H$7:$H$1006,Статистика!$B$7:$B$1006,"&gt;="&amp;($C270-$D$5),Статистика!$B$7:$B$1006,"&lt;="&amp;($C270-1),Статистика!$C$7:$C$1006,IF($D270="","&lt;&gt;§",$D270),Статистика!$D$7:$D$1006,IF($E270="","&lt;&gt;§",$E270)))</f>
        <v/>
      </c>
      <c r="U270" s="52" t="str">
        <f aca="false">IF($C270="","",SUMIFS(Статистика!$T$7:$T$1006,Статистика!$B$7:$B$1006,"&gt;="&amp;($C270-$D$5),Статистика!$B$7:$B$1006,"&lt;="&amp;($C270-1),Статистика!$C$7:$C$1006,IF($D270="","&lt;&gt;§",$D270),Статистика!$D$7:$D$1006,IF($E270="","&lt;&gt;§",$E270)))</f>
        <v/>
      </c>
      <c r="V270" s="52" t="str">
        <f aca="false">IF($C270="","",SUMIFS(Статистика!$E$7:$E$1006,Статистика!$B$7:$B$1006,"&gt;="&amp;($C270+1),Статистика!$B$7:$B$1006,"&lt;="&amp;($C270+$D$5),Статистика!$C$7:$C$1006,IF($D270="","&lt;&gt;§",$D270),Статистика!$D$7:$D$1006,IF($E270="","&lt;&gt;§",$E270)))</f>
        <v/>
      </c>
      <c r="W270" s="52" t="str">
        <f aca="false">IF($C270="","",SUMIFS(Статистика!$H$7:$H$1006,Статистика!$B$7:$B$1006,"&gt;="&amp;($C270+1),Статистика!$B$7:$B$1006,"&lt;="&amp;($C270+$D$5),Статистика!$C$7:$C$1006,IF($D270="","&lt;&gt;§",$D270),Статистика!$D$7:$D$1006,IF($E270="","&lt;&gt;§",$E270)))</f>
        <v/>
      </c>
      <c r="X270" s="52" t="str">
        <f aca="false">IF($C270="","",SUMIFS(Статистика!$T$7:$T$1006,Статистика!$B$7:$B$1006,"&gt;="&amp;($C270+1),Статистика!$B$7:$B$1006,"&lt;="&amp;($C270+$D$5),Статистика!$C$7:$C$1006,IF($D270="","&lt;&gt;§",$D270),Статистика!$D$7:$D$1006,IF($E270="","&lt;&gt;§",$E270)))</f>
        <v/>
      </c>
      <c r="Y270" s="1"/>
      <c r="Z270" s="1"/>
      <c r="AA270" s="1"/>
      <c r="AB270" s="1"/>
      <c r="AC270" s="1"/>
      <c r="AD270" s="1"/>
    </row>
    <row r="271" customFormat="false" ht="30" hidden="false" customHeight="true" outlineLevel="0" collapsed="false">
      <c r="A271" s="1"/>
      <c r="B271" s="49" t="str">
        <f aca="false">IF($C271="","",ROW()-8)</f>
        <v/>
      </c>
      <c r="C271" s="35"/>
      <c r="D271" s="8"/>
      <c r="E271" s="26"/>
      <c r="F271" s="26"/>
      <c r="G271" s="50"/>
      <c r="H271" s="50"/>
      <c r="I271" s="30" t="str">
        <f aca="false">IF($C271="","",IFERROR(S271/T271,"—"))</f>
        <v/>
      </c>
      <c r="J271" s="30" t="str">
        <f aca="false">IF($C271="","",IFERROR(V271/W271,"—"))</f>
        <v/>
      </c>
      <c r="K271" s="41" t="str">
        <f aca="false">IF($C271="","",IFERROR(J271/I271-1,""))</f>
        <v/>
      </c>
      <c r="L271" s="41" t="str">
        <f aca="false">IF($C271="","",IFERROR((U271-S271)/S271,"—"))</f>
        <v/>
      </c>
      <c r="M271" s="41" t="str">
        <f aca="false">IF($C271="","",IFERROR((X271-V271)/V271,"—"))</f>
        <v/>
      </c>
      <c r="N271" s="39" t="str">
        <f aca="false">IF($C271="","",T271/$D$5)</f>
        <v/>
      </c>
      <c r="O271" s="39" t="str">
        <f aca="false">IF($C271="","",W271/$D$5)</f>
        <v/>
      </c>
      <c r="P271" s="51" t="str">
        <f aca="false">IF($C271="","",IF(MAX(Статистика!$B$7:$B$1006)&lt;$C271+$D$5,"Чекаємо даних",IF(S271=0,"Новий (без бази)",IF(OR(T271=0,W271=0),"Мало даних",IF(K271&lt;=-$F$5,"Покращило",IF(K271&gt;=$F$5,"Погіршило","Без змін"))))))</f>
        <v/>
      </c>
      <c r="Q271" s="50"/>
      <c r="R271" s="1"/>
      <c r="S271" s="52" t="str">
        <f aca="false">IF($C271="","",SUMIFS(Статистика!$E$7:$E$1006,Статистика!$B$7:$B$1006,"&gt;="&amp;($C271-$D$5),Статистика!$B$7:$B$1006,"&lt;="&amp;($C271-1),Статистика!$C$7:$C$1006,IF($D271="","&lt;&gt;§",$D271),Статистика!$D$7:$D$1006,IF($E271="","&lt;&gt;§",$E271)))</f>
        <v/>
      </c>
      <c r="T271" s="52" t="str">
        <f aca="false">IF($C271="","",SUMIFS(Статистика!$H$7:$H$1006,Статистика!$B$7:$B$1006,"&gt;="&amp;($C271-$D$5),Статистика!$B$7:$B$1006,"&lt;="&amp;($C271-1),Статистика!$C$7:$C$1006,IF($D271="","&lt;&gt;§",$D271),Статистика!$D$7:$D$1006,IF($E271="","&lt;&gt;§",$E271)))</f>
        <v/>
      </c>
      <c r="U271" s="52" t="str">
        <f aca="false">IF($C271="","",SUMIFS(Статистика!$T$7:$T$1006,Статистика!$B$7:$B$1006,"&gt;="&amp;($C271-$D$5),Статистика!$B$7:$B$1006,"&lt;="&amp;($C271-1),Статистика!$C$7:$C$1006,IF($D271="","&lt;&gt;§",$D271),Статистика!$D$7:$D$1006,IF($E271="","&lt;&gt;§",$E271)))</f>
        <v/>
      </c>
      <c r="V271" s="52" t="str">
        <f aca="false">IF($C271="","",SUMIFS(Статистика!$E$7:$E$1006,Статистика!$B$7:$B$1006,"&gt;="&amp;($C271+1),Статистика!$B$7:$B$1006,"&lt;="&amp;($C271+$D$5),Статистика!$C$7:$C$1006,IF($D271="","&lt;&gt;§",$D271),Статистика!$D$7:$D$1006,IF($E271="","&lt;&gt;§",$E271)))</f>
        <v/>
      </c>
      <c r="W271" s="52" t="str">
        <f aca="false">IF($C271="","",SUMIFS(Статистика!$H$7:$H$1006,Статистика!$B$7:$B$1006,"&gt;="&amp;($C271+1),Статистика!$B$7:$B$1006,"&lt;="&amp;($C271+$D$5),Статистика!$C$7:$C$1006,IF($D271="","&lt;&gt;§",$D271),Статистика!$D$7:$D$1006,IF($E271="","&lt;&gt;§",$E271)))</f>
        <v/>
      </c>
      <c r="X271" s="52" t="str">
        <f aca="false">IF($C271="","",SUMIFS(Статистика!$T$7:$T$1006,Статистика!$B$7:$B$1006,"&gt;="&amp;($C271+1),Статистика!$B$7:$B$1006,"&lt;="&amp;($C271+$D$5),Статистика!$C$7:$C$1006,IF($D271="","&lt;&gt;§",$D271),Статистика!$D$7:$D$1006,IF($E271="","&lt;&gt;§",$E271)))</f>
        <v/>
      </c>
      <c r="Y271" s="1"/>
      <c r="Z271" s="1"/>
      <c r="AA271" s="1"/>
      <c r="AB271" s="1"/>
      <c r="AC271" s="1"/>
      <c r="AD271" s="1"/>
    </row>
    <row r="272" customFormat="false" ht="30" hidden="false" customHeight="true" outlineLevel="0" collapsed="false">
      <c r="A272" s="1"/>
      <c r="B272" s="49" t="str">
        <f aca="false">IF($C272="","",ROW()-8)</f>
        <v/>
      </c>
      <c r="C272" s="35"/>
      <c r="D272" s="8"/>
      <c r="E272" s="26"/>
      <c r="F272" s="26"/>
      <c r="G272" s="50"/>
      <c r="H272" s="50"/>
      <c r="I272" s="30" t="str">
        <f aca="false">IF($C272="","",IFERROR(S272/T272,"—"))</f>
        <v/>
      </c>
      <c r="J272" s="30" t="str">
        <f aca="false">IF($C272="","",IFERROR(V272/W272,"—"))</f>
        <v/>
      </c>
      <c r="K272" s="41" t="str">
        <f aca="false">IF($C272="","",IFERROR(J272/I272-1,""))</f>
        <v/>
      </c>
      <c r="L272" s="41" t="str">
        <f aca="false">IF($C272="","",IFERROR((U272-S272)/S272,"—"))</f>
        <v/>
      </c>
      <c r="M272" s="41" t="str">
        <f aca="false">IF($C272="","",IFERROR((X272-V272)/V272,"—"))</f>
        <v/>
      </c>
      <c r="N272" s="39" t="str">
        <f aca="false">IF($C272="","",T272/$D$5)</f>
        <v/>
      </c>
      <c r="O272" s="39" t="str">
        <f aca="false">IF($C272="","",W272/$D$5)</f>
        <v/>
      </c>
      <c r="P272" s="51" t="str">
        <f aca="false">IF($C272="","",IF(MAX(Статистика!$B$7:$B$1006)&lt;$C272+$D$5,"Чекаємо даних",IF(S272=0,"Новий (без бази)",IF(OR(T272=0,W272=0),"Мало даних",IF(K272&lt;=-$F$5,"Покращило",IF(K272&gt;=$F$5,"Погіршило","Без змін"))))))</f>
        <v/>
      </c>
      <c r="Q272" s="50"/>
      <c r="R272" s="1"/>
      <c r="S272" s="52" t="str">
        <f aca="false">IF($C272="","",SUMIFS(Статистика!$E$7:$E$1006,Статистика!$B$7:$B$1006,"&gt;="&amp;($C272-$D$5),Статистика!$B$7:$B$1006,"&lt;="&amp;($C272-1),Статистика!$C$7:$C$1006,IF($D272="","&lt;&gt;§",$D272),Статистика!$D$7:$D$1006,IF($E272="","&lt;&gt;§",$E272)))</f>
        <v/>
      </c>
      <c r="T272" s="52" t="str">
        <f aca="false">IF($C272="","",SUMIFS(Статистика!$H$7:$H$1006,Статистика!$B$7:$B$1006,"&gt;="&amp;($C272-$D$5),Статистика!$B$7:$B$1006,"&lt;="&amp;($C272-1),Статистика!$C$7:$C$1006,IF($D272="","&lt;&gt;§",$D272),Статистика!$D$7:$D$1006,IF($E272="","&lt;&gt;§",$E272)))</f>
        <v/>
      </c>
      <c r="U272" s="52" t="str">
        <f aca="false">IF($C272="","",SUMIFS(Статистика!$T$7:$T$1006,Статистика!$B$7:$B$1006,"&gt;="&amp;($C272-$D$5),Статистика!$B$7:$B$1006,"&lt;="&amp;($C272-1),Статистика!$C$7:$C$1006,IF($D272="","&lt;&gt;§",$D272),Статистика!$D$7:$D$1006,IF($E272="","&lt;&gt;§",$E272)))</f>
        <v/>
      </c>
      <c r="V272" s="52" t="str">
        <f aca="false">IF($C272="","",SUMIFS(Статистика!$E$7:$E$1006,Статистика!$B$7:$B$1006,"&gt;="&amp;($C272+1),Статистика!$B$7:$B$1006,"&lt;="&amp;($C272+$D$5),Статистика!$C$7:$C$1006,IF($D272="","&lt;&gt;§",$D272),Статистика!$D$7:$D$1006,IF($E272="","&lt;&gt;§",$E272)))</f>
        <v/>
      </c>
      <c r="W272" s="52" t="str">
        <f aca="false">IF($C272="","",SUMIFS(Статистика!$H$7:$H$1006,Статистика!$B$7:$B$1006,"&gt;="&amp;($C272+1),Статистика!$B$7:$B$1006,"&lt;="&amp;($C272+$D$5),Статистика!$C$7:$C$1006,IF($D272="","&lt;&gt;§",$D272),Статистика!$D$7:$D$1006,IF($E272="","&lt;&gt;§",$E272)))</f>
        <v/>
      </c>
      <c r="X272" s="52" t="str">
        <f aca="false">IF($C272="","",SUMIFS(Статистика!$T$7:$T$1006,Статистика!$B$7:$B$1006,"&gt;="&amp;($C272+1),Статистика!$B$7:$B$1006,"&lt;="&amp;($C272+$D$5),Статистика!$C$7:$C$1006,IF($D272="","&lt;&gt;§",$D272),Статистика!$D$7:$D$1006,IF($E272="","&lt;&gt;§",$E272)))</f>
        <v/>
      </c>
      <c r="Y272" s="1"/>
      <c r="Z272" s="1"/>
      <c r="AA272" s="1"/>
      <c r="AB272" s="1"/>
      <c r="AC272" s="1"/>
      <c r="AD272" s="1"/>
    </row>
    <row r="273" customFormat="false" ht="30" hidden="false" customHeight="true" outlineLevel="0" collapsed="false">
      <c r="A273" s="1"/>
      <c r="B273" s="49" t="str">
        <f aca="false">IF($C273="","",ROW()-8)</f>
        <v/>
      </c>
      <c r="C273" s="35"/>
      <c r="D273" s="8"/>
      <c r="E273" s="26"/>
      <c r="F273" s="26"/>
      <c r="G273" s="50"/>
      <c r="H273" s="50"/>
      <c r="I273" s="30" t="str">
        <f aca="false">IF($C273="","",IFERROR(S273/T273,"—"))</f>
        <v/>
      </c>
      <c r="J273" s="30" t="str">
        <f aca="false">IF($C273="","",IFERROR(V273/W273,"—"))</f>
        <v/>
      </c>
      <c r="K273" s="41" t="str">
        <f aca="false">IF($C273="","",IFERROR(J273/I273-1,""))</f>
        <v/>
      </c>
      <c r="L273" s="41" t="str">
        <f aca="false">IF($C273="","",IFERROR((U273-S273)/S273,"—"))</f>
        <v/>
      </c>
      <c r="M273" s="41" t="str">
        <f aca="false">IF($C273="","",IFERROR((X273-V273)/V273,"—"))</f>
        <v/>
      </c>
      <c r="N273" s="39" t="str">
        <f aca="false">IF($C273="","",T273/$D$5)</f>
        <v/>
      </c>
      <c r="O273" s="39" t="str">
        <f aca="false">IF($C273="","",W273/$D$5)</f>
        <v/>
      </c>
      <c r="P273" s="51" t="str">
        <f aca="false">IF($C273="","",IF(MAX(Статистика!$B$7:$B$1006)&lt;$C273+$D$5,"Чекаємо даних",IF(S273=0,"Новий (без бази)",IF(OR(T273=0,W273=0),"Мало даних",IF(K273&lt;=-$F$5,"Покращило",IF(K273&gt;=$F$5,"Погіршило","Без змін"))))))</f>
        <v/>
      </c>
      <c r="Q273" s="50"/>
      <c r="R273" s="1"/>
      <c r="S273" s="52" t="str">
        <f aca="false">IF($C273="","",SUMIFS(Статистика!$E$7:$E$1006,Статистика!$B$7:$B$1006,"&gt;="&amp;($C273-$D$5),Статистика!$B$7:$B$1006,"&lt;="&amp;($C273-1),Статистика!$C$7:$C$1006,IF($D273="","&lt;&gt;§",$D273),Статистика!$D$7:$D$1006,IF($E273="","&lt;&gt;§",$E273)))</f>
        <v/>
      </c>
      <c r="T273" s="52" t="str">
        <f aca="false">IF($C273="","",SUMIFS(Статистика!$H$7:$H$1006,Статистика!$B$7:$B$1006,"&gt;="&amp;($C273-$D$5),Статистика!$B$7:$B$1006,"&lt;="&amp;($C273-1),Статистика!$C$7:$C$1006,IF($D273="","&lt;&gt;§",$D273),Статистика!$D$7:$D$1006,IF($E273="","&lt;&gt;§",$E273)))</f>
        <v/>
      </c>
      <c r="U273" s="52" t="str">
        <f aca="false">IF($C273="","",SUMIFS(Статистика!$T$7:$T$1006,Статистика!$B$7:$B$1006,"&gt;="&amp;($C273-$D$5),Статистика!$B$7:$B$1006,"&lt;="&amp;($C273-1),Статистика!$C$7:$C$1006,IF($D273="","&lt;&gt;§",$D273),Статистика!$D$7:$D$1006,IF($E273="","&lt;&gt;§",$E273)))</f>
        <v/>
      </c>
      <c r="V273" s="52" t="str">
        <f aca="false">IF($C273="","",SUMIFS(Статистика!$E$7:$E$1006,Статистика!$B$7:$B$1006,"&gt;="&amp;($C273+1),Статистика!$B$7:$B$1006,"&lt;="&amp;($C273+$D$5),Статистика!$C$7:$C$1006,IF($D273="","&lt;&gt;§",$D273),Статистика!$D$7:$D$1006,IF($E273="","&lt;&gt;§",$E273)))</f>
        <v/>
      </c>
      <c r="W273" s="52" t="str">
        <f aca="false">IF($C273="","",SUMIFS(Статистика!$H$7:$H$1006,Статистика!$B$7:$B$1006,"&gt;="&amp;($C273+1),Статистика!$B$7:$B$1006,"&lt;="&amp;($C273+$D$5),Статистика!$C$7:$C$1006,IF($D273="","&lt;&gt;§",$D273),Статистика!$D$7:$D$1006,IF($E273="","&lt;&gt;§",$E273)))</f>
        <v/>
      </c>
      <c r="X273" s="52" t="str">
        <f aca="false">IF($C273="","",SUMIFS(Статистика!$T$7:$T$1006,Статистика!$B$7:$B$1006,"&gt;="&amp;($C273+1),Статистика!$B$7:$B$1006,"&lt;="&amp;($C273+$D$5),Статистика!$C$7:$C$1006,IF($D273="","&lt;&gt;§",$D273),Статистика!$D$7:$D$1006,IF($E273="","&lt;&gt;§",$E273)))</f>
        <v/>
      </c>
      <c r="Y273" s="1"/>
      <c r="Z273" s="1"/>
      <c r="AA273" s="1"/>
      <c r="AB273" s="1"/>
      <c r="AC273" s="1"/>
      <c r="AD273" s="1"/>
    </row>
    <row r="274" customFormat="false" ht="30" hidden="false" customHeight="true" outlineLevel="0" collapsed="false">
      <c r="A274" s="1"/>
      <c r="B274" s="49" t="str">
        <f aca="false">IF($C274="","",ROW()-8)</f>
        <v/>
      </c>
      <c r="C274" s="35"/>
      <c r="D274" s="8"/>
      <c r="E274" s="26"/>
      <c r="F274" s="26"/>
      <c r="G274" s="50"/>
      <c r="H274" s="50"/>
      <c r="I274" s="30" t="str">
        <f aca="false">IF($C274="","",IFERROR(S274/T274,"—"))</f>
        <v/>
      </c>
      <c r="J274" s="30" t="str">
        <f aca="false">IF($C274="","",IFERROR(V274/W274,"—"))</f>
        <v/>
      </c>
      <c r="K274" s="41" t="str">
        <f aca="false">IF($C274="","",IFERROR(J274/I274-1,""))</f>
        <v/>
      </c>
      <c r="L274" s="41" t="str">
        <f aca="false">IF($C274="","",IFERROR((U274-S274)/S274,"—"))</f>
        <v/>
      </c>
      <c r="M274" s="41" t="str">
        <f aca="false">IF($C274="","",IFERROR((X274-V274)/V274,"—"))</f>
        <v/>
      </c>
      <c r="N274" s="39" t="str">
        <f aca="false">IF($C274="","",T274/$D$5)</f>
        <v/>
      </c>
      <c r="O274" s="39" t="str">
        <f aca="false">IF($C274="","",W274/$D$5)</f>
        <v/>
      </c>
      <c r="P274" s="51" t="str">
        <f aca="false">IF($C274="","",IF(MAX(Статистика!$B$7:$B$1006)&lt;$C274+$D$5,"Чекаємо даних",IF(S274=0,"Новий (без бази)",IF(OR(T274=0,W274=0),"Мало даних",IF(K274&lt;=-$F$5,"Покращило",IF(K274&gt;=$F$5,"Погіршило","Без змін"))))))</f>
        <v/>
      </c>
      <c r="Q274" s="50"/>
      <c r="R274" s="1"/>
      <c r="S274" s="52" t="str">
        <f aca="false">IF($C274="","",SUMIFS(Статистика!$E$7:$E$1006,Статистика!$B$7:$B$1006,"&gt;="&amp;($C274-$D$5),Статистика!$B$7:$B$1006,"&lt;="&amp;($C274-1),Статистика!$C$7:$C$1006,IF($D274="","&lt;&gt;§",$D274),Статистика!$D$7:$D$1006,IF($E274="","&lt;&gt;§",$E274)))</f>
        <v/>
      </c>
      <c r="T274" s="52" t="str">
        <f aca="false">IF($C274="","",SUMIFS(Статистика!$H$7:$H$1006,Статистика!$B$7:$B$1006,"&gt;="&amp;($C274-$D$5),Статистика!$B$7:$B$1006,"&lt;="&amp;($C274-1),Статистика!$C$7:$C$1006,IF($D274="","&lt;&gt;§",$D274),Статистика!$D$7:$D$1006,IF($E274="","&lt;&gt;§",$E274)))</f>
        <v/>
      </c>
      <c r="U274" s="52" t="str">
        <f aca="false">IF($C274="","",SUMIFS(Статистика!$T$7:$T$1006,Статистика!$B$7:$B$1006,"&gt;="&amp;($C274-$D$5),Статистика!$B$7:$B$1006,"&lt;="&amp;($C274-1),Статистика!$C$7:$C$1006,IF($D274="","&lt;&gt;§",$D274),Статистика!$D$7:$D$1006,IF($E274="","&lt;&gt;§",$E274)))</f>
        <v/>
      </c>
      <c r="V274" s="52" t="str">
        <f aca="false">IF($C274="","",SUMIFS(Статистика!$E$7:$E$1006,Статистика!$B$7:$B$1006,"&gt;="&amp;($C274+1),Статистика!$B$7:$B$1006,"&lt;="&amp;($C274+$D$5),Статистика!$C$7:$C$1006,IF($D274="","&lt;&gt;§",$D274),Статистика!$D$7:$D$1006,IF($E274="","&lt;&gt;§",$E274)))</f>
        <v/>
      </c>
      <c r="W274" s="52" t="str">
        <f aca="false">IF($C274="","",SUMIFS(Статистика!$H$7:$H$1006,Статистика!$B$7:$B$1006,"&gt;="&amp;($C274+1),Статистика!$B$7:$B$1006,"&lt;="&amp;($C274+$D$5),Статистика!$C$7:$C$1006,IF($D274="","&lt;&gt;§",$D274),Статистика!$D$7:$D$1006,IF($E274="","&lt;&gt;§",$E274)))</f>
        <v/>
      </c>
      <c r="X274" s="52" t="str">
        <f aca="false">IF($C274="","",SUMIFS(Статистика!$T$7:$T$1006,Статистика!$B$7:$B$1006,"&gt;="&amp;($C274+1),Статистика!$B$7:$B$1006,"&lt;="&amp;($C274+$D$5),Статистика!$C$7:$C$1006,IF($D274="","&lt;&gt;§",$D274),Статистика!$D$7:$D$1006,IF($E274="","&lt;&gt;§",$E274)))</f>
        <v/>
      </c>
      <c r="Y274" s="1"/>
      <c r="Z274" s="1"/>
      <c r="AA274" s="1"/>
      <c r="AB274" s="1"/>
      <c r="AC274" s="1"/>
      <c r="AD274" s="1"/>
    </row>
    <row r="275" customFormat="false" ht="30" hidden="false" customHeight="true" outlineLevel="0" collapsed="false">
      <c r="A275" s="1"/>
      <c r="B275" s="49" t="str">
        <f aca="false">IF($C275="","",ROW()-8)</f>
        <v/>
      </c>
      <c r="C275" s="35"/>
      <c r="D275" s="8"/>
      <c r="E275" s="26"/>
      <c r="F275" s="26"/>
      <c r="G275" s="50"/>
      <c r="H275" s="50"/>
      <c r="I275" s="30" t="str">
        <f aca="false">IF($C275="","",IFERROR(S275/T275,"—"))</f>
        <v/>
      </c>
      <c r="J275" s="30" t="str">
        <f aca="false">IF($C275="","",IFERROR(V275/W275,"—"))</f>
        <v/>
      </c>
      <c r="K275" s="41" t="str">
        <f aca="false">IF($C275="","",IFERROR(J275/I275-1,""))</f>
        <v/>
      </c>
      <c r="L275" s="41" t="str">
        <f aca="false">IF($C275="","",IFERROR((U275-S275)/S275,"—"))</f>
        <v/>
      </c>
      <c r="M275" s="41" t="str">
        <f aca="false">IF($C275="","",IFERROR((X275-V275)/V275,"—"))</f>
        <v/>
      </c>
      <c r="N275" s="39" t="str">
        <f aca="false">IF($C275="","",T275/$D$5)</f>
        <v/>
      </c>
      <c r="O275" s="39" t="str">
        <f aca="false">IF($C275="","",W275/$D$5)</f>
        <v/>
      </c>
      <c r="P275" s="51" t="str">
        <f aca="false">IF($C275="","",IF(MAX(Статистика!$B$7:$B$1006)&lt;$C275+$D$5,"Чекаємо даних",IF(S275=0,"Новий (без бази)",IF(OR(T275=0,W275=0),"Мало даних",IF(K275&lt;=-$F$5,"Покращило",IF(K275&gt;=$F$5,"Погіршило","Без змін"))))))</f>
        <v/>
      </c>
      <c r="Q275" s="50"/>
      <c r="R275" s="1"/>
      <c r="S275" s="52" t="str">
        <f aca="false">IF($C275="","",SUMIFS(Статистика!$E$7:$E$1006,Статистика!$B$7:$B$1006,"&gt;="&amp;($C275-$D$5),Статистика!$B$7:$B$1006,"&lt;="&amp;($C275-1),Статистика!$C$7:$C$1006,IF($D275="","&lt;&gt;§",$D275),Статистика!$D$7:$D$1006,IF($E275="","&lt;&gt;§",$E275)))</f>
        <v/>
      </c>
      <c r="T275" s="52" t="str">
        <f aca="false">IF($C275="","",SUMIFS(Статистика!$H$7:$H$1006,Статистика!$B$7:$B$1006,"&gt;="&amp;($C275-$D$5),Статистика!$B$7:$B$1006,"&lt;="&amp;($C275-1),Статистика!$C$7:$C$1006,IF($D275="","&lt;&gt;§",$D275),Статистика!$D$7:$D$1006,IF($E275="","&lt;&gt;§",$E275)))</f>
        <v/>
      </c>
      <c r="U275" s="52" t="str">
        <f aca="false">IF($C275="","",SUMIFS(Статистика!$T$7:$T$1006,Статистика!$B$7:$B$1006,"&gt;="&amp;($C275-$D$5),Статистика!$B$7:$B$1006,"&lt;="&amp;($C275-1),Статистика!$C$7:$C$1006,IF($D275="","&lt;&gt;§",$D275),Статистика!$D$7:$D$1006,IF($E275="","&lt;&gt;§",$E275)))</f>
        <v/>
      </c>
      <c r="V275" s="52" t="str">
        <f aca="false">IF($C275="","",SUMIFS(Статистика!$E$7:$E$1006,Статистика!$B$7:$B$1006,"&gt;="&amp;($C275+1),Статистика!$B$7:$B$1006,"&lt;="&amp;($C275+$D$5),Статистика!$C$7:$C$1006,IF($D275="","&lt;&gt;§",$D275),Статистика!$D$7:$D$1006,IF($E275="","&lt;&gt;§",$E275)))</f>
        <v/>
      </c>
      <c r="W275" s="52" t="str">
        <f aca="false">IF($C275="","",SUMIFS(Статистика!$H$7:$H$1006,Статистика!$B$7:$B$1006,"&gt;="&amp;($C275+1),Статистика!$B$7:$B$1006,"&lt;="&amp;($C275+$D$5),Статистика!$C$7:$C$1006,IF($D275="","&lt;&gt;§",$D275),Статистика!$D$7:$D$1006,IF($E275="","&lt;&gt;§",$E275)))</f>
        <v/>
      </c>
      <c r="X275" s="52" t="str">
        <f aca="false">IF($C275="","",SUMIFS(Статистика!$T$7:$T$1006,Статистика!$B$7:$B$1006,"&gt;="&amp;($C275+1),Статистика!$B$7:$B$1006,"&lt;="&amp;($C275+$D$5),Статистика!$C$7:$C$1006,IF($D275="","&lt;&gt;§",$D275),Статистика!$D$7:$D$1006,IF($E275="","&lt;&gt;§",$E275)))</f>
        <v/>
      </c>
      <c r="Y275" s="1"/>
      <c r="Z275" s="1"/>
      <c r="AA275" s="1"/>
      <c r="AB275" s="1"/>
      <c r="AC275" s="1"/>
      <c r="AD275" s="1"/>
    </row>
    <row r="276" customFormat="false" ht="30" hidden="false" customHeight="true" outlineLevel="0" collapsed="false">
      <c r="A276" s="1"/>
      <c r="B276" s="49" t="str">
        <f aca="false">IF($C276="","",ROW()-8)</f>
        <v/>
      </c>
      <c r="C276" s="35"/>
      <c r="D276" s="8"/>
      <c r="E276" s="26"/>
      <c r="F276" s="26"/>
      <c r="G276" s="50"/>
      <c r="H276" s="50"/>
      <c r="I276" s="30" t="str">
        <f aca="false">IF($C276="","",IFERROR(S276/T276,"—"))</f>
        <v/>
      </c>
      <c r="J276" s="30" t="str">
        <f aca="false">IF($C276="","",IFERROR(V276/W276,"—"))</f>
        <v/>
      </c>
      <c r="K276" s="41" t="str">
        <f aca="false">IF($C276="","",IFERROR(J276/I276-1,""))</f>
        <v/>
      </c>
      <c r="L276" s="41" t="str">
        <f aca="false">IF($C276="","",IFERROR((U276-S276)/S276,"—"))</f>
        <v/>
      </c>
      <c r="M276" s="41" t="str">
        <f aca="false">IF($C276="","",IFERROR((X276-V276)/V276,"—"))</f>
        <v/>
      </c>
      <c r="N276" s="39" t="str">
        <f aca="false">IF($C276="","",T276/$D$5)</f>
        <v/>
      </c>
      <c r="O276" s="39" t="str">
        <f aca="false">IF($C276="","",W276/$D$5)</f>
        <v/>
      </c>
      <c r="P276" s="51" t="str">
        <f aca="false">IF($C276="","",IF(MAX(Статистика!$B$7:$B$1006)&lt;$C276+$D$5,"Чекаємо даних",IF(S276=0,"Новий (без бази)",IF(OR(T276=0,W276=0),"Мало даних",IF(K276&lt;=-$F$5,"Покращило",IF(K276&gt;=$F$5,"Погіршило","Без змін"))))))</f>
        <v/>
      </c>
      <c r="Q276" s="50"/>
      <c r="R276" s="1"/>
      <c r="S276" s="52" t="str">
        <f aca="false">IF($C276="","",SUMIFS(Статистика!$E$7:$E$1006,Статистика!$B$7:$B$1006,"&gt;="&amp;($C276-$D$5),Статистика!$B$7:$B$1006,"&lt;="&amp;($C276-1),Статистика!$C$7:$C$1006,IF($D276="","&lt;&gt;§",$D276),Статистика!$D$7:$D$1006,IF($E276="","&lt;&gt;§",$E276)))</f>
        <v/>
      </c>
      <c r="T276" s="52" t="str">
        <f aca="false">IF($C276="","",SUMIFS(Статистика!$H$7:$H$1006,Статистика!$B$7:$B$1006,"&gt;="&amp;($C276-$D$5),Статистика!$B$7:$B$1006,"&lt;="&amp;($C276-1),Статистика!$C$7:$C$1006,IF($D276="","&lt;&gt;§",$D276),Статистика!$D$7:$D$1006,IF($E276="","&lt;&gt;§",$E276)))</f>
        <v/>
      </c>
      <c r="U276" s="52" t="str">
        <f aca="false">IF($C276="","",SUMIFS(Статистика!$T$7:$T$1006,Статистика!$B$7:$B$1006,"&gt;="&amp;($C276-$D$5),Статистика!$B$7:$B$1006,"&lt;="&amp;($C276-1),Статистика!$C$7:$C$1006,IF($D276="","&lt;&gt;§",$D276),Статистика!$D$7:$D$1006,IF($E276="","&lt;&gt;§",$E276)))</f>
        <v/>
      </c>
      <c r="V276" s="52" t="str">
        <f aca="false">IF($C276="","",SUMIFS(Статистика!$E$7:$E$1006,Статистика!$B$7:$B$1006,"&gt;="&amp;($C276+1),Статистика!$B$7:$B$1006,"&lt;="&amp;($C276+$D$5),Статистика!$C$7:$C$1006,IF($D276="","&lt;&gt;§",$D276),Статистика!$D$7:$D$1006,IF($E276="","&lt;&gt;§",$E276)))</f>
        <v/>
      </c>
      <c r="W276" s="52" t="str">
        <f aca="false">IF($C276="","",SUMIFS(Статистика!$H$7:$H$1006,Статистика!$B$7:$B$1006,"&gt;="&amp;($C276+1),Статистика!$B$7:$B$1006,"&lt;="&amp;($C276+$D$5),Статистика!$C$7:$C$1006,IF($D276="","&lt;&gt;§",$D276),Статистика!$D$7:$D$1006,IF($E276="","&lt;&gt;§",$E276)))</f>
        <v/>
      </c>
      <c r="X276" s="52" t="str">
        <f aca="false">IF($C276="","",SUMIFS(Статистика!$T$7:$T$1006,Статистика!$B$7:$B$1006,"&gt;="&amp;($C276+1),Статистика!$B$7:$B$1006,"&lt;="&amp;($C276+$D$5),Статистика!$C$7:$C$1006,IF($D276="","&lt;&gt;§",$D276),Статистика!$D$7:$D$1006,IF($E276="","&lt;&gt;§",$E276)))</f>
        <v/>
      </c>
      <c r="Y276" s="1"/>
      <c r="Z276" s="1"/>
      <c r="AA276" s="1"/>
      <c r="AB276" s="1"/>
      <c r="AC276" s="1"/>
      <c r="AD276" s="1"/>
    </row>
    <row r="277" customFormat="false" ht="30" hidden="false" customHeight="true" outlineLevel="0" collapsed="false">
      <c r="A277" s="1"/>
      <c r="B277" s="49" t="str">
        <f aca="false">IF($C277="","",ROW()-8)</f>
        <v/>
      </c>
      <c r="C277" s="35"/>
      <c r="D277" s="8"/>
      <c r="E277" s="26"/>
      <c r="F277" s="26"/>
      <c r="G277" s="50"/>
      <c r="H277" s="50"/>
      <c r="I277" s="30" t="str">
        <f aca="false">IF($C277="","",IFERROR(S277/T277,"—"))</f>
        <v/>
      </c>
      <c r="J277" s="30" t="str">
        <f aca="false">IF($C277="","",IFERROR(V277/W277,"—"))</f>
        <v/>
      </c>
      <c r="K277" s="41" t="str">
        <f aca="false">IF($C277="","",IFERROR(J277/I277-1,""))</f>
        <v/>
      </c>
      <c r="L277" s="41" t="str">
        <f aca="false">IF($C277="","",IFERROR((U277-S277)/S277,"—"))</f>
        <v/>
      </c>
      <c r="M277" s="41" t="str">
        <f aca="false">IF($C277="","",IFERROR((X277-V277)/V277,"—"))</f>
        <v/>
      </c>
      <c r="N277" s="39" t="str">
        <f aca="false">IF($C277="","",T277/$D$5)</f>
        <v/>
      </c>
      <c r="O277" s="39" t="str">
        <f aca="false">IF($C277="","",W277/$D$5)</f>
        <v/>
      </c>
      <c r="P277" s="51" t="str">
        <f aca="false">IF($C277="","",IF(MAX(Статистика!$B$7:$B$1006)&lt;$C277+$D$5,"Чекаємо даних",IF(S277=0,"Новий (без бази)",IF(OR(T277=0,W277=0),"Мало даних",IF(K277&lt;=-$F$5,"Покращило",IF(K277&gt;=$F$5,"Погіршило","Без змін"))))))</f>
        <v/>
      </c>
      <c r="Q277" s="50"/>
      <c r="R277" s="1"/>
      <c r="S277" s="52" t="str">
        <f aca="false">IF($C277="","",SUMIFS(Статистика!$E$7:$E$1006,Статистика!$B$7:$B$1006,"&gt;="&amp;($C277-$D$5),Статистика!$B$7:$B$1006,"&lt;="&amp;($C277-1),Статистика!$C$7:$C$1006,IF($D277="","&lt;&gt;§",$D277),Статистика!$D$7:$D$1006,IF($E277="","&lt;&gt;§",$E277)))</f>
        <v/>
      </c>
      <c r="T277" s="52" t="str">
        <f aca="false">IF($C277="","",SUMIFS(Статистика!$H$7:$H$1006,Статистика!$B$7:$B$1006,"&gt;="&amp;($C277-$D$5),Статистика!$B$7:$B$1006,"&lt;="&amp;($C277-1),Статистика!$C$7:$C$1006,IF($D277="","&lt;&gt;§",$D277),Статистика!$D$7:$D$1006,IF($E277="","&lt;&gt;§",$E277)))</f>
        <v/>
      </c>
      <c r="U277" s="52" t="str">
        <f aca="false">IF($C277="","",SUMIFS(Статистика!$T$7:$T$1006,Статистика!$B$7:$B$1006,"&gt;="&amp;($C277-$D$5),Статистика!$B$7:$B$1006,"&lt;="&amp;($C277-1),Статистика!$C$7:$C$1006,IF($D277="","&lt;&gt;§",$D277),Статистика!$D$7:$D$1006,IF($E277="","&lt;&gt;§",$E277)))</f>
        <v/>
      </c>
      <c r="V277" s="52" t="str">
        <f aca="false">IF($C277="","",SUMIFS(Статистика!$E$7:$E$1006,Статистика!$B$7:$B$1006,"&gt;="&amp;($C277+1),Статистика!$B$7:$B$1006,"&lt;="&amp;($C277+$D$5),Статистика!$C$7:$C$1006,IF($D277="","&lt;&gt;§",$D277),Статистика!$D$7:$D$1006,IF($E277="","&lt;&gt;§",$E277)))</f>
        <v/>
      </c>
      <c r="W277" s="52" t="str">
        <f aca="false">IF($C277="","",SUMIFS(Статистика!$H$7:$H$1006,Статистика!$B$7:$B$1006,"&gt;="&amp;($C277+1),Статистика!$B$7:$B$1006,"&lt;="&amp;($C277+$D$5),Статистика!$C$7:$C$1006,IF($D277="","&lt;&gt;§",$D277),Статистика!$D$7:$D$1006,IF($E277="","&lt;&gt;§",$E277)))</f>
        <v/>
      </c>
      <c r="X277" s="52" t="str">
        <f aca="false">IF($C277="","",SUMIFS(Статистика!$T$7:$T$1006,Статистика!$B$7:$B$1006,"&gt;="&amp;($C277+1),Статистика!$B$7:$B$1006,"&lt;="&amp;($C277+$D$5),Статистика!$C$7:$C$1006,IF($D277="","&lt;&gt;§",$D277),Статистика!$D$7:$D$1006,IF($E277="","&lt;&gt;§",$E277)))</f>
        <v/>
      </c>
      <c r="Y277" s="1"/>
      <c r="Z277" s="1"/>
      <c r="AA277" s="1"/>
      <c r="AB277" s="1"/>
      <c r="AC277" s="1"/>
      <c r="AD277" s="1"/>
    </row>
    <row r="278" customFormat="false" ht="30" hidden="false" customHeight="true" outlineLevel="0" collapsed="false">
      <c r="A278" s="1"/>
      <c r="B278" s="49" t="str">
        <f aca="false">IF($C278="","",ROW()-8)</f>
        <v/>
      </c>
      <c r="C278" s="35"/>
      <c r="D278" s="8"/>
      <c r="E278" s="26"/>
      <c r="F278" s="26"/>
      <c r="G278" s="50"/>
      <c r="H278" s="50"/>
      <c r="I278" s="30" t="str">
        <f aca="false">IF($C278="","",IFERROR(S278/T278,"—"))</f>
        <v/>
      </c>
      <c r="J278" s="30" t="str">
        <f aca="false">IF($C278="","",IFERROR(V278/W278,"—"))</f>
        <v/>
      </c>
      <c r="K278" s="41" t="str">
        <f aca="false">IF($C278="","",IFERROR(J278/I278-1,""))</f>
        <v/>
      </c>
      <c r="L278" s="41" t="str">
        <f aca="false">IF($C278="","",IFERROR((U278-S278)/S278,"—"))</f>
        <v/>
      </c>
      <c r="M278" s="41" t="str">
        <f aca="false">IF($C278="","",IFERROR((X278-V278)/V278,"—"))</f>
        <v/>
      </c>
      <c r="N278" s="39" t="str">
        <f aca="false">IF($C278="","",T278/$D$5)</f>
        <v/>
      </c>
      <c r="O278" s="39" t="str">
        <f aca="false">IF($C278="","",W278/$D$5)</f>
        <v/>
      </c>
      <c r="P278" s="51" t="str">
        <f aca="false">IF($C278="","",IF(MAX(Статистика!$B$7:$B$1006)&lt;$C278+$D$5,"Чекаємо даних",IF(S278=0,"Новий (без бази)",IF(OR(T278=0,W278=0),"Мало даних",IF(K278&lt;=-$F$5,"Покращило",IF(K278&gt;=$F$5,"Погіршило","Без змін"))))))</f>
        <v/>
      </c>
      <c r="Q278" s="50"/>
      <c r="R278" s="1"/>
      <c r="S278" s="52" t="str">
        <f aca="false">IF($C278="","",SUMIFS(Статистика!$E$7:$E$1006,Статистика!$B$7:$B$1006,"&gt;="&amp;($C278-$D$5),Статистика!$B$7:$B$1006,"&lt;="&amp;($C278-1),Статистика!$C$7:$C$1006,IF($D278="","&lt;&gt;§",$D278),Статистика!$D$7:$D$1006,IF($E278="","&lt;&gt;§",$E278)))</f>
        <v/>
      </c>
      <c r="T278" s="52" t="str">
        <f aca="false">IF($C278="","",SUMIFS(Статистика!$H$7:$H$1006,Статистика!$B$7:$B$1006,"&gt;="&amp;($C278-$D$5),Статистика!$B$7:$B$1006,"&lt;="&amp;($C278-1),Статистика!$C$7:$C$1006,IF($D278="","&lt;&gt;§",$D278),Статистика!$D$7:$D$1006,IF($E278="","&lt;&gt;§",$E278)))</f>
        <v/>
      </c>
      <c r="U278" s="52" t="str">
        <f aca="false">IF($C278="","",SUMIFS(Статистика!$T$7:$T$1006,Статистика!$B$7:$B$1006,"&gt;="&amp;($C278-$D$5),Статистика!$B$7:$B$1006,"&lt;="&amp;($C278-1),Статистика!$C$7:$C$1006,IF($D278="","&lt;&gt;§",$D278),Статистика!$D$7:$D$1006,IF($E278="","&lt;&gt;§",$E278)))</f>
        <v/>
      </c>
      <c r="V278" s="52" t="str">
        <f aca="false">IF($C278="","",SUMIFS(Статистика!$E$7:$E$1006,Статистика!$B$7:$B$1006,"&gt;="&amp;($C278+1),Статистика!$B$7:$B$1006,"&lt;="&amp;($C278+$D$5),Статистика!$C$7:$C$1006,IF($D278="","&lt;&gt;§",$D278),Статистика!$D$7:$D$1006,IF($E278="","&lt;&gt;§",$E278)))</f>
        <v/>
      </c>
      <c r="W278" s="52" t="str">
        <f aca="false">IF($C278="","",SUMIFS(Статистика!$H$7:$H$1006,Статистика!$B$7:$B$1006,"&gt;="&amp;($C278+1),Статистика!$B$7:$B$1006,"&lt;="&amp;($C278+$D$5),Статистика!$C$7:$C$1006,IF($D278="","&lt;&gt;§",$D278),Статистика!$D$7:$D$1006,IF($E278="","&lt;&gt;§",$E278)))</f>
        <v/>
      </c>
      <c r="X278" s="52" t="str">
        <f aca="false">IF($C278="","",SUMIFS(Статистика!$T$7:$T$1006,Статистика!$B$7:$B$1006,"&gt;="&amp;($C278+1),Статистика!$B$7:$B$1006,"&lt;="&amp;($C278+$D$5),Статистика!$C$7:$C$1006,IF($D278="","&lt;&gt;§",$D278),Статистика!$D$7:$D$1006,IF($E278="","&lt;&gt;§",$E278)))</f>
        <v/>
      </c>
      <c r="Y278" s="1"/>
      <c r="Z278" s="1"/>
      <c r="AA278" s="1"/>
      <c r="AB278" s="1"/>
      <c r="AC278" s="1"/>
      <c r="AD278" s="1"/>
    </row>
    <row r="279" customFormat="false" ht="30" hidden="false" customHeight="true" outlineLevel="0" collapsed="false">
      <c r="A279" s="1"/>
      <c r="B279" s="49" t="str">
        <f aca="false">IF($C279="","",ROW()-8)</f>
        <v/>
      </c>
      <c r="C279" s="35"/>
      <c r="D279" s="8"/>
      <c r="E279" s="26"/>
      <c r="F279" s="26"/>
      <c r="G279" s="50"/>
      <c r="H279" s="50"/>
      <c r="I279" s="30" t="str">
        <f aca="false">IF($C279="","",IFERROR(S279/T279,"—"))</f>
        <v/>
      </c>
      <c r="J279" s="30" t="str">
        <f aca="false">IF($C279="","",IFERROR(V279/W279,"—"))</f>
        <v/>
      </c>
      <c r="K279" s="41" t="str">
        <f aca="false">IF($C279="","",IFERROR(J279/I279-1,""))</f>
        <v/>
      </c>
      <c r="L279" s="41" t="str">
        <f aca="false">IF($C279="","",IFERROR((U279-S279)/S279,"—"))</f>
        <v/>
      </c>
      <c r="M279" s="41" t="str">
        <f aca="false">IF($C279="","",IFERROR((X279-V279)/V279,"—"))</f>
        <v/>
      </c>
      <c r="N279" s="39" t="str">
        <f aca="false">IF($C279="","",T279/$D$5)</f>
        <v/>
      </c>
      <c r="O279" s="39" t="str">
        <f aca="false">IF($C279="","",W279/$D$5)</f>
        <v/>
      </c>
      <c r="P279" s="51" t="str">
        <f aca="false">IF($C279="","",IF(MAX(Статистика!$B$7:$B$1006)&lt;$C279+$D$5,"Чекаємо даних",IF(S279=0,"Новий (без бази)",IF(OR(T279=0,W279=0),"Мало даних",IF(K279&lt;=-$F$5,"Покращило",IF(K279&gt;=$F$5,"Погіршило","Без змін"))))))</f>
        <v/>
      </c>
      <c r="Q279" s="50"/>
      <c r="R279" s="1"/>
      <c r="S279" s="52" t="str">
        <f aca="false">IF($C279="","",SUMIFS(Статистика!$E$7:$E$1006,Статистика!$B$7:$B$1006,"&gt;="&amp;($C279-$D$5),Статистика!$B$7:$B$1006,"&lt;="&amp;($C279-1),Статистика!$C$7:$C$1006,IF($D279="","&lt;&gt;§",$D279),Статистика!$D$7:$D$1006,IF($E279="","&lt;&gt;§",$E279)))</f>
        <v/>
      </c>
      <c r="T279" s="52" t="str">
        <f aca="false">IF($C279="","",SUMIFS(Статистика!$H$7:$H$1006,Статистика!$B$7:$B$1006,"&gt;="&amp;($C279-$D$5),Статистика!$B$7:$B$1006,"&lt;="&amp;($C279-1),Статистика!$C$7:$C$1006,IF($D279="","&lt;&gt;§",$D279),Статистика!$D$7:$D$1006,IF($E279="","&lt;&gt;§",$E279)))</f>
        <v/>
      </c>
      <c r="U279" s="52" t="str">
        <f aca="false">IF($C279="","",SUMIFS(Статистика!$T$7:$T$1006,Статистика!$B$7:$B$1006,"&gt;="&amp;($C279-$D$5),Статистика!$B$7:$B$1006,"&lt;="&amp;($C279-1),Статистика!$C$7:$C$1006,IF($D279="","&lt;&gt;§",$D279),Статистика!$D$7:$D$1006,IF($E279="","&lt;&gt;§",$E279)))</f>
        <v/>
      </c>
      <c r="V279" s="52" t="str">
        <f aca="false">IF($C279="","",SUMIFS(Статистика!$E$7:$E$1006,Статистика!$B$7:$B$1006,"&gt;="&amp;($C279+1),Статистика!$B$7:$B$1006,"&lt;="&amp;($C279+$D$5),Статистика!$C$7:$C$1006,IF($D279="","&lt;&gt;§",$D279),Статистика!$D$7:$D$1006,IF($E279="","&lt;&gt;§",$E279)))</f>
        <v/>
      </c>
      <c r="W279" s="52" t="str">
        <f aca="false">IF($C279="","",SUMIFS(Статистика!$H$7:$H$1006,Статистика!$B$7:$B$1006,"&gt;="&amp;($C279+1),Статистика!$B$7:$B$1006,"&lt;="&amp;($C279+$D$5),Статистика!$C$7:$C$1006,IF($D279="","&lt;&gt;§",$D279),Статистика!$D$7:$D$1006,IF($E279="","&lt;&gt;§",$E279)))</f>
        <v/>
      </c>
      <c r="X279" s="52" t="str">
        <f aca="false">IF($C279="","",SUMIFS(Статистика!$T$7:$T$1006,Статистика!$B$7:$B$1006,"&gt;="&amp;($C279+1),Статистика!$B$7:$B$1006,"&lt;="&amp;($C279+$D$5),Статистика!$C$7:$C$1006,IF($D279="","&lt;&gt;§",$D279),Статистика!$D$7:$D$1006,IF($E279="","&lt;&gt;§",$E279)))</f>
        <v/>
      </c>
      <c r="Y279" s="1"/>
      <c r="Z279" s="1"/>
      <c r="AA279" s="1"/>
      <c r="AB279" s="1"/>
      <c r="AC279" s="1"/>
      <c r="AD279" s="1"/>
    </row>
    <row r="280" customFormat="false" ht="30" hidden="false" customHeight="true" outlineLevel="0" collapsed="false">
      <c r="A280" s="1"/>
      <c r="B280" s="49" t="str">
        <f aca="false">IF($C280="","",ROW()-8)</f>
        <v/>
      </c>
      <c r="C280" s="35"/>
      <c r="D280" s="8"/>
      <c r="E280" s="26"/>
      <c r="F280" s="26"/>
      <c r="G280" s="50"/>
      <c r="H280" s="50"/>
      <c r="I280" s="30" t="str">
        <f aca="false">IF($C280="","",IFERROR(S280/T280,"—"))</f>
        <v/>
      </c>
      <c r="J280" s="30" t="str">
        <f aca="false">IF($C280="","",IFERROR(V280/W280,"—"))</f>
        <v/>
      </c>
      <c r="K280" s="41" t="str">
        <f aca="false">IF($C280="","",IFERROR(J280/I280-1,""))</f>
        <v/>
      </c>
      <c r="L280" s="41" t="str">
        <f aca="false">IF($C280="","",IFERROR((U280-S280)/S280,"—"))</f>
        <v/>
      </c>
      <c r="M280" s="41" t="str">
        <f aca="false">IF($C280="","",IFERROR((X280-V280)/V280,"—"))</f>
        <v/>
      </c>
      <c r="N280" s="39" t="str">
        <f aca="false">IF($C280="","",T280/$D$5)</f>
        <v/>
      </c>
      <c r="O280" s="39" t="str">
        <f aca="false">IF($C280="","",W280/$D$5)</f>
        <v/>
      </c>
      <c r="P280" s="51" t="str">
        <f aca="false">IF($C280="","",IF(MAX(Статистика!$B$7:$B$1006)&lt;$C280+$D$5,"Чекаємо даних",IF(S280=0,"Новий (без бази)",IF(OR(T280=0,W280=0),"Мало даних",IF(K280&lt;=-$F$5,"Покращило",IF(K280&gt;=$F$5,"Погіршило","Без змін"))))))</f>
        <v/>
      </c>
      <c r="Q280" s="50"/>
      <c r="R280" s="1"/>
      <c r="S280" s="52" t="str">
        <f aca="false">IF($C280="","",SUMIFS(Статистика!$E$7:$E$1006,Статистика!$B$7:$B$1006,"&gt;="&amp;($C280-$D$5),Статистика!$B$7:$B$1006,"&lt;="&amp;($C280-1),Статистика!$C$7:$C$1006,IF($D280="","&lt;&gt;§",$D280),Статистика!$D$7:$D$1006,IF($E280="","&lt;&gt;§",$E280)))</f>
        <v/>
      </c>
      <c r="T280" s="52" t="str">
        <f aca="false">IF($C280="","",SUMIFS(Статистика!$H$7:$H$1006,Статистика!$B$7:$B$1006,"&gt;="&amp;($C280-$D$5),Статистика!$B$7:$B$1006,"&lt;="&amp;($C280-1),Статистика!$C$7:$C$1006,IF($D280="","&lt;&gt;§",$D280),Статистика!$D$7:$D$1006,IF($E280="","&lt;&gt;§",$E280)))</f>
        <v/>
      </c>
      <c r="U280" s="52" t="str">
        <f aca="false">IF($C280="","",SUMIFS(Статистика!$T$7:$T$1006,Статистика!$B$7:$B$1006,"&gt;="&amp;($C280-$D$5),Статистика!$B$7:$B$1006,"&lt;="&amp;($C280-1),Статистика!$C$7:$C$1006,IF($D280="","&lt;&gt;§",$D280),Статистика!$D$7:$D$1006,IF($E280="","&lt;&gt;§",$E280)))</f>
        <v/>
      </c>
      <c r="V280" s="52" t="str">
        <f aca="false">IF($C280="","",SUMIFS(Статистика!$E$7:$E$1006,Статистика!$B$7:$B$1006,"&gt;="&amp;($C280+1),Статистика!$B$7:$B$1006,"&lt;="&amp;($C280+$D$5),Статистика!$C$7:$C$1006,IF($D280="","&lt;&gt;§",$D280),Статистика!$D$7:$D$1006,IF($E280="","&lt;&gt;§",$E280)))</f>
        <v/>
      </c>
      <c r="W280" s="52" t="str">
        <f aca="false">IF($C280="","",SUMIFS(Статистика!$H$7:$H$1006,Статистика!$B$7:$B$1006,"&gt;="&amp;($C280+1),Статистика!$B$7:$B$1006,"&lt;="&amp;($C280+$D$5),Статистика!$C$7:$C$1006,IF($D280="","&lt;&gt;§",$D280),Статистика!$D$7:$D$1006,IF($E280="","&lt;&gt;§",$E280)))</f>
        <v/>
      </c>
      <c r="X280" s="52" t="str">
        <f aca="false">IF($C280="","",SUMIFS(Статистика!$T$7:$T$1006,Статистика!$B$7:$B$1006,"&gt;="&amp;($C280+1),Статистика!$B$7:$B$1006,"&lt;="&amp;($C280+$D$5),Статистика!$C$7:$C$1006,IF($D280="","&lt;&gt;§",$D280),Статистика!$D$7:$D$1006,IF($E280="","&lt;&gt;§",$E280)))</f>
        <v/>
      </c>
      <c r="Y280" s="1"/>
      <c r="Z280" s="1"/>
      <c r="AA280" s="1"/>
      <c r="AB280" s="1"/>
      <c r="AC280" s="1"/>
      <c r="AD280" s="1"/>
    </row>
    <row r="281" customFormat="false" ht="30" hidden="false" customHeight="true" outlineLevel="0" collapsed="false">
      <c r="A281" s="1"/>
      <c r="B281" s="49" t="str">
        <f aca="false">IF($C281="","",ROW()-8)</f>
        <v/>
      </c>
      <c r="C281" s="35"/>
      <c r="D281" s="8"/>
      <c r="E281" s="26"/>
      <c r="F281" s="26"/>
      <c r="G281" s="50"/>
      <c r="H281" s="50"/>
      <c r="I281" s="30" t="str">
        <f aca="false">IF($C281="","",IFERROR(S281/T281,"—"))</f>
        <v/>
      </c>
      <c r="J281" s="30" t="str">
        <f aca="false">IF($C281="","",IFERROR(V281/W281,"—"))</f>
        <v/>
      </c>
      <c r="K281" s="41" t="str">
        <f aca="false">IF($C281="","",IFERROR(J281/I281-1,""))</f>
        <v/>
      </c>
      <c r="L281" s="41" t="str">
        <f aca="false">IF($C281="","",IFERROR((U281-S281)/S281,"—"))</f>
        <v/>
      </c>
      <c r="M281" s="41" t="str">
        <f aca="false">IF($C281="","",IFERROR((X281-V281)/V281,"—"))</f>
        <v/>
      </c>
      <c r="N281" s="39" t="str">
        <f aca="false">IF($C281="","",T281/$D$5)</f>
        <v/>
      </c>
      <c r="O281" s="39" t="str">
        <f aca="false">IF($C281="","",W281/$D$5)</f>
        <v/>
      </c>
      <c r="P281" s="51" t="str">
        <f aca="false">IF($C281="","",IF(MAX(Статистика!$B$7:$B$1006)&lt;$C281+$D$5,"Чекаємо даних",IF(S281=0,"Новий (без бази)",IF(OR(T281=0,W281=0),"Мало даних",IF(K281&lt;=-$F$5,"Покращило",IF(K281&gt;=$F$5,"Погіршило","Без змін"))))))</f>
        <v/>
      </c>
      <c r="Q281" s="50"/>
      <c r="R281" s="1"/>
      <c r="S281" s="52" t="str">
        <f aca="false">IF($C281="","",SUMIFS(Статистика!$E$7:$E$1006,Статистика!$B$7:$B$1006,"&gt;="&amp;($C281-$D$5),Статистика!$B$7:$B$1006,"&lt;="&amp;($C281-1),Статистика!$C$7:$C$1006,IF($D281="","&lt;&gt;§",$D281),Статистика!$D$7:$D$1006,IF($E281="","&lt;&gt;§",$E281)))</f>
        <v/>
      </c>
      <c r="T281" s="52" t="str">
        <f aca="false">IF($C281="","",SUMIFS(Статистика!$H$7:$H$1006,Статистика!$B$7:$B$1006,"&gt;="&amp;($C281-$D$5),Статистика!$B$7:$B$1006,"&lt;="&amp;($C281-1),Статистика!$C$7:$C$1006,IF($D281="","&lt;&gt;§",$D281),Статистика!$D$7:$D$1006,IF($E281="","&lt;&gt;§",$E281)))</f>
        <v/>
      </c>
      <c r="U281" s="52" t="str">
        <f aca="false">IF($C281="","",SUMIFS(Статистика!$T$7:$T$1006,Статистика!$B$7:$B$1006,"&gt;="&amp;($C281-$D$5),Статистика!$B$7:$B$1006,"&lt;="&amp;($C281-1),Статистика!$C$7:$C$1006,IF($D281="","&lt;&gt;§",$D281),Статистика!$D$7:$D$1006,IF($E281="","&lt;&gt;§",$E281)))</f>
        <v/>
      </c>
      <c r="V281" s="52" t="str">
        <f aca="false">IF($C281="","",SUMIFS(Статистика!$E$7:$E$1006,Статистика!$B$7:$B$1006,"&gt;="&amp;($C281+1),Статистика!$B$7:$B$1006,"&lt;="&amp;($C281+$D$5),Статистика!$C$7:$C$1006,IF($D281="","&lt;&gt;§",$D281),Статистика!$D$7:$D$1006,IF($E281="","&lt;&gt;§",$E281)))</f>
        <v/>
      </c>
      <c r="W281" s="52" t="str">
        <f aca="false">IF($C281="","",SUMIFS(Статистика!$H$7:$H$1006,Статистика!$B$7:$B$1006,"&gt;="&amp;($C281+1),Статистика!$B$7:$B$1006,"&lt;="&amp;($C281+$D$5),Статистика!$C$7:$C$1006,IF($D281="","&lt;&gt;§",$D281),Статистика!$D$7:$D$1006,IF($E281="","&lt;&gt;§",$E281)))</f>
        <v/>
      </c>
      <c r="X281" s="52" t="str">
        <f aca="false">IF($C281="","",SUMIFS(Статистика!$T$7:$T$1006,Статистика!$B$7:$B$1006,"&gt;="&amp;($C281+1),Статистика!$B$7:$B$1006,"&lt;="&amp;($C281+$D$5),Статистика!$C$7:$C$1006,IF($D281="","&lt;&gt;§",$D281),Статистика!$D$7:$D$1006,IF($E281="","&lt;&gt;§",$E281)))</f>
        <v/>
      </c>
      <c r="Y281" s="1"/>
      <c r="Z281" s="1"/>
      <c r="AA281" s="1"/>
      <c r="AB281" s="1"/>
      <c r="AC281" s="1"/>
      <c r="AD281" s="1"/>
    </row>
    <row r="282" customFormat="false" ht="30" hidden="false" customHeight="true" outlineLevel="0" collapsed="false">
      <c r="A282" s="1"/>
      <c r="B282" s="49" t="str">
        <f aca="false">IF($C282="","",ROW()-8)</f>
        <v/>
      </c>
      <c r="C282" s="35"/>
      <c r="D282" s="8"/>
      <c r="E282" s="26"/>
      <c r="F282" s="26"/>
      <c r="G282" s="50"/>
      <c r="H282" s="50"/>
      <c r="I282" s="30" t="str">
        <f aca="false">IF($C282="","",IFERROR(S282/T282,"—"))</f>
        <v/>
      </c>
      <c r="J282" s="30" t="str">
        <f aca="false">IF($C282="","",IFERROR(V282/W282,"—"))</f>
        <v/>
      </c>
      <c r="K282" s="41" t="str">
        <f aca="false">IF($C282="","",IFERROR(J282/I282-1,""))</f>
        <v/>
      </c>
      <c r="L282" s="41" t="str">
        <f aca="false">IF($C282="","",IFERROR((U282-S282)/S282,"—"))</f>
        <v/>
      </c>
      <c r="M282" s="41" t="str">
        <f aca="false">IF($C282="","",IFERROR((X282-V282)/V282,"—"))</f>
        <v/>
      </c>
      <c r="N282" s="39" t="str">
        <f aca="false">IF($C282="","",T282/$D$5)</f>
        <v/>
      </c>
      <c r="O282" s="39" t="str">
        <f aca="false">IF($C282="","",W282/$D$5)</f>
        <v/>
      </c>
      <c r="P282" s="51" t="str">
        <f aca="false">IF($C282="","",IF(MAX(Статистика!$B$7:$B$1006)&lt;$C282+$D$5,"Чекаємо даних",IF(S282=0,"Новий (без бази)",IF(OR(T282=0,W282=0),"Мало даних",IF(K282&lt;=-$F$5,"Покращило",IF(K282&gt;=$F$5,"Погіршило","Без змін"))))))</f>
        <v/>
      </c>
      <c r="Q282" s="50"/>
      <c r="R282" s="1"/>
      <c r="S282" s="52" t="str">
        <f aca="false">IF($C282="","",SUMIFS(Статистика!$E$7:$E$1006,Статистика!$B$7:$B$1006,"&gt;="&amp;($C282-$D$5),Статистика!$B$7:$B$1006,"&lt;="&amp;($C282-1),Статистика!$C$7:$C$1006,IF($D282="","&lt;&gt;§",$D282),Статистика!$D$7:$D$1006,IF($E282="","&lt;&gt;§",$E282)))</f>
        <v/>
      </c>
      <c r="T282" s="52" t="str">
        <f aca="false">IF($C282="","",SUMIFS(Статистика!$H$7:$H$1006,Статистика!$B$7:$B$1006,"&gt;="&amp;($C282-$D$5),Статистика!$B$7:$B$1006,"&lt;="&amp;($C282-1),Статистика!$C$7:$C$1006,IF($D282="","&lt;&gt;§",$D282),Статистика!$D$7:$D$1006,IF($E282="","&lt;&gt;§",$E282)))</f>
        <v/>
      </c>
      <c r="U282" s="52" t="str">
        <f aca="false">IF($C282="","",SUMIFS(Статистика!$T$7:$T$1006,Статистика!$B$7:$B$1006,"&gt;="&amp;($C282-$D$5),Статистика!$B$7:$B$1006,"&lt;="&amp;($C282-1),Статистика!$C$7:$C$1006,IF($D282="","&lt;&gt;§",$D282),Статистика!$D$7:$D$1006,IF($E282="","&lt;&gt;§",$E282)))</f>
        <v/>
      </c>
      <c r="V282" s="52" t="str">
        <f aca="false">IF($C282="","",SUMIFS(Статистика!$E$7:$E$1006,Статистика!$B$7:$B$1006,"&gt;="&amp;($C282+1),Статистика!$B$7:$B$1006,"&lt;="&amp;($C282+$D$5),Статистика!$C$7:$C$1006,IF($D282="","&lt;&gt;§",$D282),Статистика!$D$7:$D$1006,IF($E282="","&lt;&gt;§",$E282)))</f>
        <v/>
      </c>
      <c r="W282" s="52" t="str">
        <f aca="false">IF($C282="","",SUMIFS(Статистика!$H$7:$H$1006,Статистика!$B$7:$B$1006,"&gt;="&amp;($C282+1),Статистика!$B$7:$B$1006,"&lt;="&amp;($C282+$D$5),Статистика!$C$7:$C$1006,IF($D282="","&lt;&gt;§",$D282),Статистика!$D$7:$D$1006,IF($E282="","&lt;&gt;§",$E282)))</f>
        <v/>
      </c>
      <c r="X282" s="52" t="str">
        <f aca="false">IF($C282="","",SUMIFS(Статистика!$T$7:$T$1006,Статистика!$B$7:$B$1006,"&gt;="&amp;($C282+1),Статистика!$B$7:$B$1006,"&lt;="&amp;($C282+$D$5),Статистика!$C$7:$C$1006,IF($D282="","&lt;&gt;§",$D282),Статистика!$D$7:$D$1006,IF($E282="","&lt;&gt;§",$E282)))</f>
        <v/>
      </c>
      <c r="Y282" s="1"/>
      <c r="Z282" s="1"/>
      <c r="AA282" s="1"/>
      <c r="AB282" s="1"/>
      <c r="AC282" s="1"/>
      <c r="AD282" s="1"/>
    </row>
    <row r="283" customFormat="false" ht="30" hidden="false" customHeight="true" outlineLevel="0" collapsed="false">
      <c r="A283" s="1"/>
      <c r="B283" s="49" t="str">
        <f aca="false">IF($C283="","",ROW()-8)</f>
        <v/>
      </c>
      <c r="C283" s="35"/>
      <c r="D283" s="8"/>
      <c r="E283" s="26"/>
      <c r="F283" s="26"/>
      <c r="G283" s="50"/>
      <c r="H283" s="50"/>
      <c r="I283" s="30" t="str">
        <f aca="false">IF($C283="","",IFERROR(S283/T283,"—"))</f>
        <v/>
      </c>
      <c r="J283" s="30" t="str">
        <f aca="false">IF($C283="","",IFERROR(V283/W283,"—"))</f>
        <v/>
      </c>
      <c r="K283" s="41" t="str">
        <f aca="false">IF($C283="","",IFERROR(J283/I283-1,""))</f>
        <v/>
      </c>
      <c r="L283" s="41" t="str">
        <f aca="false">IF($C283="","",IFERROR((U283-S283)/S283,"—"))</f>
        <v/>
      </c>
      <c r="M283" s="41" t="str">
        <f aca="false">IF($C283="","",IFERROR((X283-V283)/V283,"—"))</f>
        <v/>
      </c>
      <c r="N283" s="39" t="str">
        <f aca="false">IF($C283="","",T283/$D$5)</f>
        <v/>
      </c>
      <c r="O283" s="39" t="str">
        <f aca="false">IF($C283="","",W283/$D$5)</f>
        <v/>
      </c>
      <c r="P283" s="51" t="str">
        <f aca="false">IF($C283="","",IF(MAX(Статистика!$B$7:$B$1006)&lt;$C283+$D$5,"Чекаємо даних",IF(S283=0,"Новий (без бази)",IF(OR(T283=0,W283=0),"Мало даних",IF(K283&lt;=-$F$5,"Покращило",IF(K283&gt;=$F$5,"Погіршило","Без змін"))))))</f>
        <v/>
      </c>
      <c r="Q283" s="50"/>
      <c r="R283" s="1"/>
      <c r="S283" s="52" t="str">
        <f aca="false">IF($C283="","",SUMIFS(Статистика!$E$7:$E$1006,Статистика!$B$7:$B$1006,"&gt;="&amp;($C283-$D$5),Статистика!$B$7:$B$1006,"&lt;="&amp;($C283-1),Статистика!$C$7:$C$1006,IF($D283="","&lt;&gt;§",$D283),Статистика!$D$7:$D$1006,IF($E283="","&lt;&gt;§",$E283)))</f>
        <v/>
      </c>
      <c r="T283" s="52" t="str">
        <f aca="false">IF($C283="","",SUMIFS(Статистика!$H$7:$H$1006,Статистика!$B$7:$B$1006,"&gt;="&amp;($C283-$D$5),Статистика!$B$7:$B$1006,"&lt;="&amp;($C283-1),Статистика!$C$7:$C$1006,IF($D283="","&lt;&gt;§",$D283),Статистика!$D$7:$D$1006,IF($E283="","&lt;&gt;§",$E283)))</f>
        <v/>
      </c>
      <c r="U283" s="52" t="str">
        <f aca="false">IF($C283="","",SUMIFS(Статистика!$T$7:$T$1006,Статистика!$B$7:$B$1006,"&gt;="&amp;($C283-$D$5),Статистика!$B$7:$B$1006,"&lt;="&amp;($C283-1),Статистика!$C$7:$C$1006,IF($D283="","&lt;&gt;§",$D283),Статистика!$D$7:$D$1006,IF($E283="","&lt;&gt;§",$E283)))</f>
        <v/>
      </c>
      <c r="V283" s="52" t="str">
        <f aca="false">IF($C283="","",SUMIFS(Статистика!$E$7:$E$1006,Статистика!$B$7:$B$1006,"&gt;="&amp;($C283+1),Статистика!$B$7:$B$1006,"&lt;="&amp;($C283+$D$5),Статистика!$C$7:$C$1006,IF($D283="","&lt;&gt;§",$D283),Статистика!$D$7:$D$1006,IF($E283="","&lt;&gt;§",$E283)))</f>
        <v/>
      </c>
      <c r="W283" s="52" t="str">
        <f aca="false">IF($C283="","",SUMIFS(Статистика!$H$7:$H$1006,Статистика!$B$7:$B$1006,"&gt;="&amp;($C283+1),Статистика!$B$7:$B$1006,"&lt;="&amp;($C283+$D$5),Статистика!$C$7:$C$1006,IF($D283="","&lt;&gt;§",$D283),Статистика!$D$7:$D$1006,IF($E283="","&lt;&gt;§",$E283)))</f>
        <v/>
      </c>
      <c r="X283" s="52" t="str">
        <f aca="false">IF($C283="","",SUMIFS(Статистика!$T$7:$T$1006,Статистика!$B$7:$B$1006,"&gt;="&amp;($C283+1),Статистика!$B$7:$B$1006,"&lt;="&amp;($C283+$D$5),Статистика!$C$7:$C$1006,IF($D283="","&lt;&gt;§",$D283),Статистика!$D$7:$D$1006,IF($E283="","&lt;&gt;§",$E283)))</f>
        <v/>
      </c>
      <c r="Y283" s="1"/>
      <c r="Z283" s="1"/>
      <c r="AA283" s="1"/>
      <c r="AB283" s="1"/>
      <c r="AC283" s="1"/>
      <c r="AD283" s="1"/>
    </row>
    <row r="284" customFormat="false" ht="30" hidden="false" customHeight="true" outlineLevel="0" collapsed="false">
      <c r="A284" s="1"/>
      <c r="B284" s="49" t="str">
        <f aca="false">IF($C284="","",ROW()-8)</f>
        <v/>
      </c>
      <c r="C284" s="35"/>
      <c r="D284" s="8"/>
      <c r="E284" s="26"/>
      <c r="F284" s="26"/>
      <c r="G284" s="50"/>
      <c r="H284" s="50"/>
      <c r="I284" s="30" t="str">
        <f aca="false">IF($C284="","",IFERROR(S284/T284,"—"))</f>
        <v/>
      </c>
      <c r="J284" s="30" t="str">
        <f aca="false">IF($C284="","",IFERROR(V284/W284,"—"))</f>
        <v/>
      </c>
      <c r="K284" s="41" t="str">
        <f aca="false">IF($C284="","",IFERROR(J284/I284-1,""))</f>
        <v/>
      </c>
      <c r="L284" s="41" t="str">
        <f aca="false">IF($C284="","",IFERROR((U284-S284)/S284,"—"))</f>
        <v/>
      </c>
      <c r="M284" s="41" t="str">
        <f aca="false">IF($C284="","",IFERROR((X284-V284)/V284,"—"))</f>
        <v/>
      </c>
      <c r="N284" s="39" t="str">
        <f aca="false">IF($C284="","",T284/$D$5)</f>
        <v/>
      </c>
      <c r="O284" s="39" t="str">
        <f aca="false">IF($C284="","",W284/$D$5)</f>
        <v/>
      </c>
      <c r="P284" s="51" t="str">
        <f aca="false">IF($C284="","",IF(MAX(Статистика!$B$7:$B$1006)&lt;$C284+$D$5,"Чекаємо даних",IF(S284=0,"Новий (без бази)",IF(OR(T284=0,W284=0),"Мало даних",IF(K284&lt;=-$F$5,"Покращило",IF(K284&gt;=$F$5,"Погіршило","Без змін"))))))</f>
        <v/>
      </c>
      <c r="Q284" s="50"/>
      <c r="R284" s="1"/>
      <c r="S284" s="52" t="str">
        <f aca="false">IF($C284="","",SUMIFS(Статистика!$E$7:$E$1006,Статистика!$B$7:$B$1006,"&gt;="&amp;($C284-$D$5),Статистика!$B$7:$B$1006,"&lt;="&amp;($C284-1),Статистика!$C$7:$C$1006,IF($D284="","&lt;&gt;§",$D284),Статистика!$D$7:$D$1006,IF($E284="","&lt;&gt;§",$E284)))</f>
        <v/>
      </c>
      <c r="T284" s="52" t="str">
        <f aca="false">IF($C284="","",SUMIFS(Статистика!$H$7:$H$1006,Статистика!$B$7:$B$1006,"&gt;="&amp;($C284-$D$5),Статистика!$B$7:$B$1006,"&lt;="&amp;($C284-1),Статистика!$C$7:$C$1006,IF($D284="","&lt;&gt;§",$D284),Статистика!$D$7:$D$1006,IF($E284="","&lt;&gt;§",$E284)))</f>
        <v/>
      </c>
      <c r="U284" s="52" t="str">
        <f aca="false">IF($C284="","",SUMIFS(Статистика!$T$7:$T$1006,Статистика!$B$7:$B$1006,"&gt;="&amp;($C284-$D$5),Статистика!$B$7:$B$1006,"&lt;="&amp;($C284-1),Статистика!$C$7:$C$1006,IF($D284="","&lt;&gt;§",$D284),Статистика!$D$7:$D$1006,IF($E284="","&lt;&gt;§",$E284)))</f>
        <v/>
      </c>
      <c r="V284" s="52" t="str">
        <f aca="false">IF($C284="","",SUMIFS(Статистика!$E$7:$E$1006,Статистика!$B$7:$B$1006,"&gt;="&amp;($C284+1),Статистика!$B$7:$B$1006,"&lt;="&amp;($C284+$D$5),Статистика!$C$7:$C$1006,IF($D284="","&lt;&gt;§",$D284),Статистика!$D$7:$D$1006,IF($E284="","&lt;&gt;§",$E284)))</f>
        <v/>
      </c>
      <c r="W284" s="52" t="str">
        <f aca="false">IF($C284="","",SUMIFS(Статистика!$H$7:$H$1006,Статистика!$B$7:$B$1006,"&gt;="&amp;($C284+1),Статистика!$B$7:$B$1006,"&lt;="&amp;($C284+$D$5),Статистика!$C$7:$C$1006,IF($D284="","&lt;&gt;§",$D284),Статистика!$D$7:$D$1006,IF($E284="","&lt;&gt;§",$E284)))</f>
        <v/>
      </c>
      <c r="X284" s="52" t="str">
        <f aca="false">IF($C284="","",SUMIFS(Статистика!$T$7:$T$1006,Статистика!$B$7:$B$1006,"&gt;="&amp;($C284+1),Статистика!$B$7:$B$1006,"&lt;="&amp;($C284+$D$5),Статистика!$C$7:$C$1006,IF($D284="","&lt;&gt;§",$D284),Статистика!$D$7:$D$1006,IF($E284="","&lt;&gt;§",$E284)))</f>
        <v/>
      </c>
      <c r="Y284" s="1"/>
      <c r="Z284" s="1"/>
      <c r="AA284" s="1"/>
      <c r="AB284" s="1"/>
      <c r="AC284" s="1"/>
      <c r="AD284" s="1"/>
    </row>
    <row r="285" customFormat="false" ht="30" hidden="false" customHeight="true" outlineLevel="0" collapsed="false">
      <c r="A285" s="1"/>
      <c r="B285" s="49" t="str">
        <f aca="false">IF($C285="","",ROW()-8)</f>
        <v/>
      </c>
      <c r="C285" s="35"/>
      <c r="D285" s="8"/>
      <c r="E285" s="26"/>
      <c r="F285" s="26"/>
      <c r="G285" s="50"/>
      <c r="H285" s="50"/>
      <c r="I285" s="30" t="str">
        <f aca="false">IF($C285="","",IFERROR(S285/T285,"—"))</f>
        <v/>
      </c>
      <c r="J285" s="30" t="str">
        <f aca="false">IF($C285="","",IFERROR(V285/W285,"—"))</f>
        <v/>
      </c>
      <c r="K285" s="41" t="str">
        <f aca="false">IF($C285="","",IFERROR(J285/I285-1,""))</f>
        <v/>
      </c>
      <c r="L285" s="41" t="str">
        <f aca="false">IF($C285="","",IFERROR((U285-S285)/S285,"—"))</f>
        <v/>
      </c>
      <c r="M285" s="41" t="str">
        <f aca="false">IF($C285="","",IFERROR((X285-V285)/V285,"—"))</f>
        <v/>
      </c>
      <c r="N285" s="39" t="str">
        <f aca="false">IF($C285="","",T285/$D$5)</f>
        <v/>
      </c>
      <c r="O285" s="39" t="str">
        <f aca="false">IF($C285="","",W285/$D$5)</f>
        <v/>
      </c>
      <c r="P285" s="51" t="str">
        <f aca="false">IF($C285="","",IF(MAX(Статистика!$B$7:$B$1006)&lt;$C285+$D$5,"Чекаємо даних",IF(S285=0,"Новий (без бази)",IF(OR(T285=0,W285=0),"Мало даних",IF(K285&lt;=-$F$5,"Покращило",IF(K285&gt;=$F$5,"Погіршило","Без змін"))))))</f>
        <v/>
      </c>
      <c r="Q285" s="50"/>
      <c r="R285" s="1"/>
      <c r="S285" s="52" t="str">
        <f aca="false">IF($C285="","",SUMIFS(Статистика!$E$7:$E$1006,Статистика!$B$7:$B$1006,"&gt;="&amp;($C285-$D$5),Статистика!$B$7:$B$1006,"&lt;="&amp;($C285-1),Статистика!$C$7:$C$1006,IF($D285="","&lt;&gt;§",$D285),Статистика!$D$7:$D$1006,IF($E285="","&lt;&gt;§",$E285)))</f>
        <v/>
      </c>
      <c r="T285" s="52" t="str">
        <f aca="false">IF($C285="","",SUMIFS(Статистика!$H$7:$H$1006,Статистика!$B$7:$B$1006,"&gt;="&amp;($C285-$D$5),Статистика!$B$7:$B$1006,"&lt;="&amp;($C285-1),Статистика!$C$7:$C$1006,IF($D285="","&lt;&gt;§",$D285),Статистика!$D$7:$D$1006,IF($E285="","&lt;&gt;§",$E285)))</f>
        <v/>
      </c>
      <c r="U285" s="52" t="str">
        <f aca="false">IF($C285="","",SUMIFS(Статистика!$T$7:$T$1006,Статистика!$B$7:$B$1006,"&gt;="&amp;($C285-$D$5),Статистика!$B$7:$B$1006,"&lt;="&amp;($C285-1),Статистика!$C$7:$C$1006,IF($D285="","&lt;&gt;§",$D285),Статистика!$D$7:$D$1006,IF($E285="","&lt;&gt;§",$E285)))</f>
        <v/>
      </c>
      <c r="V285" s="52" t="str">
        <f aca="false">IF($C285="","",SUMIFS(Статистика!$E$7:$E$1006,Статистика!$B$7:$B$1006,"&gt;="&amp;($C285+1),Статистика!$B$7:$B$1006,"&lt;="&amp;($C285+$D$5),Статистика!$C$7:$C$1006,IF($D285="","&lt;&gt;§",$D285),Статистика!$D$7:$D$1006,IF($E285="","&lt;&gt;§",$E285)))</f>
        <v/>
      </c>
      <c r="W285" s="52" t="str">
        <f aca="false">IF($C285="","",SUMIFS(Статистика!$H$7:$H$1006,Статистика!$B$7:$B$1006,"&gt;="&amp;($C285+1),Статистика!$B$7:$B$1006,"&lt;="&amp;($C285+$D$5),Статистика!$C$7:$C$1006,IF($D285="","&lt;&gt;§",$D285),Статистика!$D$7:$D$1006,IF($E285="","&lt;&gt;§",$E285)))</f>
        <v/>
      </c>
      <c r="X285" s="52" t="str">
        <f aca="false">IF($C285="","",SUMIFS(Статистика!$T$7:$T$1006,Статистика!$B$7:$B$1006,"&gt;="&amp;($C285+1),Статистика!$B$7:$B$1006,"&lt;="&amp;($C285+$D$5),Статистика!$C$7:$C$1006,IF($D285="","&lt;&gt;§",$D285),Статистика!$D$7:$D$1006,IF($E285="","&lt;&gt;§",$E285)))</f>
        <v/>
      </c>
      <c r="Y285" s="1"/>
      <c r="Z285" s="1"/>
      <c r="AA285" s="1"/>
      <c r="AB285" s="1"/>
      <c r="AC285" s="1"/>
      <c r="AD285" s="1"/>
    </row>
    <row r="286" customFormat="false" ht="30" hidden="false" customHeight="true" outlineLevel="0" collapsed="false">
      <c r="A286" s="1"/>
      <c r="B286" s="49" t="str">
        <f aca="false">IF($C286="","",ROW()-8)</f>
        <v/>
      </c>
      <c r="C286" s="35"/>
      <c r="D286" s="8"/>
      <c r="E286" s="26"/>
      <c r="F286" s="26"/>
      <c r="G286" s="50"/>
      <c r="H286" s="50"/>
      <c r="I286" s="30" t="str">
        <f aca="false">IF($C286="","",IFERROR(S286/T286,"—"))</f>
        <v/>
      </c>
      <c r="J286" s="30" t="str">
        <f aca="false">IF($C286="","",IFERROR(V286/W286,"—"))</f>
        <v/>
      </c>
      <c r="K286" s="41" t="str">
        <f aca="false">IF($C286="","",IFERROR(J286/I286-1,""))</f>
        <v/>
      </c>
      <c r="L286" s="41" t="str">
        <f aca="false">IF($C286="","",IFERROR((U286-S286)/S286,"—"))</f>
        <v/>
      </c>
      <c r="M286" s="41" t="str">
        <f aca="false">IF($C286="","",IFERROR((X286-V286)/V286,"—"))</f>
        <v/>
      </c>
      <c r="N286" s="39" t="str">
        <f aca="false">IF($C286="","",T286/$D$5)</f>
        <v/>
      </c>
      <c r="O286" s="39" t="str">
        <f aca="false">IF($C286="","",W286/$D$5)</f>
        <v/>
      </c>
      <c r="P286" s="51" t="str">
        <f aca="false">IF($C286="","",IF(MAX(Статистика!$B$7:$B$1006)&lt;$C286+$D$5,"Чекаємо даних",IF(S286=0,"Новий (без бази)",IF(OR(T286=0,W286=0),"Мало даних",IF(K286&lt;=-$F$5,"Покращило",IF(K286&gt;=$F$5,"Погіршило","Без змін"))))))</f>
        <v/>
      </c>
      <c r="Q286" s="50"/>
      <c r="R286" s="1"/>
      <c r="S286" s="52" t="str">
        <f aca="false">IF($C286="","",SUMIFS(Статистика!$E$7:$E$1006,Статистика!$B$7:$B$1006,"&gt;="&amp;($C286-$D$5),Статистика!$B$7:$B$1006,"&lt;="&amp;($C286-1),Статистика!$C$7:$C$1006,IF($D286="","&lt;&gt;§",$D286),Статистика!$D$7:$D$1006,IF($E286="","&lt;&gt;§",$E286)))</f>
        <v/>
      </c>
      <c r="T286" s="52" t="str">
        <f aca="false">IF($C286="","",SUMIFS(Статистика!$H$7:$H$1006,Статистика!$B$7:$B$1006,"&gt;="&amp;($C286-$D$5),Статистика!$B$7:$B$1006,"&lt;="&amp;($C286-1),Статистика!$C$7:$C$1006,IF($D286="","&lt;&gt;§",$D286),Статистика!$D$7:$D$1006,IF($E286="","&lt;&gt;§",$E286)))</f>
        <v/>
      </c>
      <c r="U286" s="52" t="str">
        <f aca="false">IF($C286="","",SUMIFS(Статистика!$T$7:$T$1006,Статистика!$B$7:$B$1006,"&gt;="&amp;($C286-$D$5),Статистика!$B$7:$B$1006,"&lt;="&amp;($C286-1),Статистика!$C$7:$C$1006,IF($D286="","&lt;&gt;§",$D286),Статистика!$D$7:$D$1006,IF($E286="","&lt;&gt;§",$E286)))</f>
        <v/>
      </c>
      <c r="V286" s="52" t="str">
        <f aca="false">IF($C286="","",SUMIFS(Статистика!$E$7:$E$1006,Статистика!$B$7:$B$1006,"&gt;="&amp;($C286+1),Статистика!$B$7:$B$1006,"&lt;="&amp;($C286+$D$5),Статистика!$C$7:$C$1006,IF($D286="","&lt;&gt;§",$D286),Статистика!$D$7:$D$1006,IF($E286="","&lt;&gt;§",$E286)))</f>
        <v/>
      </c>
      <c r="W286" s="52" t="str">
        <f aca="false">IF($C286="","",SUMIFS(Статистика!$H$7:$H$1006,Статистика!$B$7:$B$1006,"&gt;="&amp;($C286+1),Статистика!$B$7:$B$1006,"&lt;="&amp;($C286+$D$5),Статистика!$C$7:$C$1006,IF($D286="","&lt;&gt;§",$D286),Статистика!$D$7:$D$1006,IF($E286="","&lt;&gt;§",$E286)))</f>
        <v/>
      </c>
      <c r="X286" s="52" t="str">
        <f aca="false">IF($C286="","",SUMIFS(Статистика!$T$7:$T$1006,Статистика!$B$7:$B$1006,"&gt;="&amp;($C286+1),Статистика!$B$7:$B$1006,"&lt;="&amp;($C286+$D$5),Статистика!$C$7:$C$1006,IF($D286="","&lt;&gt;§",$D286),Статистика!$D$7:$D$1006,IF($E286="","&lt;&gt;§",$E286)))</f>
        <v/>
      </c>
      <c r="Y286" s="1"/>
      <c r="Z286" s="1"/>
      <c r="AA286" s="1"/>
      <c r="AB286" s="1"/>
      <c r="AC286" s="1"/>
      <c r="AD286" s="1"/>
    </row>
    <row r="287" customFormat="false" ht="30" hidden="false" customHeight="true" outlineLevel="0" collapsed="false">
      <c r="A287" s="1"/>
      <c r="B287" s="49" t="str">
        <f aca="false">IF($C287="","",ROW()-8)</f>
        <v/>
      </c>
      <c r="C287" s="35"/>
      <c r="D287" s="8"/>
      <c r="E287" s="26"/>
      <c r="F287" s="26"/>
      <c r="G287" s="50"/>
      <c r="H287" s="50"/>
      <c r="I287" s="30" t="str">
        <f aca="false">IF($C287="","",IFERROR(S287/T287,"—"))</f>
        <v/>
      </c>
      <c r="J287" s="30" t="str">
        <f aca="false">IF($C287="","",IFERROR(V287/W287,"—"))</f>
        <v/>
      </c>
      <c r="K287" s="41" t="str">
        <f aca="false">IF($C287="","",IFERROR(J287/I287-1,""))</f>
        <v/>
      </c>
      <c r="L287" s="41" t="str">
        <f aca="false">IF($C287="","",IFERROR((U287-S287)/S287,"—"))</f>
        <v/>
      </c>
      <c r="M287" s="41" t="str">
        <f aca="false">IF($C287="","",IFERROR((X287-V287)/V287,"—"))</f>
        <v/>
      </c>
      <c r="N287" s="39" t="str">
        <f aca="false">IF($C287="","",T287/$D$5)</f>
        <v/>
      </c>
      <c r="O287" s="39" t="str">
        <f aca="false">IF($C287="","",W287/$D$5)</f>
        <v/>
      </c>
      <c r="P287" s="51" t="str">
        <f aca="false">IF($C287="","",IF(MAX(Статистика!$B$7:$B$1006)&lt;$C287+$D$5,"Чекаємо даних",IF(S287=0,"Новий (без бази)",IF(OR(T287=0,W287=0),"Мало даних",IF(K287&lt;=-$F$5,"Покращило",IF(K287&gt;=$F$5,"Погіршило","Без змін"))))))</f>
        <v/>
      </c>
      <c r="Q287" s="50"/>
      <c r="R287" s="1"/>
      <c r="S287" s="52" t="str">
        <f aca="false">IF($C287="","",SUMIFS(Статистика!$E$7:$E$1006,Статистика!$B$7:$B$1006,"&gt;="&amp;($C287-$D$5),Статистика!$B$7:$B$1006,"&lt;="&amp;($C287-1),Статистика!$C$7:$C$1006,IF($D287="","&lt;&gt;§",$D287),Статистика!$D$7:$D$1006,IF($E287="","&lt;&gt;§",$E287)))</f>
        <v/>
      </c>
      <c r="T287" s="52" t="str">
        <f aca="false">IF($C287="","",SUMIFS(Статистика!$H$7:$H$1006,Статистика!$B$7:$B$1006,"&gt;="&amp;($C287-$D$5),Статистика!$B$7:$B$1006,"&lt;="&amp;($C287-1),Статистика!$C$7:$C$1006,IF($D287="","&lt;&gt;§",$D287),Статистика!$D$7:$D$1006,IF($E287="","&lt;&gt;§",$E287)))</f>
        <v/>
      </c>
      <c r="U287" s="52" t="str">
        <f aca="false">IF($C287="","",SUMIFS(Статистика!$T$7:$T$1006,Статистика!$B$7:$B$1006,"&gt;="&amp;($C287-$D$5),Статистика!$B$7:$B$1006,"&lt;="&amp;($C287-1),Статистика!$C$7:$C$1006,IF($D287="","&lt;&gt;§",$D287),Статистика!$D$7:$D$1006,IF($E287="","&lt;&gt;§",$E287)))</f>
        <v/>
      </c>
      <c r="V287" s="52" t="str">
        <f aca="false">IF($C287="","",SUMIFS(Статистика!$E$7:$E$1006,Статистика!$B$7:$B$1006,"&gt;="&amp;($C287+1),Статистика!$B$7:$B$1006,"&lt;="&amp;($C287+$D$5),Статистика!$C$7:$C$1006,IF($D287="","&lt;&gt;§",$D287),Статистика!$D$7:$D$1006,IF($E287="","&lt;&gt;§",$E287)))</f>
        <v/>
      </c>
      <c r="W287" s="52" t="str">
        <f aca="false">IF($C287="","",SUMIFS(Статистика!$H$7:$H$1006,Статистика!$B$7:$B$1006,"&gt;="&amp;($C287+1),Статистика!$B$7:$B$1006,"&lt;="&amp;($C287+$D$5),Статистика!$C$7:$C$1006,IF($D287="","&lt;&gt;§",$D287),Статистика!$D$7:$D$1006,IF($E287="","&lt;&gt;§",$E287)))</f>
        <v/>
      </c>
      <c r="X287" s="52" t="str">
        <f aca="false">IF($C287="","",SUMIFS(Статистика!$T$7:$T$1006,Статистика!$B$7:$B$1006,"&gt;="&amp;($C287+1),Статистика!$B$7:$B$1006,"&lt;="&amp;($C287+$D$5),Статистика!$C$7:$C$1006,IF($D287="","&lt;&gt;§",$D287),Статистика!$D$7:$D$1006,IF($E287="","&lt;&gt;§",$E287)))</f>
        <v/>
      </c>
      <c r="Y287" s="1"/>
      <c r="Z287" s="1"/>
      <c r="AA287" s="1"/>
      <c r="AB287" s="1"/>
      <c r="AC287" s="1"/>
      <c r="AD287" s="1"/>
    </row>
    <row r="288" customFormat="false" ht="30" hidden="false" customHeight="true" outlineLevel="0" collapsed="false">
      <c r="A288" s="1"/>
      <c r="B288" s="49" t="str">
        <f aca="false">IF($C288="","",ROW()-8)</f>
        <v/>
      </c>
      <c r="C288" s="35"/>
      <c r="D288" s="8"/>
      <c r="E288" s="26"/>
      <c r="F288" s="26"/>
      <c r="G288" s="50"/>
      <c r="H288" s="50"/>
      <c r="I288" s="30" t="str">
        <f aca="false">IF($C288="","",IFERROR(S288/T288,"—"))</f>
        <v/>
      </c>
      <c r="J288" s="30" t="str">
        <f aca="false">IF($C288="","",IFERROR(V288/W288,"—"))</f>
        <v/>
      </c>
      <c r="K288" s="41" t="str">
        <f aca="false">IF($C288="","",IFERROR(J288/I288-1,""))</f>
        <v/>
      </c>
      <c r="L288" s="41" t="str">
        <f aca="false">IF($C288="","",IFERROR((U288-S288)/S288,"—"))</f>
        <v/>
      </c>
      <c r="M288" s="41" t="str">
        <f aca="false">IF($C288="","",IFERROR((X288-V288)/V288,"—"))</f>
        <v/>
      </c>
      <c r="N288" s="39" t="str">
        <f aca="false">IF($C288="","",T288/$D$5)</f>
        <v/>
      </c>
      <c r="O288" s="39" t="str">
        <f aca="false">IF($C288="","",W288/$D$5)</f>
        <v/>
      </c>
      <c r="P288" s="51" t="str">
        <f aca="false">IF($C288="","",IF(MAX(Статистика!$B$7:$B$1006)&lt;$C288+$D$5,"Чекаємо даних",IF(S288=0,"Новий (без бази)",IF(OR(T288=0,W288=0),"Мало даних",IF(K288&lt;=-$F$5,"Покращило",IF(K288&gt;=$F$5,"Погіршило","Без змін"))))))</f>
        <v/>
      </c>
      <c r="Q288" s="50"/>
      <c r="R288" s="1"/>
      <c r="S288" s="52" t="str">
        <f aca="false">IF($C288="","",SUMIFS(Статистика!$E$7:$E$1006,Статистика!$B$7:$B$1006,"&gt;="&amp;($C288-$D$5),Статистика!$B$7:$B$1006,"&lt;="&amp;($C288-1),Статистика!$C$7:$C$1006,IF($D288="","&lt;&gt;§",$D288),Статистика!$D$7:$D$1006,IF($E288="","&lt;&gt;§",$E288)))</f>
        <v/>
      </c>
      <c r="T288" s="52" t="str">
        <f aca="false">IF($C288="","",SUMIFS(Статистика!$H$7:$H$1006,Статистика!$B$7:$B$1006,"&gt;="&amp;($C288-$D$5),Статистика!$B$7:$B$1006,"&lt;="&amp;($C288-1),Статистика!$C$7:$C$1006,IF($D288="","&lt;&gt;§",$D288),Статистика!$D$7:$D$1006,IF($E288="","&lt;&gt;§",$E288)))</f>
        <v/>
      </c>
      <c r="U288" s="52" t="str">
        <f aca="false">IF($C288="","",SUMIFS(Статистика!$T$7:$T$1006,Статистика!$B$7:$B$1006,"&gt;="&amp;($C288-$D$5),Статистика!$B$7:$B$1006,"&lt;="&amp;($C288-1),Статистика!$C$7:$C$1006,IF($D288="","&lt;&gt;§",$D288),Статистика!$D$7:$D$1006,IF($E288="","&lt;&gt;§",$E288)))</f>
        <v/>
      </c>
      <c r="V288" s="52" t="str">
        <f aca="false">IF($C288="","",SUMIFS(Статистика!$E$7:$E$1006,Статистика!$B$7:$B$1006,"&gt;="&amp;($C288+1),Статистика!$B$7:$B$1006,"&lt;="&amp;($C288+$D$5),Статистика!$C$7:$C$1006,IF($D288="","&lt;&gt;§",$D288),Статистика!$D$7:$D$1006,IF($E288="","&lt;&gt;§",$E288)))</f>
        <v/>
      </c>
      <c r="W288" s="52" t="str">
        <f aca="false">IF($C288="","",SUMIFS(Статистика!$H$7:$H$1006,Статистика!$B$7:$B$1006,"&gt;="&amp;($C288+1),Статистика!$B$7:$B$1006,"&lt;="&amp;($C288+$D$5),Статистика!$C$7:$C$1006,IF($D288="","&lt;&gt;§",$D288),Статистика!$D$7:$D$1006,IF($E288="","&lt;&gt;§",$E288)))</f>
        <v/>
      </c>
      <c r="X288" s="52" t="str">
        <f aca="false">IF($C288="","",SUMIFS(Статистика!$T$7:$T$1006,Статистика!$B$7:$B$1006,"&gt;="&amp;($C288+1),Статистика!$B$7:$B$1006,"&lt;="&amp;($C288+$D$5),Статистика!$C$7:$C$1006,IF($D288="","&lt;&gt;§",$D288),Статистика!$D$7:$D$1006,IF($E288="","&lt;&gt;§",$E288)))</f>
        <v/>
      </c>
      <c r="Y288" s="1"/>
      <c r="Z288" s="1"/>
      <c r="AA288" s="1"/>
      <c r="AB288" s="1"/>
      <c r="AC288" s="1"/>
      <c r="AD288" s="1"/>
    </row>
    <row r="289" customFormat="false" ht="30" hidden="false" customHeight="true" outlineLevel="0" collapsed="false">
      <c r="A289" s="1"/>
      <c r="B289" s="49" t="str">
        <f aca="false">IF($C289="","",ROW()-8)</f>
        <v/>
      </c>
      <c r="C289" s="35"/>
      <c r="D289" s="8"/>
      <c r="E289" s="26"/>
      <c r="F289" s="26"/>
      <c r="G289" s="50"/>
      <c r="H289" s="50"/>
      <c r="I289" s="30" t="str">
        <f aca="false">IF($C289="","",IFERROR(S289/T289,"—"))</f>
        <v/>
      </c>
      <c r="J289" s="30" t="str">
        <f aca="false">IF($C289="","",IFERROR(V289/W289,"—"))</f>
        <v/>
      </c>
      <c r="K289" s="41" t="str">
        <f aca="false">IF($C289="","",IFERROR(J289/I289-1,""))</f>
        <v/>
      </c>
      <c r="L289" s="41" t="str">
        <f aca="false">IF($C289="","",IFERROR((U289-S289)/S289,"—"))</f>
        <v/>
      </c>
      <c r="M289" s="41" t="str">
        <f aca="false">IF($C289="","",IFERROR((X289-V289)/V289,"—"))</f>
        <v/>
      </c>
      <c r="N289" s="39" t="str">
        <f aca="false">IF($C289="","",T289/$D$5)</f>
        <v/>
      </c>
      <c r="O289" s="39" t="str">
        <f aca="false">IF($C289="","",W289/$D$5)</f>
        <v/>
      </c>
      <c r="P289" s="51" t="str">
        <f aca="false">IF($C289="","",IF(MAX(Статистика!$B$7:$B$1006)&lt;$C289+$D$5,"Чекаємо даних",IF(S289=0,"Новий (без бази)",IF(OR(T289=0,W289=0),"Мало даних",IF(K289&lt;=-$F$5,"Покращило",IF(K289&gt;=$F$5,"Погіршило","Без змін"))))))</f>
        <v/>
      </c>
      <c r="Q289" s="50"/>
      <c r="R289" s="1"/>
      <c r="S289" s="52" t="str">
        <f aca="false">IF($C289="","",SUMIFS(Статистика!$E$7:$E$1006,Статистика!$B$7:$B$1006,"&gt;="&amp;($C289-$D$5),Статистика!$B$7:$B$1006,"&lt;="&amp;($C289-1),Статистика!$C$7:$C$1006,IF($D289="","&lt;&gt;§",$D289),Статистика!$D$7:$D$1006,IF($E289="","&lt;&gt;§",$E289)))</f>
        <v/>
      </c>
      <c r="T289" s="52" t="str">
        <f aca="false">IF($C289="","",SUMIFS(Статистика!$H$7:$H$1006,Статистика!$B$7:$B$1006,"&gt;="&amp;($C289-$D$5),Статистика!$B$7:$B$1006,"&lt;="&amp;($C289-1),Статистика!$C$7:$C$1006,IF($D289="","&lt;&gt;§",$D289),Статистика!$D$7:$D$1006,IF($E289="","&lt;&gt;§",$E289)))</f>
        <v/>
      </c>
      <c r="U289" s="52" t="str">
        <f aca="false">IF($C289="","",SUMIFS(Статистика!$T$7:$T$1006,Статистика!$B$7:$B$1006,"&gt;="&amp;($C289-$D$5),Статистика!$B$7:$B$1006,"&lt;="&amp;($C289-1),Статистика!$C$7:$C$1006,IF($D289="","&lt;&gt;§",$D289),Статистика!$D$7:$D$1006,IF($E289="","&lt;&gt;§",$E289)))</f>
        <v/>
      </c>
      <c r="V289" s="52" t="str">
        <f aca="false">IF($C289="","",SUMIFS(Статистика!$E$7:$E$1006,Статистика!$B$7:$B$1006,"&gt;="&amp;($C289+1),Статистика!$B$7:$B$1006,"&lt;="&amp;($C289+$D$5),Статистика!$C$7:$C$1006,IF($D289="","&lt;&gt;§",$D289),Статистика!$D$7:$D$1006,IF($E289="","&lt;&gt;§",$E289)))</f>
        <v/>
      </c>
      <c r="W289" s="52" t="str">
        <f aca="false">IF($C289="","",SUMIFS(Статистика!$H$7:$H$1006,Статистика!$B$7:$B$1006,"&gt;="&amp;($C289+1),Статистика!$B$7:$B$1006,"&lt;="&amp;($C289+$D$5),Статистика!$C$7:$C$1006,IF($D289="","&lt;&gt;§",$D289),Статистика!$D$7:$D$1006,IF($E289="","&lt;&gt;§",$E289)))</f>
        <v/>
      </c>
      <c r="X289" s="52" t="str">
        <f aca="false">IF($C289="","",SUMIFS(Статистика!$T$7:$T$1006,Статистика!$B$7:$B$1006,"&gt;="&amp;($C289+1),Статистика!$B$7:$B$1006,"&lt;="&amp;($C289+$D$5),Статистика!$C$7:$C$1006,IF($D289="","&lt;&gt;§",$D289),Статистика!$D$7:$D$1006,IF($E289="","&lt;&gt;§",$E289)))</f>
        <v/>
      </c>
      <c r="Y289" s="1"/>
      <c r="Z289" s="1"/>
      <c r="AA289" s="1"/>
      <c r="AB289" s="1"/>
      <c r="AC289" s="1"/>
      <c r="AD289" s="1"/>
    </row>
    <row r="290" customFormat="false" ht="30" hidden="false" customHeight="true" outlineLevel="0" collapsed="false">
      <c r="A290" s="1"/>
      <c r="B290" s="49" t="str">
        <f aca="false">IF($C290="","",ROW()-8)</f>
        <v/>
      </c>
      <c r="C290" s="35"/>
      <c r="D290" s="8"/>
      <c r="E290" s="26"/>
      <c r="F290" s="26"/>
      <c r="G290" s="50"/>
      <c r="H290" s="50"/>
      <c r="I290" s="30" t="str">
        <f aca="false">IF($C290="","",IFERROR(S290/T290,"—"))</f>
        <v/>
      </c>
      <c r="J290" s="30" t="str">
        <f aca="false">IF($C290="","",IFERROR(V290/W290,"—"))</f>
        <v/>
      </c>
      <c r="K290" s="41" t="str">
        <f aca="false">IF($C290="","",IFERROR(J290/I290-1,""))</f>
        <v/>
      </c>
      <c r="L290" s="41" t="str">
        <f aca="false">IF($C290="","",IFERROR((U290-S290)/S290,"—"))</f>
        <v/>
      </c>
      <c r="M290" s="41" t="str">
        <f aca="false">IF($C290="","",IFERROR((X290-V290)/V290,"—"))</f>
        <v/>
      </c>
      <c r="N290" s="39" t="str">
        <f aca="false">IF($C290="","",T290/$D$5)</f>
        <v/>
      </c>
      <c r="O290" s="39" t="str">
        <f aca="false">IF($C290="","",W290/$D$5)</f>
        <v/>
      </c>
      <c r="P290" s="51" t="str">
        <f aca="false">IF($C290="","",IF(MAX(Статистика!$B$7:$B$1006)&lt;$C290+$D$5,"Чекаємо даних",IF(S290=0,"Новий (без бази)",IF(OR(T290=0,W290=0),"Мало даних",IF(K290&lt;=-$F$5,"Покращило",IF(K290&gt;=$F$5,"Погіршило","Без змін"))))))</f>
        <v/>
      </c>
      <c r="Q290" s="50"/>
      <c r="R290" s="1"/>
      <c r="S290" s="52" t="str">
        <f aca="false">IF($C290="","",SUMIFS(Статистика!$E$7:$E$1006,Статистика!$B$7:$B$1006,"&gt;="&amp;($C290-$D$5),Статистика!$B$7:$B$1006,"&lt;="&amp;($C290-1),Статистика!$C$7:$C$1006,IF($D290="","&lt;&gt;§",$D290),Статистика!$D$7:$D$1006,IF($E290="","&lt;&gt;§",$E290)))</f>
        <v/>
      </c>
      <c r="T290" s="52" t="str">
        <f aca="false">IF($C290="","",SUMIFS(Статистика!$H$7:$H$1006,Статистика!$B$7:$B$1006,"&gt;="&amp;($C290-$D$5),Статистика!$B$7:$B$1006,"&lt;="&amp;($C290-1),Статистика!$C$7:$C$1006,IF($D290="","&lt;&gt;§",$D290),Статистика!$D$7:$D$1006,IF($E290="","&lt;&gt;§",$E290)))</f>
        <v/>
      </c>
      <c r="U290" s="52" t="str">
        <f aca="false">IF($C290="","",SUMIFS(Статистика!$T$7:$T$1006,Статистика!$B$7:$B$1006,"&gt;="&amp;($C290-$D$5),Статистика!$B$7:$B$1006,"&lt;="&amp;($C290-1),Статистика!$C$7:$C$1006,IF($D290="","&lt;&gt;§",$D290),Статистика!$D$7:$D$1006,IF($E290="","&lt;&gt;§",$E290)))</f>
        <v/>
      </c>
      <c r="V290" s="52" t="str">
        <f aca="false">IF($C290="","",SUMIFS(Статистика!$E$7:$E$1006,Статистика!$B$7:$B$1006,"&gt;="&amp;($C290+1),Статистика!$B$7:$B$1006,"&lt;="&amp;($C290+$D$5),Статистика!$C$7:$C$1006,IF($D290="","&lt;&gt;§",$D290),Статистика!$D$7:$D$1006,IF($E290="","&lt;&gt;§",$E290)))</f>
        <v/>
      </c>
      <c r="W290" s="52" t="str">
        <f aca="false">IF($C290="","",SUMIFS(Статистика!$H$7:$H$1006,Статистика!$B$7:$B$1006,"&gt;="&amp;($C290+1),Статистика!$B$7:$B$1006,"&lt;="&amp;($C290+$D$5),Статистика!$C$7:$C$1006,IF($D290="","&lt;&gt;§",$D290),Статистика!$D$7:$D$1006,IF($E290="","&lt;&gt;§",$E290)))</f>
        <v/>
      </c>
      <c r="X290" s="52" t="str">
        <f aca="false">IF($C290="","",SUMIFS(Статистика!$T$7:$T$1006,Статистика!$B$7:$B$1006,"&gt;="&amp;($C290+1),Статистика!$B$7:$B$1006,"&lt;="&amp;($C290+$D$5),Статистика!$C$7:$C$1006,IF($D290="","&lt;&gt;§",$D290),Статистика!$D$7:$D$1006,IF($E290="","&lt;&gt;§",$E290)))</f>
        <v/>
      </c>
      <c r="Y290" s="1"/>
      <c r="Z290" s="1"/>
      <c r="AA290" s="1"/>
      <c r="AB290" s="1"/>
      <c r="AC290" s="1"/>
      <c r="AD290" s="1"/>
    </row>
    <row r="291" customFormat="false" ht="30" hidden="false" customHeight="true" outlineLevel="0" collapsed="false">
      <c r="A291" s="1"/>
      <c r="B291" s="49" t="str">
        <f aca="false">IF($C291="","",ROW()-8)</f>
        <v/>
      </c>
      <c r="C291" s="35"/>
      <c r="D291" s="8"/>
      <c r="E291" s="26"/>
      <c r="F291" s="26"/>
      <c r="G291" s="50"/>
      <c r="H291" s="50"/>
      <c r="I291" s="30" t="str">
        <f aca="false">IF($C291="","",IFERROR(S291/T291,"—"))</f>
        <v/>
      </c>
      <c r="J291" s="30" t="str">
        <f aca="false">IF($C291="","",IFERROR(V291/W291,"—"))</f>
        <v/>
      </c>
      <c r="K291" s="41" t="str">
        <f aca="false">IF($C291="","",IFERROR(J291/I291-1,""))</f>
        <v/>
      </c>
      <c r="L291" s="41" t="str">
        <f aca="false">IF($C291="","",IFERROR((U291-S291)/S291,"—"))</f>
        <v/>
      </c>
      <c r="M291" s="41" t="str">
        <f aca="false">IF($C291="","",IFERROR((X291-V291)/V291,"—"))</f>
        <v/>
      </c>
      <c r="N291" s="39" t="str">
        <f aca="false">IF($C291="","",T291/$D$5)</f>
        <v/>
      </c>
      <c r="O291" s="39" t="str">
        <f aca="false">IF($C291="","",W291/$D$5)</f>
        <v/>
      </c>
      <c r="P291" s="51" t="str">
        <f aca="false">IF($C291="","",IF(MAX(Статистика!$B$7:$B$1006)&lt;$C291+$D$5,"Чекаємо даних",IF(S291=0,"Новий (без бази)",IF(OR(T291=0,W291=0),"Мало даних",IF(K291&lt;=-$F$5,"Покращило",IF(K291&gt;=$F$5,"Погіршило","Без змін"))))))</f>
        <v/>
      </c>
      <c r="Q291" s="50"/>
      <c r="R291" s="1"/>
      <c r="S291" s="52" t="str">
        <f aca="false">IF($C291="","",SUMIFS(Статистика!$E$7:$E$1006,Статистика!$B$7:$B$1006,"&gt;="&amp;($C291-$D$5),Статистика!$B$7:$B$1006,"&lt;="&amp;($C291-1),Статистика!$C$7:$C$1006,IF($D291="","&lt;&gt;§",$D291),Статистика!$D$7:$D$1006,IF($E291="","&lt;&gt;§",$E291)))</f>
        <v/>
      </c>
      <c r="T291" s="52" t="str">
        <f aca="false">IF($C291="","",SUMIFS(Статистика!$H$7:$H$1006,Статистика!$B$7:$B$1006,"&gt;="&amp;($C291-$D$5),Статистика!$B$7:$B$1006,"&lt;="&amp;($C291-1),Статистика!$C$7:$C$1006,IF($D291="","&lt;&gt;§",$D291),Статистика!$D$7:$D$1006,IF($E291="","&lt;&gt;§",$E291)))</f>
        <v/>
      </c>
      <c r="U291" s="52" t="str">
        <f aca="false">IF($C291="","",SUMIFS(Статистика!$T$7:$T$1006,Статистика!$B$7:$B$1006,"&gt;="&amp;($C291-$D$5),Статистика!$B$7:$B$1006,"&lt;="&amp;($C291-1),Статистика!$C$7:$C$1006,IF($D291="","&lt;&gt;§",$D291),Статистика!$D$7:$D$1006,IF($E291="","&lt;&gt;§",$E291)))</f>
        <v/>
      </c>
      <c r="V291" s="52" t="str">
        <f aca="false">IF($C291="","",SUMIFS(Статистика!$E$7:$E$1006,Статистика!$B$7:$B$1006,"&gt;="&amp;($C291+1),Статистика!$B$7:$B$1006,"&lt;="&amp;($C291+$D$5),Статистика!$C$7:$C$1006,IF($D291="","&lt;&gt;§",$D291),Статистика!$D$7:$D$1006,IF($E291="","&lt;&gt;§",$E291)))</f>
        <v/>
      </c>
      <c r="W291" s="52" t="str">
        <f aca="false">IF($C291="","",SUMIFS(Статистика!$H$7:$H$1006,Статистика!$B$7:$B$1006,"&gt;="&amp;($C291+1),Статистика!$B$7:$B$1006,"&lt;="&amp;($C291+$D$5),Статистика!$C$7:$C$1006,IF($D291="","&lt;&gt;§",$D291),Статистика!$D$7:$D$1006,IF($E291="","&lt;&gt;§",$E291)))</f>
        <v/>
      </c>
      <c r="X291" s="52" t="str">
        <f aca="false">IF($C291="","",SUMIFS(Статистика!$T$7:$T$1006,Статистика!$B$7:$B$1006,"&gt;="&amp;($C291+1),Статистика!$B$7:$B$1006,"&lt;="&amp;($C291+$D$5),Статистика!$C$7:$C$1006,IF($D291="","&lt;&gt;§",$D291),Статистика!$D$7:$D$1006,IF($E291="","&lt;&gt;§",$E291)))</f>
        <v/>
      </c>
      <c r="Y291" s="1"/>
      <c r="Z291" s="1"/>
      <c r="AA291" s="1"/>
      <c r="AB291" s="1"/>
      <c r="AC291" s="1"/>
      <c r="AD291" s="1"/>
    </row>
    <row r="292" customFormat="false" ht="30" hidden="false" customHeight="true" outlineLevel="0" collapsed="false">
      <c r="A292" s="1"/>
      <c r="B292" s="49" t="str">
        <f aca="false">IF($C292="","",ROW()-8)</f>
        <v/>
      </c>
      <c r="C292" s="35"/>
      <c r="D292" s="8"/>
      <c r="E292" s="26"/>
      <c r="F292" s="26"/>
      <c r="G292" s="50"/>
      <c r="H292" s="50"/>
      <c r="I292" s="30" t="str">
        <f aca="false">IF($C292="","",IFERROR(S292/T292,"—"))</f>
        <v/>
      </c>
      <c r="J292" s="30" t="str">
        <f aca="false">IF($C292="","",IFERROR(V292/W292,"—"))</f>
        <v/>
      </c>
      <c r="K292" s="41" t="str">
        <f aca="false">IF($C292="","",IFERROR(J292/I292-1,""))</f>
        <v/>
      </c>
      <c r="L292" s="41" t="str">
        <f aca="false">IF($C292="","",IFERROR((U292-S292)/S292,"—"))</f>
        <v/>
      </c>
      <c r="M292" s="41" t="str">
        <f aca="false">IF($C292="","",IFERROR((X292-V292)/V292,"—"))</f>
        <v/>
      </c>
      <c r="N292" s="39" t="str">
        <f aca="false">IF($C292="","",T292/$D$5)</f>
        <v/>
      </c>
      <c r="O292" s="39" t="str">
        <f aca="false">IF($C292="","",W292/$D$5)</f>
        <v/>
      </c>
      <c r="P292" s="51" t="str">
        <f aca="false">IF($C292="","",IF(MAX(Статистика!$B$7:$B$1006)&lt;$C292+$D$5,"Чекаємо даних",IF(S292=0,"Новий (без бази)",IF(OR(T292=0,W292=0),"Мало даних",IF(K292&lt;=-$F$5,"Покращило",IF(K292&gt;=$F$5,"Погіршило","Без змін"))))))</f>
        <v/>
      </c>
      <c r="Q292" s="50"/>
      <c r="R292" s="1"/>
      <c r="S292" s="52" t="str">
        <f aca="false">IF($C292="","",SUMIFS(Статистика!$E$7:$E$1006,Статистика!$B$7:$B$1006,"&gt;="&amp;($C292-$D$5),Статистика!$B$7:$B$1006,"&lt;="&amp;($C292-1),Статистика!$C$7:$C$1006,IF($D292="","&lt;&gt;§",$D292),Статистика!$D$7:$D$1006,IF($E292="","&lt;&gt;§",$E292)))</f>
        <v/>
      </c>
      <c r="T292" s="52" t="str">
        <f aca="false">IF($C292="","",SUMIFS(Статистика!$H$7:$H$1006,Статистика!$B$7:$B$1006,"&gt;="&amp;($C292-$D$5),Статистика!$B$7:$B$1006,"&lt;="&amp;($C292-1),Статистика!$C$7:$C$1006,IF($D292="","&lt;&gt;§",$D292),Статистика!$D$7:$D$1006,IF($E292="","&lt;&gt;§",$E292)))</f>
        <v/>
      </c>
      <c r="U292" s="52" t="str">
        <f aca="false">IF($C292="","",SUMIFS(Статистика!$T$7:$T$1006,Статистика!$B$7:$B$1006,"&gt;="&amp;($C292-$D$5),Статистика!$B$7:$B$1006,"&lt;="&amp;($C292-1),Статистика!$C$7:$C$1006,IF($D292="","&lt;&gt;§",$D292),Статистика!$D$7:$D$1006,IF($E292="","&lt;&gt;§",$E292)))</f>
        <v/>
      </c>
      <c r="V292" s="52" t="str">
        <f aca="false">IF($C292="","",SUMIFS(Статистика!$E$7:$E$1006,Статистика!$B$7:$B$1006,"&gt;="&amp;($C292+1),Статистика!$B$7:$B$1006,"&lt;="&amp;($C292+$D$5),Статистика!$C$7:$C$1006,IF($D292="","&lt;&gt;§",$D292),Статистика!$D$7:$D$1006,IF($E292="","&lt;&gt;§",$E292)))</f>
        <v/>
      </c>
      <c r="W292" s="52" t="str">
        <f aca="false">IF($C292="","",SUMIFS(Статистика!$H$7:$H$1006,Статистика!$B$7:$B$1006,"&gt;="&amp;($C292+1),Статистика!$B$7:$B$1006,"&lt;="&amp;($C292+$D$5),Статистика!$C$7:$C$1006,IF($D292="","&lt;&gt;§",$D292),Статистика!$D$7:$D$1006,IF($E292="","&lt;&gt;§",$E292)))</f>
        <v/>
      </c>
      <c r="X292" s="52" t="str">
        <f aca="false">IF($C292="","",SUMIFS(Статистика!$T$7:$T$1006,Статистика!$B$7:$B$1006,"&gt;="&amp;($C292+1),Статистика!$B$7:$B$1006,"&lt;="&amp;($C292+$D$5),Статистика!$C$7:$C$1006,IF($D292="","&lt;&gt;§",$D292),Статистика!$D$7:$D$1006,IF($E292="","&lt;&gt;§",$E292)))</f>
        <v/>
      </c>
      <c r="Y292" s="1"/>
      <c r="Z292" s="1"/>
      <c r="AA292" s="1"/>
      <c r="AB292" s="1"/>
      <c r="AC292" s="1"/>
      <c r="AD292" s="1"/>
    </row>
    <row r="293" customFormat="false" ht="30" hidden="false" customHeight="true" outlineLevel="0" collapsed="false">
      <c r="A293" s="1"/>
      <c r="B293" s="49" t="str">
        <f aca="false">IF($C293="","",ROW()-8)</f>
        <v/>
      </c>
      <c r="C293" s="35"/>
      <c r="D293" s="8"/>
      <c r="E293" s="26"/>
      <c r="F293" s="26"/>
      <c r="G293" s="50"/>
      <c r="H293" s="50"/>
      <c r="I293" s="30" t="str">
        <f aca="false">IF($C293="","",IFERROR(S293/T293,"—"))</f>
        <v/>
      </c>
      <c r="J293" s="30" t="str">
        <f aca="false">IF($C293="","",IFERROR(V293/W293,"—"))</f>
        <v/>
      </c>
      <c r="K293" s="41" t="str">
        <f aca="false">IF($C293="","",IFERROR(J293/I293-1,""))</f>
        <v/>
      </c>
      <c r="L293" s="41" t="str">
        <f aca="false">IF($C293="","",IFERROR((U293-S293)/S293,"—"))</f>
        <v/>
      </c>
      <c r="M293" s="41" t="str">
        <f aca="false">IF($C293="","",IFERROR((X293-V293)/V293,"—"))</f>
        <v/>
      </c>
      <c r="N293" s="39" t="str">
        <f aca="false">IF($C293="","",T293/$D$5)</f>
        <v/>
      </c>
      <c r="O293" s="39" t="str">
        <f aca="false">IF($C293="","",W293/$D$5)</f>
        <v/>
      </c>
      <c r="P293" s="51" t="str">
        <f aca="false">IF($C293="","",IF(MAX(Статистика!$B$7:$B$1006)&lt;$C293+$D$5,"Чекаємо даних",IF(S293=0,"Новий (без бази)",IF(OR(T293=0,W293=0),"Мало даних",IF(K293&lt;=-$F$5,"Покращило",IF(K293&gt;=$F$5,"Погіршило","Без змін"))))))</f>
        <v/>
      </c>
      <c r="Q293" s="50"/>
      <c r="R293" s="1"/>
      <c r="S293" s="52" t="str">
        <f aca="false">IF($C293="","",SUMIFS(Статистика!$E$7:$E$1006,Статистика!$B$7:$B$1006,"&gt;="&amp;($C293-$D$5),Статистика!$B$7:$B$1006,"&lt;="&amp;($C293-1),Статистика!$C$7:$C$1006,IF($D293="","&lt;&gt;§",$D293),Статистика!$D$7:$D$1006,IF($E293="","&lt;&gt;§",$E293)))</f>
        <v/>
      </c>
      <c r="T293" s="52" t="str">
        <f aca="false">IF($C293="","",SUMIFS(Статистика!$H$7:$H$1006,Статистика!$B$7:$B$1006,"&gt;="&amp;($C293-$D$5),Статистика!$B$7:$B$1006,"&lt;="&amp;($C293-1),Статистика!$C$7:$C$1006,IF($D293="","&lt;&gt;§",$D293),Статистика!$D$7:$D$1006,IF($E293="","&lt;&gt;§",$E293)))</f>
        <v/>
      </c>
      <c r="U293" s="52" t="str">
        <f aca="false">IF($C293="","",SUMIFS(Статистика!$T$7:$T$1006,Статистика!$B$7:$B$1006,"&gt;="&amp;($C293-$D$5),Статистика!$B$7:$B$1006,"&lt;="&amp;($C293-1),Статистика!$C$7:$C$1006,IF($D293="","&lt;&gt;§",$D293),Статистика!$D$7:$D$1006,IF($E293="","&lt;&gt;§",$E293)))</f>
        <v/>
      </c>
      <c r="V293" s="52" t="str">
        <f aca="false">IF($C293="","",SUMIFS(Статистика!$E$7:$E$1006,Статистика!$B$7:$B$1006,"&gt;="&amp;($C293+1),Статистика!$B$7:$B$1006,"&lt;="&amp;($C293+$D$5),Статистика!$C$7:$C$1006,IF($D293="","&lt;&gt;§",$D293),Статистика!$D$7:$D$1006,IF($E293="","&lt;&gt;§",$E293)))</f>
        <v/>
      </c>
      <c r="W293" s="52" t="str">
        <f aca="false">IF($C293="","",SUMIFS(Статистика!$H$7:$H$1006,Статистика!$B$7:$B$1006,"&gt;="&amp;($C293+1),Статистика!$B$7:$B$1006,"&lt;="&amp;($C293+$D$5),Статистика!$C$7:$C$1006,IF($D293="","&lt;&gt;§",$D293),Статистика!$D$7:$D$1006,IF($E293="","&lt;&gt;§",$E293)))</f>
        <v/>
      </c>
      <c r="X293" s="52" t="str">
        <f aca="false">IF($C293="","",SUMIFS(Статистика!$T$7:$T$1006,Статистика!$B$7:$B$1006,"&gt;="&amp;($C293+1),Статистика!$B$7:$B$1006,"&lt;="&amp;($C293+$D$5),Статистика!$C$7:$C$1006,IF($D293="","&lt;&gt;§",$D293),Статистика!$D$7:$D$1006,IF($E293="","&lt;&gt;§",$E293)))</f>
        <v/>
      </c>
      <c r="Y293" s="1"/>
      <c r="Z293" s="1"/>
      <c r="AA293" s="1"/>
      <c r="AB293" s="1"/>
      <c r="AC293" s="1"/>
      <c r="AD293" s="1"/>
    </row>
    <row r="294" customFormat="false" ht="30" hidden="false" customHeight="true" outlineLevel="0" collapsed="false">
      <c r="A294" s="1"/>
      <c r="B294" s="49" t="str">
        <f aca="false">IF($C294="","",ROW()-8)</f>
        <v/>
      </c>
      <c r="C294" s="35"/>
      <c r="D294" s="8"/>
      <c r="E294" s="26"/>
      <c r="F294" s="26"/>
      <c r="G294" s="50"/>
      <c r="H294" s="50"/>
      <c r="I294" s="30" t="str">
        <f aca="false">IF($C294="","",IFERROR(S294/T294,"—"))</f>
        <v/>
      </c>
      <c r="J294" s="30" t="str">
        <f aca="false">IF($C294="","",IFERROR(V294/W294,"—"))</f>
        <v/>
      </c>
      <c r="K294" s="41" t="str">
        <f aca="false">IF($C294="","",IFERROR(J294/I294-1,""))</f>
        <v/>
      </c>
      <c r="L294" s="41" t="str">
        <f aca="false">IF($C294="","",IFERROR((U294-S294)/S294,"—"))</f>
        <v/>
      </c>
      <c r="M294" s="41" t="str">
        <f aca="false">IF($C294="","",IFERROR((X294-V294)/V294,"—"))</f>
        <v/>
      </c>
      <c r="N294" s="39" t="str">
        <f aca="false">IF($C294="","",T294/$D$5)</f>
        <v/>
      </c>
      <c r="O294" s="39" t="str">
        <f aca="false">IF($C294="","",W294/$D$5)</f>
        <v/>
      </c>
      <c r="P294" s="51" t="str">
        <f aca="false">IF($C294="","",IF(MAX(Статистика!$B$7:$B$1006)&lt;$C294+$D$5,"Чекаємо даних",IF(S294=0,"Новий (без бази)",IF(OR(T294=0,W294=0),"Мало даних",IF(K294&lt;=-$F$5,"Покращило",IF(K294&gt;=$F$5,"Погіршило","Без змін"))))))</f>
        <v/>
      </c>
      <c r="Q294" s="50"/>
      <c r="R294" s="1"/>
      <c r="S294" s="52" t="str">
        <f aca="false">IF($C294="","",SUMIFS(Статистика!$E$7:$E$1006,Статистика!$B$7:$B$1006,"&gt;="&amp;($C294-$D$5),Статистика!$B$7:$B$1006,"&lt;="&amp;($C294-1),Статистика!$C$7:$C$1006,IF($D294="","&lt;&gt;§",$D294),Статистика!$D$7:$D$1006,IF($E294="","&lt;&gt;§",$E294)))</f>
        <v/>
      </c>
      <c r="T294" s="52" t="str">
        <f aca="false">IF($C294="","",SUMIFS(Статистика!$H$7:$H$1006,Статистика!$B$7:$B$1006,"&gt;="&amp;($C294-$D$5),Статистика!$B$7:$B$1006,"&lt;="&amp;($C294-1),Статистика!$C$7:$C$1006,IF($D294="","&lt;&gt;§",$D294),Статистика!$D$7:$D$1006,IF($E294="","&lt;&gt;§",$E294)))</f>
        <v/>
      </c>
      <c r="U294" s="52" t="str">
        <f aca="false">IF($C294="","",SUMIFS(Статистика!$T$7:$T$1006,Статистика!$B$7:$B$1006,"&gt;="&amp;($C294-$D$5),Статистика!$B$7:$B$1006,"&lt;="&amp;($C294-1),Статистика!$C$7:$C$1006,IF($D294="","&lt;&gt;§",$D294),Статистика!$D$7:$D$1006,IF($E294="","&lt;&gt;§",$E294)))</f>
        <v/>
      </c>
      <c r="V294" s="52" t="str">
        <f aca="false">IF($C294="","",SUMIFS(Статистика!$E$7:$E$1006,Статистика!$B$7:$B$1006,"&gt;="&amp;($C294+1),Статистика!$B$7:$B$1006,"&lt;="&amp;($C294+$D$5),Статистика!$C$7:$C$1006,IF($D294="","&lt;&gt;§",$D294),Статистика!$D$7:$D$1006,IF($E294="","&lt;&gt;§",$E294)))</f>
        <v/>
      </c>
      <c r="W294" s="52" t="str">
        <f aca="false">IF($C294="","",SUMIFS(Статистика!$H$7:$H$1006,Статистика!$B$7:$B$1006,"&gt;="&amp;($C294+1),Статистика!$B$7:$B$1006,"&lt;="&amp;($C294+$D$5),Статистика!$C$7:$C$1006,IF($D294="","&lt;&gt;§",$D294),Статистика!$D$7:$D$1006,IF($E294="","&lt;&gt;§",$E294)))</f>
        <v/>
      </c>
      <c r="X294" s="52" t="str">
        <f aca="false">IF($C294="","",SUMIFS(Статистика!$T$7:$T$1006,Статистика!$B$7:$B$1006,"&gt;="&amp;($C294+1),Статистика!$B$7:$B$1006,"&lt;="&amp;($C294+$D$5),Статистика!$C$7:$C$1006,IF($D294="","&lt;&gt;§",$D294),Статистика!$D$7:$D$1006,IF($E294="","&lt;&gt;§",$E294)))</f>
        <v/>
      </c>
      <c r="Y294" s="1"/>
      <c r="Z294" s="1"/>
      <c r="AA294" s="1"/>
      <c r="AB294" s="1"/>
      <c r="AC294" s="1"/>
      <c r="AD294" s="1"/>
    </row>
    <row r="295" customFormat="false" ht="30" hidden="false" customHeight="true" outlineLevel="0" collapsed="false">
      <c r="A295" s="1"/>
      <c r="B295" s="49" t="str">
        <f aca="false">IF($C295="","",ROW()-8)</f>
        <v/>
      </c>
      <c r="C295" s="35"/>
      <c r="D295" s="8"/>
      <c r="E295" s="26"/>
      <c r="F295" s="26"/>
      <c r="G295" s="50"/>
      <c r="H295" s="50"/>
      <c r="I295" s="30" t="str">
        <f aca="false">IF($C295="","",IFERROR(S295/T295,"—"))</f>
        <v/>
      </c>
      <c r="J295" s="30" t="str">
        <f aca="false">IF($C295="","",IFERROR(V295/W295,"—"))</f>
        <v/>
      </c>
      <c r="K295" s="41" t="str">
        <f aca="false">IF($C295="","",IFERROR(J295/I295-1,""))</f>
        <v/>
      </c>
      <c r="L295" s="41" t="str">
        <f aca="false">IF($C295="","",IFERROR((U295-S295)/S295,"—"))</f>
        <v/>
      </c>
      <c r="M295" s="41" t="str">
        <f aca="false">IF($C295="","",IFERROR((X295-V295)/V295,"—"))</f>
        <v/>
      </c>
      <c r="N295" s="39" t="str">
        <f aca="false">IF($C295="","",T295/$D$5)</f>
        <v/>
      </c>
      <c r="O295" s="39" t="str">
        <f aca="false">IF($C295="","",W295/$D$5)</f>
        <v/>
      </c>
      <c r="P295" s="51" t="str">
        <f aca="false">IF($C295="","",IF(MAX(Статистика!$B$7:$B$1006)&lt;$C295+$D$5,"Чекаємо даних",IF(S295=0,"Новий (без бази)",IF(OR(T295=0,W295=0),"Мало даних",IF(K295&lt;=-$F$5,"Покращило",IF(K295&gt;=$F$5,"Погіршило","Без змін"))))))</f>
        <v/>
      </c>
      <c r="Q295" s="50"/>
      <c r="R295" s="1"/>
      <c r="S295" s="52" t="str">
        <f aca="false">IF($C295="","",SUMIFS(Статистика!$E$7:$E$1006,Статистика!$B$7:$B$1006,"&gt;="&amp;($C295-$D$5),Статистика!$B$7:$B$1006,"&lt;="&amp;($C295-1),Статистика!$C$7:$C$1006,IF($D295="","&lt;&gt;§",$D295),Статистика!$D$7:$D$1006,IF($E295="","&lt;&gt;§",$E295)))</f>
        <v/>
      </c>
      <c r="T295" s="52" t="str">
        <f aca="false">IF($C295="","",SUMIFS(Статистика!$H$7:$H$1006,Статистика!$B$7:$B$1006,"&gt;="&amp;($C295-$D$5),Статистика!$B$7:$B$1006,"&lt;="&amp;($C295-1),Статистика!$C$7:$C$1006,IF($D295="","&lt;&gt;§",$D295),Статистика!$D$7:$D$1006,IF($E295="","&lt;&gt;§",$E295)))</f>
        <v/>
      </c>
      <c r="U295" s="52" t="str">
        <f aca="false">IF($C295="","",SUMIFS(Статистика!$T$7:$T$1006,Статистика!$B$7:$B$1006,"&gt;="&amp;($C295-$D$5),Статистика!$B$7:$B$1006,"&lt;="&amp;($C295-1),Статистика!$C$7:$C$1006,IF($D295="","&lt;&gt;§",$D295),Статистика!$D$7:$D$1006,IF($E295="","&lt;&gt;§",$E295)))</f>
        <v/>
      </c>
      <c r="V295" s="52" t="str">
        <f aca="false">IF($C295="","",SUMIFS(Статистика!$E$7:$E$1006,Статистика!$B$7:$B$1006,"&gt;="&amp;($C295+1),Статистика!$B$7:$B$1006,"&lt;="&amp;($C295+$D$5),Статистика!$C$7:$C$1006,IF($D295="","&lt;&gt;§",$D295),Статистика!$D$7:$D$1006,IF($E295="","&lt;&gt;§",$E295)))</f>
        <v/>
      </c>
      <c r="W295" s="52" t="str">
        <f aca="false">IF($C295="","",SUMIFS(Статистика!$H$7:$H$1006,Статистика!$B$7:$B$1006,"&gt;="&amp;($C295+1),Статистика!$B$7:$B$1006,"&lt;="&amp;($C295+$D$5),Статистика!$C$7:$C$1006,IF($D295="","&lt;&gt;§",$D295),Статистика!$D$7:$D$1006,IF($E295="","&lt;&gt;§",$E295)))</f>
        <v/>
      </c>
      <c r="X295" s="52" t="str">
        <f aca="false">IF($C295="","",SUMIFS(Статистика!$T$7:$T$1006,Статистика!$B$7:$B$1006,"&gt;="&amp;($C295+1),Статистика!$B$7:$B$1006,"&lt;="&amp;($C295+$D$5),Статистика!$C$7:$C$1006,IF($D295="","&lt;&gt;§",$D295),Статистика!$D$7:$D$1006,IF($E295="","&lt;&gt;§",$E295)))</f>
        <v/>
      </c>
      <c r="Y295" s="1"/>
      <c r="Z295" s="1"/>
      <c r="AA295" s="1"/>
      <c r="AB295" s="1"/>
      <c r="AC295" s="1"/>
      <c r="AD295" s="1"/>
    </row>
    <row r="296" customFormat="false" ht="30" hidden="false" customHeight="true" outlineLevel="0" collapsed="false">
      <c r="A296" s="1"/>
      <c r="B296" s="49" t="str">
        <f aca="false">IF($C296="","",ROW()-8)</f>
        <v/>
      </c>
      <c r="C296" s="35"/>
      <c r="D296" s="8"/>
      <c r="E296" s="26"/>
      <c r="F296" s="26"/>
      <c r="G296" s="50"/>
      <c r="H296" s="50"/>
      <c r="I296" s="30" t="str">
        <f aca="false">IF($C296="","",IFERROR(S296/T296,"—"))</f>
        <v/>
      </c>
      <c r="J296" s="30" t="str">
        <f aca="false">IF($C296="","",IFERROR(V296/W296,"—"))</f>
        <v/>
      </c>
      <c r="K296" s="41" t="str">
        <f aca="false">IF($C296="","",IFERROR(J296/I296-1,""))</f>
        <v/>
      </c>
      <c r="L296" s="41" t="str">
        <f aca="false">IF($C296="","",IFERROR((U296-S296)/S296,"—"))</f>
        <v/>
      </c>
      <c r="M296" s="41" t="str">
        <f aca="false">IF($C296="","",IFERROR((X296-V296)/V296,"—"))</f>
        <v/>
      </c>
      <c r="N296" s="39" t="str">
        <f aca="false">IF($C296="","",T296/$D$5)</f>
        <v/>
      </c>
      <c r="O296" s="39" t="str">
        <f aca="false">IF($C296="","",W296/$D$5)</f>
        <v/>
      </c>
      <c r="P296" s="51" t="str">
        <f aca="false">IF($C296="","",IF(MAX(Статистика!$B$7:$B$1006)&lt;$C296+$D$5,"Чекаємо даних",IF(S296=0,"Новий (без бази)",IF(OR(T296=0,W296=0),"Мало даних",IF(K296&lt;=-$F$5,"Покращило",IF(K296&gt;=$F$5,"Погіршило","Без змін"))))))</f>
        <v/>
      </c>
      <c r="Q296" s="50"/>
      <c r="R296" s="1"/>
      <c r="S296" s="52" t="str">
        <f aca="false">IF($C296="","",SUMIFS(Статистика!$E$7:$E$1006,Статистика!$B$7:$B$1006,"&gt;="&amp;($C296-$D$5),Статистика!$B$7:$B$1006,"&lt;="&amp;($C296-1),Статистика!$C$7:$C$1006,IF($D296="","&lt;&gt;§",$D296),Статистика!$D$7:$D$1006,IF($E296="","&lt;&gt;§",$E296)))</f>
        <v/>
      </c>
      <c r="T296" s="52" t="str">
        <f aca="false">IF($C296="","",SUMIFS(Статистика!$H$7:$H$1006,Статистика!$B$7:$B$1006,"&gt;="&amp;($C296-$D$5),Статистика!$B$7:$B$1006,"&lt;="&amp;($C296-1),Статистика!$C$7:$C$1006,IF($D296="","&lt;&gt;§",$D296),Статистика!$D$7:$D$1006,IF($E296="","&lt;&gt;§",$E296)))</f>
        <v/>
      </c>
      <c r="U296" s="52" t="str">
        <f aca="false">IF($C296="","",SUMIFS(Статистика!$T$7:$T$1006,Статистика!$B$7:$B$1006,"&gt;="&amp;($C296-$D$5),Статистика!$B$7:$B$1006,"&lt;="&amp;($C296-1),Статистика!$C$7:$C$1006,IF($D296="","&lt;&gt;§",$D296),Статистика!$D$7:$D$1006,IF($E296="","&lt;&gt;§",$E296)))</f>
        <v/>
      </c>
      <c r="V296" s="52" t="str">
        <f aca="false">IF($C296="","",SUMIFS(Статистика!$E$7:$E$1006,Статистика!$B$7:$B$1006,"&gt;="&amp;($C296+1),Статистика!$B$7:$B$1006,"&lt;="&amp;($C296+$D$5),Статистика!$C$7:$C$1006,IF($D296="","&lt;&gt;§",$D296),Статистика!$D$7:$D$1006,IF($E296="","&lt;&gt;§",$E296)))</f>
        <v/>
      </c>
      <c r="W296" s="52" t="str">
        <f aca="false">IF($C296="","",SUMIFS(Статистика!$H$7:$H$1006,Статистика!$B$7:$B$1006,"&gt;="&amp;($C296+1),Статистика!$B$7:$B$1006,"&lt;="&amp;($C296+$D$5),Статистика!$C$7:$C$1006,IF($D296="","&lt;&gt;§",$D296),Статистика!$D$7:$D$1006,IF($E296="","&lt;&gt;§",$E296)))</f>
        <v/>
      </c>
      <c r="X296" s="52" t="str">
        <f aca="false">IF($C296="","",SUMIFS(Статистика!$T$7:$T$1006,Статистика!$B$7:$B$1006,"&gt;="&amp;($C296+1),Статистика!$B$7:$B$1006,"&lt;="&amp;($C296+$D$5),Статистика!$C$7:$C$1006,IF($D296="","&lt;&gt;§",$D296),Статистика!$D$7:$D$1006,IF($E296="","&lt;&gt;§",$E296)))</f>
        <v/>
      </c>
      <c r="Y296" s="1"/>
      <c r="Z296" s="1"/>
      <c r="AA296" s="1"/>
      <c r="AB296" s="1"/>
      <c r="AC296" s="1"/>
      <c r="AD296" s="1"/>
    </row>
    <row r="297" customFormat="false" ht="30" hidden="false" customHeight="true" outlineLevel="0" collapsed="false">
      <c r="A297" s="1"/>
      <c r="B297" s="49" t="str">
        <f aca="false">IF($C297="","",ROW()-8)</f>
        <v/>
      </c>
      <c r="C297" s="35"/>
      <c r="D297" s="8"/>
      <c r="E297" s="26"/>
      <c r="F297" s="26"/>
      <c r="G297" s="50"/>
      <c r="H297" s="50"/>
      <c r="I297" s="30" t="str">
        <f aca="false">IF($C297="","",IFERROR(S297/T297,"—"))</f>
        <v/>
      </c>
      <c r="J297" s="30" t="str">
        <f aca="false">IF($C297="","",IFERROR(V297/W297,"—"))</f>
        <v/>
      </c>
      <c r="K297" s="41" t="str">
        <f aca="false">IF($C297="","",IFERROR(J297/I297-1,""))</f>
        <v/>
      </c>
      <c r="L297" s="41" t="str">
        <f aca="false">IF($C297="","",IFERROR((U297-S297)/S297,"—"))</f>
        <v/>
      </c>
      <c r="M297" s="41" t="str">
        <f aca="false">IF($C297="","",IFERROR((X297-V297)/V297,"—"))</f>
        <v/>
      </c>
      <c r="N297" s="39" t="str">
        <f aca="false">IF($C297="","",T297/$D$5)</f>
        <v/>
      </c>
      <c r="O297" s="39" t="str">
        <f aca="false">IF($C297="","",W297/$D$5)</f>
        <v/>
      </c>
      <c r="P297" s="51" t="str">
        <f aca="false">IF($C297="","",IF(MAX(Статистика!$B$7:$B$1006)&lt;$C297+$D$5,"Чекаємо даних",IF(S297=0,"Новий (без бази)",IF(OR(T297=0,W297=0),"Мало даних",IF(K297&lt;=-$F$5,"Покращило",IF(K297&gt;=$F$5,"Погіршило","Без змін"))))))</f>
        <v/>
      </c>
      <c r="Q297" s="50"/>
      <c r="R297" s="1"/>
      <c r="S297" s="52" t="str">
        <f aca="false">IF($C297="","",SUMIFS(Статистика!$E$7:$E$1006,Статистика!$B$7:$B$1006,"&gt;="&amp;($C297-$D$5),Статистика!$B$7:$B$1006,"&lt;="&amp;($C297-1),Статистика!$C$7:$C$1006,IF($D297="","&lt;&gt;§",$D297),Статистика!$D$7:$D$1006,IF($E297="","&lt;&gt;§",$E297)))</f>
        <v/>
      </c>
      <c r="T297" s="52" t="str">
        <f aca="false">IF($C297="","",SUMIFS(Статистика!$H$7:$H$1006,Статистика!$B$7:$B$1006,"&gt;="&amp;($C297-$D$5),Статистика!$B$7:$B$1006,"&lt;="&amp;($C297-1),Статистика!$C$7:$C$1006,IF($D297="","&lt;&gt;§",$D297),Статистика!$D$7:$D$1006,IF($E297="","&lt;&gt;§",$E297)))</f>
        <v/>
      </c>
      <c r="U297" s="52" t="str">
        <f aca="false">IF($C297="","",SUMIFS(Статистика!$T$7:$T$1006,Статистика!$B$7:$B$1006,"&gt;="&amp;($C297-$D$5),Статистика!$B$7:$B$1006,"&lt;="&amp;($C297-1),Статистика!$C$7:$C$1006,IF($D297="","&lt;&gt;§",$D297),Статистика!$D$7:$D$1006,IF($E297="","&lt;&gt;§",$E297)))</f>
        <v/>
      </c>
      <c r="V297" s="52" t="str">
        <f aca="false">IF($C297="","",SUMIFS(Статистика!$E$7:$E$1006,Статистика!$B$7:$B$1006,"&gt;="&amp;($C297+1),Статистика!$B$7:$B$1006,"&lt;="&amp;($C297+$D$5),Статистика!$C$7:$C$1006,IF($D297="","&lt;&gt;§",$D297),Статистика!$D$7:$D$1006,IF($E297="","&lt;&gt;§",$E297)))</f>
        <v/>
      </c>
      <c r="W297" s="52" t="str">
        <f aca="false">IF($C297="","",SUMIFS(Статистика!$H$7:$H$1006,Статистика!$B$7:$B$1006,"&gt;="&amp;($C297+1),Статистика!$B$7:$B$1006,"&lt;="&amp;($C297+$D$5),Статистика!$C$7:$C$1006,IF($D297="","&lt;&gt;§",$D297),Статистика!$D$7:$D$1006,IF($E297="","&lt;&gt;§",$E297)))</f>
        <v/>
      </c>
      <c r="X297" s="52" t="str">
        <f aca="false">IF($C297="","",SUMIFS(Статистика!$T$7:$T$1006,Статистика!$B$7:$B$1006,"&gt;="&amp;($C297+1),Статистика!$B$7:$B$1006,"&lt;="&amp;($C297+$D$5),Статистика!$C$7:$C$1006,IF($D297="","&lt;&gt;§",$D297),Статистика!$D$7:$D$1006,IF($E297="","&lt;&gt;§",$E297)))</f>
        <v/>
      </c>
      <c r="Y297" s="1"/>
      <c r="Z297" s="1"/>
      <c r="AA297" s="1"/>
      <c r="AB297" s="1"/>
      <c r="AC297" s="1"/>
      <c r="AD297" s="1"/>
    </row>
    <row r="298" customFormat="false" ht="30" hidden="false" customHeight="true" outlineLevel="0" collapsed="false">
      <c r="A298" s="1"/>
      <c r="B298" s="49" t="str">
        <f aca="false">IF($C298="","",ROW()-8)</f>
        <v/>
      </c>
      <c r="C298" s="35"/>
      <c r="D298" s="8"/>
      <c r="E298" s="26"/>
      <c r="F298" s="26"/>
      <c r="G298" s="50"/>
      <c r="H298" s="50"/>
      <c r="I298" s="30" t="str">
        <f aca="false">IF($C298="","",IFERROR(S298/T298,"—"))</f>
        <v/>
      </c>
      <c r="J298" s="30" t="str">
        <f aca="false">IF($C298="","",IFERROR(V298/W298,"—"))</f>
        <v/>
      </c>
      <c r="K298" s="41" t="str">
        <f aca="false">IF($C298="","",IFERROR(J298/I298-1,""))</f>
        <v/>
      </c>
      <c r="L298" s="41" t="str">
        <f aca="false">IF($C298="","",IFERROR((U298-S298)/S298,"—"))</f>
        <v/>
      </c>
      <c r="M298" s="41" t="str">
        <f aca="false">IF($C298="","",IFERROR((X298-V298)/V298,"—"))</f>
        <v/>
      </c>
      <c r="N298" s="39" t="str">
        <f aca="false">IF($C298="","",T298/$D$5)</f>
        <v/>
      </c>
      <c r="O298" s="39" t="str">
        <f aca="false">IF($C298="","",W298/$D$5)</f>
        <v/>
      </c>
      <c r="P298" s="51" t="str">
        <f aca="false">IF($C298="","",IF(MAX(Статистика!$B$7:$B$1006)&lt;$C298+$D$5,"Чекаємо даних",IF(S298=0,"Новий (без бази)",IF(OR(T298=0,W298=0),"Мало даних",IF(K298&lt;=-$F$5,"Покращило",IF(K298&gt;=$F$5,"Погіршило","Без змін"))))))</f>
        <v/>
      </c>
      <c r="Q298" s="50"/>
      <c r="R298" s="1"/>
      <c r="S298" s="52" t="str">
        <f aca="false">IF($C298="","",SUMIFS(Статистика!$E$7:$E$1006,Статистика!$B$7:$B$1006,"&gt;="&amp;($C298-$D$5),Статистика!$B$7:$B$1006,"&lt;="&amp;($C298-1),Статистика!$C$7:$C$1006,IF($D298="","&lt;&gt;§",$D298),Статистика!$D$7:$D$1006,IF($E298="","&lt;&gt;§",$E298)))</f>
        <v/>
      </c>
      <c r="T298" s="52" t="str">
        <f aca="false">IF($C298="","",SUMIFS(Статистика!$H$7:$H$1006,Статистика!$B$7:$B$1006,"&gt;="&amp;($C298-$D$5),Статистика!$B$7:$B$1006,"&lt;="&amp;($C298-1),Статистика!$C$7:$C$1006,IF($D298="","&lt;&gt;§",$D298),Статистика!$D$7:$D$1006,IF($E298="","&lt;&gt;§",$E298)))</f>
        <v/>
      </c>
      <c r="U298" s="52" t="str">
        <f aca="false">IF($C298="","",SUMIFS(Статистика!$T$7:$T$1006,Статистика!$B$7:$B$1006,"&gt;="&amp;($C298-$D$5),Статистика!$B$7:$B$1006,"&lt;="&amp;($C298-1),Статистика!$C$7:$C$1006,IF($D298="","&lt;&gt;§",$D298),Статистика!$D$7:$D$1006,IF($E298="","&lt;&gt;§",$E298)))</f>
        <v/>
      </c>
      <c r="V298" s="52" t="str">
        <f aca="false">IF($C298="","",SUMIFS(Статистика!$E$7:$E$1006,Статистика!$B$7:$B$1006,"&gt;="&amp;($C298+1),Статистика!$B$7:$B$1006,"&lt;="&amp;($C298+$D$5),Статистика!$C$7:$C$1006,IF($D298="","&lt;&gt;§",$D298),Статистика!$D$7:$D$1006,IF($E298="","&lt;&gt;§",$E298)))</f>
        <v/>
      </c>
      <c r="W298" s="52" t="str">
        <f aca="false">IF($C298="","",SUMIFS(Статистика!$H$7:$H$1006,Статистика!$B$7:$B$1006,"&gt;="&amp;($C298+1),Статистика!$B$7:$B$1006,"&lt;="&amp;($C298+$D$5),Статистика!$C$7:$C$1006,IF($D298="","&lt;&gt;§",$D298),Статистика!$D$7:$D$1006,IF($E298="","&lt;&gt;§",$E298)))</f>
        <v/>
      </c>
      <c r="X298" s="52" t="str">
        <f aca="false">IF($C298="","",SUMIFS(Статистика!$T$7:$T$1006,Статистика!$B$7:$B$1006,"&gt;="&amp;($C298+1),Статистика!$B$7:$B$1006,"&lt;="&amp;($C298+$D$5),Статистика!$C$7:$C$1006,IF($D298="","&lt;&gt;§",$D298),Статистика!$D$7:$D$1006,IF($E298="","&lt;&gt;§",$E298)))</f>
        <v/>
      </c>
      <c r="Y298" s="1"/>
      <c r="Z298" s="1"/>
      <c r="AA298" s="1"/>
      <c r="AB298" s="1"/>
      <c r="AC298" s="1"/>
      <c r="AD298" s="1"/>
    </row>
    <row r="299" customFormat="false" ht="30" hidden="false" customHeight="true" outlineLevel="0" collapsed="false">
      <c r="A299" s="1"/>
      <c r="B299" s="49" t="str">
        <f aca="false">IF($C299="","",ROW()-8)</f>
        <v/>
      </c>
      <c r="C299" s="35"/>
      <c r="D299" s="8"/>
      <c r="E299" s="26"/>
      <c r="F299" s="26"/>
      <c r="G299" s="50"/>
      <c r="H299" s="50"/>
      <c r="I299" s="30" t="str">
        <f aca="false">IF($C299="","",IFERROR(S299/T299,"—"))</f>
        <v/>
      </c>
      <c r="J299" s="30" t="str">
        <f aca="false">IF($C299="","",IFERROR(V299/W299,"—"))</f>
        <v/>
      </c>
      <c r="K299" s="41" t="str">
        <f aca="false">IF($C299="","",IFERROR(J299/I299-1,""))</f>
        <v/>
      </c>
      <c r="L299" s="41" t="str">
        <f aca="false">IF($C299="","",IFERROR((U299-S299)/S299,"—"))</f>
        <v/>
      </c>
      <c r="M299" s="41" t="str">
        <f aca="false">IF($C299="","",IFERROR((X299-V299)/V299,"—"))</f>
        <v/>
      </c>
      <c r="N299" s="39" t="str">
        <f aca="false">IF($C299="","",T299/$D$5)</f>
        <v/>
      </c>
      <c r="O299" s="39" t="str">
        <f aca="false">IF($C299="","",W299/$D$5)</f>
        <v/>
      </c>
      <c r="P299" s="51" t="str">
        <f aca="false">IF($C299="","",IF(MAX(Статистика!$B$7:$B$1006)&lt;$C299+$D$5,"Чекаємо даних",IF(S299=0,"Новий (без бази)",IF(OR(T299=0,W299=0),"Мало даних",IF(K299&lt;=-$F$5,"Покращило",IF(K299&gt;=$F$5,"Погіршило","Без змін"))))))</f>
        <v/>
      </c>
      <c r="Q299" s="50"/>
      <c r="R299" s="1"/>
      <c r="S299" s="52" t="str">
        <f aca="false">IF($C299="","",SUMIFS(Статистика!$E$7:$E$1006,Статистика!$B$7:$B$1006,"&gt;="&amp;($C299-$D$5),Статистика!$B$7:$B$1006,"&lt;="&amp;($C299-1),Статистика!$C$7:$C$1006,IF($D299="","&lt;&gt;§",$D299),Статистика!$D$7:$D$1006,IF($E299="","&lt;&gt;§",$E299)))</f>
        <v/>
      </c>
      <c r="T299" s="52" t="str">
        <f aca="false">IF($C299="","",SUMIFS(Статистика!$H$7:$H$1006,Статистика!$B$7:$B$1006,"&gt;="&amp;($C299-$D$5),Статистика!$B$7:$B$1006,"&lt;="&amp;($C299-1),Статистика!$C$7:$C$1006,IF($D299="","&lt;&gt;§",$D299),Статистика!$D$7:$D$1006,IF($E299="","&lt;&gt;§",$E299)))</f>
        <v/>
      </c>
      <c r="U299" s="52" t="str">
        <f aca="false">IF($C299="","",SUMIFS(Статистика!$T$7:$T$1006,Статистика!$B$7:$B$1006,"&gt;="&amp;($C299-$D$5),Статистика!$B$7:$B$1006,"&lt;="&amp;($C299-1),Статистика!$C$7:$C$1006,IF($D299="","&lt;&gt;§",$D299),Статистика!$D$7:$D$1006,IF($E299="","&lt;&gt;§",$E299)))</f>
        <v/>
      </c>
      <c r="V299" s="52" t="str">
        <f aca="false">IF($C299="","",SUMIFS(Статистика!$E$7:$E$1006,Статистика!$B$7:$B$1006,"&gt;="&amp;($C299+1),Статистика!$B$7:$B$1006,"&lt;="&amp;($C299+$D$5),Статистика!$C$7:$C$1006,IF($D299="","&lt;&gt;§",$D299),Статистика!$D$7:$D$1006,IF($E299="","&lt;&gt;§",$E299)))</f>
        <v/>
      </c>
      <c r="W299" s="52" t="str">
        <f aca="false">IF($C299="","",SUMIFS(Статистика!$H$7:$H$1006,Статистика!$B$7:$B$1006,"&gt;="&amp;($C299+1),Статистика!$B$7:$B$1006,"&lt;="&amp;($C299+$D$5),Статистика!$C$7:$C$1006,IF($D299="","&lt;&gt;§",$D299),Статистика!$D$7:$D$1006,IF($E299="","&lt;&gt;§",$E299)))</f>
        <v/>
      </c>
      <c r="X299" s="52" t="str">
        <f aca="false">IF($C299="","",SUMIFS(Статистика!$T$7:$T$1006,Статистика!$B$7:$B$1006,"&gt;="&amp;($C299+1),Статистика!$B$7:$B$1006,"&lt;="&amp;($C299+$D$5),Статистика!$C$7:$C$1006,IF($D299="","&lt;&gt;§",$D299),Статистика!$D$7:$D$1006,IF($E299="","&lt;&gt;§",$E299)))</f>
        <v/>
      </c>
      <c r="Y299" s="1"/>
      <c r="Z299" s="1"/>
      <c r="AA299" s="1"/>
      <c r="AB299" s="1"/>
      <c r="AC299" s="1"/>
      <c r="AD299" s="1"/>
    </row>
    <row r="300" customFormat="false" ht="30" hidden="false" customHeight="true" outlineLevel="0" collapsed="false">
      <c r="A300" s="1"/>
      <c r="B300" s="49" t="str">
        <f aca="false">IF($C300="","",ROW()-8)</f>
        <v/>
      </c>
      <c r="C300" s="35"/>
      <c r="D300" s="8"/>
      <c r="E300" s="26"/>
      <c r="F300" s="26"/>
      <c r="G300" s="50"/>
      <c r="H300" s="50"/>
      <c r="I300" s="30" t="str">
        <f aca="false">IF($C300="","",IFERROR(S300/T300,"—"))</f>
        <v/>
      </c>
      <c r="J300" s="30" t="str">
        <f aca="false">IF($C300="","",IFERROR(V300/W300,"—"))</f>
        <v/>
      </c>
      <c r="K300" s="41" t="str">
        <f aca="false">IF($C300="","",IFERROR(J300/I300-1,""))</f>
        <v/>
      </c>
      <c r="L300" s="41" t="str">
        <f aca="false">IF($C300="","",IFERROR((U300-S300)/S300,"—"))</f>
        <v/>
      </c>
      <c r="M300" s="41" t="str">
        <f aca="false">IF($C300="","",IFERROR((X300-V300)/V300,"—"))</f>
        <v/>
      </c>
      <c r="N300" s="39" t="str">
        <f aca="false">IF($C300="","",T300/$D$5)</f>
        <v/>
      </c>
      <c r="O300" s="39" t="str">
        <f aca="false">IF($C300="","",W300/$D$5)</f>
        <v/>
      </c>
      <c r="P300" s="51" t="str">
        <f aca="false">IF($C300="","",IF(MAX(Статистика!$B$7:$B$1006)&lt;$C300+$D$5,"Чекаємо даних",IF(S300=0,"Новий (без бази)",IF(OR(T300=0,W300=0),"Мало даних",IF(K300&lt;=-$F$5,"Покращило",IF(K300&gt;=$F$5,"Погіршило","Без змін"))))))</f>
        <v/>
      </c>
      <c r="Q300" s="50"/>
      <c r="R300" s="1"/>
      <c r="S300" s="52" t="str">
        <f aca="false">IF($C300="","",SUMIFS(Статистика!$E$7:$E$1006,Статистика!$B$7:$B$1006,"&gt;="&amp;($C300-$D$5),Статистика!$B$7:$B$1006,"&lt;="&amp;($C300-1),Статистика!$C$7:$C$1006,IF($D300="","&lt;&gt;§",$D300),Статистика!$D$7:$D$1006,IF($E300="","&lt;&gt;§",$E300)))</f>
        <v/>
      </c>
      <c r="T300" s="52" t="str">
        <f aca="false">IF($C300="","",SUMIFS(Статистика!$H$7:$H$1006,Статистика!$B$7:$B$1006,"&gt;="&amp;($C300-$D$5),Статистика!$B$7:$B$1006,"&lt;="&amp;($C300-1),Статистика!$C$7:$C$1006,IF($D300="","&lt;&gt;§",$D300),Статистика!$D$7:$D$1006,IF($E300="","&lt;&gt;§",$E300)))</f>
        <v/>
      </c>
      <c r="U300" s="52" t="str">
        <f aca="false">IF($C300="","",SUMIFS(Статистика!$T$7:$T$1006,Статистика!$B$7:$B$1006,"&gt;="&amp;($C300-$D$5),Статистика!$B$7:$B$1006,"&lt;="&amp;($C300-1),Статистика!$C$7:$C$1006,IF($D300="","&lt;&gt;§",$D300),Статистика!$D$7:$D$1006,IF($E300="","&lt;&gt;§",$E300)))</f>
        <v/>
      </c>
      <c r="V300" s="52" t="str">
        <f aca="false">IF($C300="","",SUMIFS(Статистика!$E$7:$E$1006,Статистика!$B$7:$B$1006,"&gt;="&amp;($C300+1),Статистика!$B$7:$B$1006,"&lt;="&amp;($C300+$D$5),Статистика!$C$7:$C$1006,IF($D300="","&lt;&gt;§",$D300),Статистика!$D$7:$D$1006,IF($E300="","&lt;&gt;§",$E300)))</f>
        <v/>
      </c>
      <c r="W300" s="52" t="str">
        <f aca="false">IF($C300="","",SUMIFS(Статистика!$H$7:$H$1006,Статистика!$B$7:$B$1006,"&gt;="&amp;($C300+1),Статистика!$B$7:$B$1006,"&lt;="&amp;($C300+$D$5),Статистика!$C$7:$C$1006,IF($D300="","&lt;&gt;§",$D300),Статистика!$D$7:$D$1006,IF($E300="","&lt;&gt;§",$E300)))</f>
        <v/>
      </c>
      <c r="X300" s="52" t="str">
        <f aca="false">IF($C300="","",SUMIFS(Статистика!$T$7:$T$1006,Статистика!$B$7:$B$1006,"&gt;="&amp;($C300+1),Статистика!$B$7:$B$1006,"&lt;="&amp;($C300+$D$5),Статистика!$C$7:$C$1006,IF($D300="","&lt;&gt;§",$D300),Статистика!$D$7:$D$1006,IF($E300="","&lt;&gt;§",$E300)))</f>
        <v/>
      </c>
      <c r="Y300" s="1"/>
      <c r="Z300" s="1"/>
      <c r="AA300" s="1"/>
      <c r="AB300" s="1"/>
      <c r="AC300" s="1"/>
      <c r="AD300" s="1"/>
    </row>
    <row r="301" customFormat="false" ht="30" hidden="false" customHeight="true" outlineLevel="0" collapsed="false">
      <c r="A301" s="1"/>
      <c r="B301" s="49" t="str">
        <f aca="false">IF($C301="","",ROW()-8)</f>
        <v/>
      </c>
      <c r="C301" s="35"/>
      <c r="D301" s="8"/>
      <c r="E301" s="26"/>
      <c r="F301" s="26"/>
      <c r="G301" s="50"/>
      <c r="H301" s="50"/>
      <c r="I301" s="30" t="str">
        <f aca="false">IF($C301="","",IFERROR(S301/T301,"—"))</f>
        <v/>
      </c>
      <c r="J301" s="30" t="str">
        <f aca="false">IF($C301="","",IFERROR(V301/W301,"—"))</f>
        <v/>
      </c>
      <c r="K301" s="41" t="str">
        <f aca="false">IF($C301="","",IFERROR(J301/I301-1,""))</f>
        <v/>
      </c>
      <c r="L301" s="41" t="str">
        <f aca="false">IF($C301="","",IFERROR((U301-S301)/S301,"—"))</f>
        <v/>
      </c>
      <c r="M301" s="41" t="str">
        <f aca="false">IF($C301="","",IFERROR((X301-V301)/V301,"—"))</f>
        <v/>
      </c>
      <c r="N301" s="39" t="str">
        <f aca="false">IF($C301="","",T301/$D$5)</f>
        <v/>
      </c>
      <c r="O301" s="39" t="str">
        <f aca="false">IF($C301="","",W301/$D$5)</f>
        <v/>
      </c>
      <c r="P301" s="51" t="str">
        <f aca="false">IF($C301="","",IF(MAX(Статистика!$B$7:$B$1006)&lt;$C301+$D$5,"Чекаємо даних",IF(S301=0,"Новий (без бази)",IF(OR(T301=0,W301=0),"Мало даних",IF(K301&lt;=-$F$5,"Покращило",IF(K301&gt;=$F$5,"Погіршило","Без змін"))))))</f>
        <v/>
      </c>
      <c r="Q301" s="50"/>
      <c r="R301" s="1"/>
      <c r="S301" s="52" t="str">
        <f aca="false">IF($C301="","",SUMIFS(Статистика!$E$7:$E$1006,Статистика!$B$7:$B$1006,"&gt;="&amp;($C301-$D$5),Статистика!$B$7:$B$1006,"&lt;="&amp;($C301-1),Статистика!$C$7:$C$1006,IF($D301="","&lt;&gt;§",$D301),Статистика!$D$7:$D$1006,IF($E301="","&lt;&gt;§",$E301)))</f>
        <v/>
      </c>
      <c r="T301" s="52" t="str">
        <f aca="false">IF($C301="","",SUMIFS(Статистика!$H$7:$H$1006,Статистика!$B$7:$B$1006,"&gt;="&amp;($C301-$D$5),Статистика!$B$7:$B$1006,"&lt;="&amp;($C301-1),Статистика!$C$7:$C$1006,IF($D301="","&lt;&gt;§",$D301),Статистика!$D$7:$D$1006,IF($E301="","&lt;&gt;§",$E301)))</f>
        <v/>
      </c>
      <c r="U301" s="52" t="str">
        <f aca="false">IF($C301="","",SUMIFS(Статистика!$T$7:$T$1006,Статистика!$B$7:$B$1006,"&gt;="&amp;($C301-$D$5),Статистика!$B$7:$B$1006,"&lt;="&amp;($C301-1),Статистика!$C$7:$C$1006,IF($D301="","&lt;&gt;§",$D301),Статистика!$D$7:$D$1006,IF($E301="","&lt;&gt;§",$E301)))</f>
        <v/>
      </c>
      <c r="V301" s="52" t="str">
        <f aca="false">IF($C301="","",SUMIFS(Статистика!$E$7:$E$1006,Статистика!$B$7:$B$1006,"&gt;="&amp;($C301+1),Статистика!$B$7:$B$1006,"&lt;="&amp;($C301+$D$5),Статистика!$C$7:$C$1006,IF($D301="","&lt;&gt;§",$D301),Статистика!$D$7:$D$1006,IF($E301="","&lt;&gt;§",$E301)))</f>
        <v/>
      </c>
      <c r="W301" s="52" t="str">
        <f aca="false">IF($C301="","",SUMIFS(Статистика!$H$7:$H$1006,Статистика!$B$7:$B$1006,"&gt;="&amp;($C301+1),Статистика!$B$7:$B$1006,"&lt;="&amp;($C301+$D$5),Статистика!$C$7:$C$1006,IF($D301="","&lt;&gt;§",$D301),Статистика!$D$7:$D$1006,IF($E301="","&lt;&gt;§",$E301)))</f>
        <v/>
      </c>
      <c r="X301" s="52" t="str">
        <f aca="false">IF($C301="","",SUMIFS(Статистика!$T$7:$T$1006,Статистика!$B$7:$B$1006,"&gt;="&amp;($C301+1),Статистика!$B$7:$B$1006,"&lt;="&amp;($C301+$D$5),Статистика!$C$7:$C$1006,IF($D301="","&lt;&gt;§",$D301),Статистика!$D$7:$D$1006,IF($E301="","&lt;&gt;§",$E301)))</f>
        <v/>
      </c>
      <c r="Y301" s="1"/>
      <c r="Z301" s="1"/>
      <c r="AA301" s="1"/>
      <c r="AB301" s="1"/>
      <c r="AC301" s="1"/>
      <c r="AD301" s="1"/>
    </row>
    <row r="302" customFormat="false" ht="30" hidden="false" customHeight="true" outlineLevel="0" collapsed="false">
      <c r="A302" s="1"/>
      <c r="B302" s="49" t="str">
        <f aca="false">IF($C302="","",ROW()-8)</f>
        <v/>
      </c>
      <c r="C302" s="35"/>
      <c r="D302" s="8"/>
      <c r="E302" s="26"/>
      <c r="F302" s="26"/>
      <c r="G302" s="50"/>
      <c r="H302" s="50"/>
      <c r="I302" s="30" t="str">
        <f aca="false">IF($C302="","",IFERROR(S302/T302,"—"))</f>
        <v/>
      </c>
      <c r="J302" s="30" t="str">
        <f aca="false">IF($C302="","",IFERROR(V302/W302,"—"))</f>
        <v/>
      </c>
      <c r="K302" s="41" t="str">
        <f aca="false">IF($C302="","",IFERROR(J302/I302-1,""))</f>
        <v/>
      </c>
      <c r="L302" s="41" t="str">
        <f aca="false">IF($C302="","",IFERROR((U302-S302)/S302,"—"))</f>
        <v/>
      </c>
      <c r="M302" s="41" t="str">
        <f aca="false">IF($C302="","",IFERROR((X302-V302)/V302,"—"))</f>
        <v/>
      </c>
      <c r="N302" s="39" t="str">
        <f aca="false">IF($C302="","",T302/$D$5)</f>
        <v/>
      </c>
      <c r="O302" s="39" t="str">
        <f aca="false">IF($C302="","",W302/$D$5)</f>
        <v/>
      </c>
      <c r="P302" s="51" t="str">
        <f aca="false">IF($C302="","",IF(MAX(Статистика!$B$7:$B$1006)&lt;$C302+$D$5,"Чекаємо даних",IF(S302=0,"Новий (без бази)",IF(OR(T302=0,W302=0),"Мало даних",IF(K302&lt;=-$F$5,"Покращило",IF(K302&gt;=$F$5,"Погіршило","Без змін"))))))</f>
        <v/>
      </c>
      <c r="Q302" s="50"/>
      <c r="R302" s="1"/>
      <c r="S302" s="52" t="str">
        <f aca="false">IF($C302="","",SUMIFS(Статистика!$E$7:$E$1006,Статистика!$B$7:$B$1006,"&gt;="&amp;($C302-$D$5),Статистика!$B$7:$B$1006,"&lt;="&amp;($C302-1),Статистика!$C$7:$C$1006,IF($D302="","&lt;&gt;§",$D302),Статистика!$D$7:$D$1006,IF($E302="","&lt;&gt;§",$E302)))</f>
        <v/>
      </c>
      <c r="T302" s="52" t="str">
        <f aca="false">IF($C302="","",SUMIFS(Статистика!$H$7:$H$1006,Статистика!$B$7:$B$1006,"&gt;="&amp;($C302-$D$5),Статистика!$B$7:$B$1006,"&lt;="&amp;($C302-1),Статистика!$C$7:$C$1006,IF($D302="","&lt;&gt;§",$D302),Статистика!$D$7:$D$1006,IF($E302="","&lt;&gt;§",$E302)))</f>
        <v/>
      </c>
      <c r="U302" s="52" t="str">
        <f aca="false">IF($C302="","",SUMIFS(Статистика!$T$7:$T$1006,Статистика!$B$7:$B$1006,"&gt;="&amp;($C302-$D$5),Статистика!$B$7:$B$1006,"&lt;="&amp;($C302-1),Статистика!$C$7:$C$1006,IF($D302="","&lt;&gt;§",$D302),Статистика!$D$7:$D$1006,IF($E302="","&lt;&gt;§",$E302)))</f>
        <v/>
      </c>
      <c r="V302" s="52" t="str">
        <f aca="false">IF($C302="","",SUMIFS(Статистика!$E$7:$E$1006,Статистика!$B$7:$B$1006,"&gt;="&amp;($C302+1),Статистика!$B$7:$B$1006,"&lt;="&amp;($C302+$D$5),Статистика!$C$7:$C$1006,IF($D302="","&lt;&gt;§",$D302),Статистика!$D$7:$D$1006,IF($E302="","&lt;&gt;§",$E302)))</f>
        <v/>
      </c>
      <c r="W302" s="52" t="str">
        <f aca="false">IF($C302="","",SUMIFS(Статистика!$H$7:$H$1006,Статистика!$B$7:$B$1006,"&gt;="&amp;($C302+1),Статистика!$B$7:$B$1006,"&lt;="&amp;($C302+$D$5),Статистика!$C$7:$C$1006,IF($D302="","&lt;&gt;§",$D302),Статистика!$D$7:$D$1006,IF($E302="","&lt;&gt;§",$E302)))</f>
        <v/>
      </c>
      <c r="X302" s="52" t="str">
        <f aca="false">IF($C302="","",SUMIFS(Статистика!$T$7:$T$1006,Статистика!$B$7:$B$1006,"&gt;="&amp;($C302+1),Статистика!$B$7:$B$1006,"&lt;="&amp;($C302+$D$5),Статистика!$C$7:$C$1006,IF($D302="","&lt;&gt;§",$D302),Статистика!$D$7:$D$1006,IF($E302="","&lt;&gt;§",$E302)))</f>
        <v/>
      </c>
      <c r="Y302" s="1"/>
      <c r="Z302" s="1"/>
      <c r="AA302" s="1"/>
      <c r="AB302" s="1"/>
      <c r="AC302" s="1"/>
      <c r="AD302" s="1"/>
    </row>
    <row r="303" customFormat="false" ht="30" hidden="false" customHeight="true" outlineLevel="0" collapsed="false">
      <c r="A303" s="1"/>
      <c r="B303" s="49" t="str">
        <f aca="false">IF($C303="","",ROW()-8)</f>
        <v/>
      </c>
      <c r="C303" s="35"/>
      <c r="D303" s="8"/>
      <c r="E303" s="26"/>
      <c r="F303" s="26"/>
      <c r="G303" s="50"/>
      <c r="H303" s="50"/>
      <c r="I303" s="30" t="str">
        <f aca="false">IF($C303="","",IFERROR(S303/T303,"—"))</f>
        <v/>
      </c>
      <c r="J303" s="30" t="str">
        <f aca="false">IF($C303="","",IFERROR(V303/W303,"—"))</f>
        <v/>
      </c>
      <c r="K303" s="41" t="str">
        <f aca="false">IF($C303="","",IFERROR(J303/I303-1,""))</f>
        <v/>
      </c>
      <c r="L303" s="41" t="str">
        <f aca="false">IF($C303="","",IFERROR((U303-S303)/S303,"—"))</f>
        <v/>
      </c>
      <c r="M303" s="41" t="str">
        <f aca="false">IF($C303="","",IFERROR((X303-V303)/V303,"—"))</f>
        <v/>
      </c>
      <c r="N303" s="39" t="str">
        <f aca="false">IF($C303="","",T303/$D$5)</f>
        <v/>
      </c>
      <c r="O303" s="39" t="str">
        <f aca="false">IF($C303="","",W303/$D$5)</f>
        <v/>
      </c>
      <c r="P303" s="51" t="str">
        <f aca="false">IF($C303="","",IF(MAX(Статистика!$B$7:$B$1006)&lt;$C303+$D$5,"Чекаємо даних",IF(S303=0,"Новий (без бази)",IF(OR(T303=0,W303=0),"Мало даних",IF(K303&lt;=-$F$5,"Покращило",IF(K303&gt;=$F$5,"Погіршило","Без змін"))))))</f>
        <v/>
      </c>
      <c r="Q303" s="50"/>
      <c r="R303" s="1"/>
      <c r="S303" s="52" t="str">
        <f aca="false">IF($C303="","",SUMIFS(Статистика!$E$7:$E$1006,Статистика!$B$7:$B$1006,"&gt;="&amp;($C303-$D$5),Статистика!$B$7:$B$1006,"&lt;="&amp;($C303-1),Статистика!$C$7:$C$1006,IF($D303="","&lt;&gt;§",$D303),Статистика!$D$7:$D$1006,IF($E303="","&lt;&gt;§",$E303)))</f>
        <v/>
      </c>
      <c r="T303" s="52" t="str">
        <f aca="false">IF($C303="","",SUMIFS(Статистика!$H$7:$H$1006,Статистика!$B$7:$B$1006,"&gt;="&amp;($C303-$D$5),Статистика!$B$7:$B$1006,"&lt;="&amp;($C303-1),Статистика!$C$7:$C$1006,IF($D303="","&lt;&gt;§",$D303),Статистика!$D$7:$D$1006,IF($E303="","&lt;&gt;§",$E303)))</f>
        <v/>
      </c>
      <c r="U303" s="52" t="str">
        <f aca="false">IF($C303="","",SUMIFS(Статистика!$T$7:$T$1006,Статистика!$B$7:$B$1006,"&gt;="&amp;($C303-$D$5),Статистика!$B$7:$B$1006,"&lt;="&amp;($C303-1),Статистика!$C$7:$C$1006,IF($D303="","&lt;&gt;§",$D303),Статистика!$D$7:$D$1006,IF($E303="","&lt;&gt;§",$E303)))</f>
        <v/>
      </c>
      <c r="V303" s="52" t="str">
        <f aca="false">IF($C303="","",SUMIFS(Статистика!$E$7:$E$1006,Статистика!$B$7:$B$1006,"&gt;="&amp;($C303+1),Статистика!$B$7:$B$1006,"&lt;="&amp;($C303+$D$5),Статистика!$C$7:$C$1006,IF($D303="","&lt;&gt;§",$D303),Статистика!$D$7:$D$1006,IF($E303="","&lt;&gt;§",$E303)))</f>
        <v/>
      </c>
      <c r="W303" s="52" t="str">
        <f aca="false">IF($C303="","",SUMIFS(Статистика!$H$7:$H$1006,Статистика!$B$7:$B$1006,"&gt;="&amp;($C303+1),Статистика!$B$7:$B$1006,"&lt;="&amp;($C303+$D$5),Статистика!$C$7:$C$1006,IF($D303="","&lt;&gt;§",$D303),Статистика!$D$7:$D$1006,IF($E303="","&lt;&gt;§",$E303)))</f>
        <v/>
      </c>
      <c r="X303" s="52" t="str">
        <f aca="false">IF($C303="","",SUMIFS(Статистика!$T$7:$T$1006,Статистика!$B$7:$B$1006,"&gt;="&amp;($C303+1),Статистика!$B$7:$B$1006,"&lt;="&amp;($C303+$D$5),Статистика!$C$7:$C$1006,IF($D303="","&lt;&gt;§",$D303),Статистика!$D$7:$D$1006,IF($E303="","&lt;&gt;§",$E303)))</f>
        <v/>
      </c>
      <c r="Y303" s="1"/>
      <c r="Z303" s="1"/>
      <c r="AA303" s="1"/>
      <c r="AB303" s="1"/>
      <c r="AC303" s="1"/>
      <c r="AD303" s="1"/>
    </row>
    <row r="304" customFormat="false" ht="30" hidden="false" customHeight="true" outlineLevel="0" collapsed="false">
      <c r="A304" s="1"/>
      <c r="B304" s="49" t="str">
        <f aca="false">IF($C304="","",ROW()-8)</f>
        <v/>
      </c>
      <c r="C304" s="35"/>
      <c r="D304" s="8"/>
      <c r="E304" s="26"/>
      <c r="F304" s="26"/>
      <c r="G304" s="50"/>
      <c r="H304" s="50"/>
      <c r="I304" s="30" t="str">
        <f aca="false">IF($C304="","",IFERROR(S304/T304,"—"))</f>
        <v/>
      </c>
      <c r="J304" s="30" t="str">
        <f aca="false">IF($C304="","",IFERROR(V304/W304,"—"))</f>
        <v/>
      </c>
      <c r="K304" s="41" t="str">
        <f aca="false">IF($C304="","",IFERROR(J304/I304-1,""))</f>
        <v/>
      </c>
      <c r="L304" s="41" t="str">
        <f aca="false">IF($C304="","",IFERROR((U304-S304)/S304,"—"))</f>
        <v/>
      </c>
      <c r="M304" s="41" t="str">
        <f aca="false">IF($C304="","",IFERROR((X304-V304)/V304,"—"))</f>
        <v/>
      </c>
      <c r="N304" s="39" t="str">
        <f aca="false">IF($C304="","",T304/$D$5)</f>
        <v/>
      </c>
      <c r="O304" s="39" t="str">
        <f aca="false">IF($C304="","",W304/$D$5)</f>
        <v/>
      </c>
      <c r="P304" s="51" t="str">
        <f aca="false">IF($C304="","",IF(MAX(Статистика!$B$7:$B$1006)&lt;$C304+$D$5,"Чекаємо даних",IF(S304=0,"Новий (без бази)",IF(OR(T304=0,W304=0),"Мало даних",IF(K304&lt;=-$F$5,"Покращило",IF(K304&gt;=$F$5,"Погіршило","Без змін"))))))</f>
        <v/>
      </c>
      <c r="Q304" s="50"/>
      <c r="R304" s="1"/>
      <c r="S304" s="52" t="str">
        <f aca="false">IF($C304="","",SUMIFS(Статистика!$E$7:$E$1006,Статистика!$B$7:$B$1006,"&gt;="&amp;($C304-$D$5),Статистика!$B$7:$B$1006,"&lt;="&amp;($C304-1),Статистика!$C$7:$C$1006,IF($D304="","&lt;&gt;§",$D304),Статистика!$D$7:$D$1006,IF($E304="","&lt;&gt;§",$E304)))</f>
        <v/>
      </c>
      <c r="T304" s="52" t="str">
        <f aca="false">IF($C304="","",SUMIFS(Статистика!$H$7:$H$1006,Статистика!$B$7:$B$1006,"&gt;="&amp;($C304-$D$5),Статистика!$B$7:$B$1006,"&lt;="&amp;($C304-1),Статистика!$C$7:$C$1006,IF($D304="","&lt;&gt;§",$D304),Статистика!$D$7:$D$1006,IF($E304="","&lt;&gt;§",$E304)))</f>
        <v/>
      </c>
      <c r="U304" s="52" t="str">
        <f aca="false">IF($C304="","",SUMIFS(Статистика!$T$7:$T$1006,Статистика!$B$7:$B$1006,"&gt;="&amp;($C304-$D$5),Статистика!$B$7:$B$1006,"&lt;="&amp;($C304-1),Статистика!$C$7:$C$1006,IF($D304="","&lt;&gt;§",$D304),Статистика!$D$7:$D$1006,IF($E304="","&lt;&gt;§",$E304)))</f>
        <v/>
      </c>
      <c r="V304" s="52" t="str">
        <f aca="false">IF($C304="","",SUMIFS(Статистика!$E$7:$E$1006,Статистика!$B$7:$B$1006,"&gt;="&amp;($C304+1),Статистика!$B$7:$B$1006,"&lt;="&amp;($C304+$D$5),Статистика!$C$7:$C$1006,IF($D304="","&lt;&gt;§",$D304),Статистика!$D$7:$D$1006,IF($E304="","&lt;&gt;§",$E304)))</f>
        <v/>
      </c>
      <c r="W304" s="52" t="str">
        <f aca="false">IF($C304="","",SUMIFS(Статистика!$H$7:$H$1006,Статистика!$B$7:$B$1006,"&gt;="&amp;($C304+1),Статистика!$B$7:$B$1006,"&lt;="&amp;($C304+$D$5),Статистика!$C$7:$C$1006,IF($D304="","&lt;&gt;§",$D304),Статистика!$D$7:$D$1006,IF($E304="","&lt;&gt;§",$E304)))</f>
        <v/>
      </c>
      <c r="X304" s="52" t="str">
        <f aca="false">IF($C304="","",SUMIFS(Статистика!$T$7:$T$1006,Статистика!$B$7:$B$1006,"&gt;="&amp;($C304+1),Статистика!$B$7:$B$1006,"&lt;="&amp;($C304+$D$5),Статистика!$C$7:$C$1006,IF($D304="","&lt;&gt;§",$D304),Статистика!$D$7:$D$1006,IF($E304="","&lt;&gt;§",$E304)))</f>
        <v/>
      </c>
      <c r="Y304" s="1"/>
      <c r="Z304" s="1"/>
      <c r="AA304" s="1"/>
      <c r="AB304" s="1"/>
      <c r="AC304" s="1"/>
      <c r="AD304" s="1"/>
    </row>
    <row r="305" customFormat="false" ht="30" hidden="false" customHeight="true" outlineLevel="0" collapsed="false">
      <c r="A305" s="1"/>
      <c r="B305" s="49" t="str">
        <f aca="false">IF($C305="","",ROW()-8)</f>
        <v/>
      </c>
      <c r="C305" s="35"/>
      <c r="D305" s="8"/>
      <c r="E305" s="26"/>
      <c r="F305" s="26"/>
      <c r="G305" s="50"/>
      <c r="H305" s="50"/>
      <c r="I305" s="30" t="str">
        <f aca="false">IF($C305="","",IFERROR(S305/T305,"—"))</f>
        <v/>
      </c>
      <c r="J305" s="30" t="str">
        <f aca="false">IF($C305="","",IFERROR(V305/W305,"—"))</f>
        <v/>
      </c>
      <c r="K305" s="41" t="str">
        <f aca="false">IF($C305="","",IFERROR(J305/I305-1,""))</f>
        <v/>
      </c>
      <c r="L305" s="41" t="str">
        <f aca="false">IF($C305="","",IFERROR((U305-S305)/S305,"—"))</f>
        <v/>
      </c>
      <c r="M305" s="41" t="str">
        <f aca="false">IF($C305="","",IFERROR((X305-V305)/V305,"—"))</f>
        <v/>
      </c>
      <c r="N305" s="39" t="str">
        <f aca="false">IF($C305="","",T305/$D$5)</f>
        <v/>
      </c>
      <c r="O305" s="39" t="str">
        <f aca="false">IF($C305="","",W305/$D$5)</f>
        <v/>
      </c>
      <c r="P305" s="51" t="str">
        <f aca="false">IF($C305="","",IF(MAX(Статистика!$B$7:$B$1006)&lt;$C305+$D$5,"Чекаємо даних",IF(S305=0,"Новий (без бази)",IF(OR(T305=0,W305=0),"Мало даних",IF(K305&lt;=-$F$5,"Покращило",IF(K305&gt;=$F$5,"Погіршило","Без змін"))))))</f>
        <v/>
      </c>
      <c r="Q305" s="50"/>
      <c r="R305" s="1"/>
      <c r="S305" s="52" t="str">
        <f aca="false">IF($C305="","",SUMIFS(Статистика!$E$7:$E$1006,Статистика!$B$7:$B$1006,"&gt;="&amp;($C305-$D$5),Статистика!$B$7:$B$1006,"&lt;="&amp;($C305-1),Статистика!$C$7:$C$1006,IF($D305="","&lt;&gt;§",$D305),Статистика!$D$7:$D$1006,IF($E305="","&lt;&gt;§",$E305)))</f>
        <v/>
      </c>
      <c r="T305" s="52" t="str">
        <f aca="false">IF($C305="","",SUMIFS(Статистика!$H$7:$H$1006,Статистика!$B$7:$B$1006,"&gt;="&amp;($C305-$D$5),Статистика!$B$7:$B$1006,"&lt;="&amp;($C305-1),Статистика!$C$7:$C$1006,IF($D305="","&lt;&gt;§",$D305),Статистика!$D$7:$D$1006,IF($E305="","&lt;&gt;§",$E305)))</f>
        <v/>
      </c>
      <c r="U305" s="52" t="str">
        <f aca="false">IF($C305="","",SUMIFS(Статистика!$T$7:$T$1006,Статистика!$B$7:$B$1006,"&gt;="&amp;($C305-$D$5),Статистика!$B$7:$B$1006,"&lt;="&amp;($C305-1),Статистика!$C$7:$C$1006,IF($D305="","&lt;&gt;§",$D305),Статистика!$D$7:$D$1006,IF($E305="","&lt;&gt;§",$E305)))</f>
        <v/>
      </c>
      <c r="V305" s="52" t="str">
        <f aca="false">IF($C305="","",SUMIFS(Статистика!$E$7:$E$1006,Статистика!$B$7:$B$1006,"&gt;="&amp;($C305+1),Статистика!$B$7:$B$1006,"&lt;="&amp;($C305+$D$5),Статистика!$C$7:$C$1006,IF($D305="","&lt;&gt;§",$D305),Статистика!$D$7:$D$1006,IF($E305="","&lt;&gt;§",$E305)))</f>
        <v/>
      </c>
      <c r="W305" s="52" t="str">
        <f aca="false">IF($C305="","",SUMIFS(Статистика!$H$7:$H$1006,Статистика!$B$7:$B$1006,"&gt;="&amp;($C305+1),Статистика!$B$7:$B$1006,"&lt;="&amp;($C305+$D$5),Статистика!$C$7:$C$1006,IF($D305="","&lt;&gt;§",$D305),Статистика!$D$7:$D$1006,IF($E305="","&lt;&gt;§",$E305)))</f>
        <v/>
      </c>
      <c r="X305" s="52" t="str">
        <f aca="false">IF($C305="","",SUMIFS(Статистика!$T$7:$T$1006,Статистика!$B$7:$B$1006,"&gt;="&amp;($C305+1),Статистика!$B$7:$B$1006,"&lt;="&amp;($C305+$D$5),Статистика!$C$7:$C$1006,IF($D305="","&lt;&gt;§",$D305),Статистика!$D$7:$D$1006,IF($E305="","&lt;&gt;§",$E305)))</f>
        <v/>
      </c>
      <c r="Y305" s="1"/>
      <c r="Z305" s="1"/>
      <c r="AA305" s="1"/>
      <c r="AB305" s="1"/>
      <c r="AC305" s="1"/>
      <c r="AD305" s="1"/>
    </row>
    <row r="306" customFormat="false" ht="30" hidden="false" customHeight="true" outlineLevel="0" collapsed="false">
      <c r="A306" s="1"/>
      <c r="B306" s="49" t="str">
        <f aca="false">IF($C306="","",ROW()-8)</f>
        <v/>
      </c>
      <c r="C306" s="35"/>
      <c r="D306" s="8"/>
      <c r="E306" s="26"/>
      <c r="F306" s="26"/>
      <c r="G306" s="50"/>
      <c r="H306" s="50"/>
      <c r="I306" s="30" t="str">
        <f aca="false">IF($C306="","",IFERROR(S306/T306,"—"))</f>
        <v/>
      </c>
      <c r="J306" s="30" t="str">
        <f aca="false">IF($C306="","",IFERROR(V306/W306,"—"))</f>
        <v/>
      </c>
      <c r="K306" s="41" t="str">
        <f aca="false">IF($C306="","",IFERROR(J306/I306-1,""))</f>
        <v/>
      </c>
      <c r="L306" s="41" t="str">
        <f aca="false">IF($C306="","",IFERROR((U306-S306)/S306,"—"))</f>
        <v/>
      </c>
      <c r="M306" s="41" t="str">
        <f aca="false">IF($C306="","",IFERROR((X306-V306)/V306,"—"))</f>
        <v/>
      </c>
      <c r="N306" s="39" t="str">
        <f aca="false">IF($C306="","",T306/$D$5)</f>
        <v/>
      </c>
      <c r="O306" s="39" t="str">
        <f aca="false">IF($C306="","",W306/$D$5)</f>
        <v/>
      </c>
      <c r="P306" s="51" t="str">
        <f aca="false">IF($C306="","",IF(MAX(Статистика!$B$7:$B$1006)&lt;$C306+$D$5,"Чекаємо даних",IF(S306=0,"Новий (без бази)",IF(OR(T306=0,W306=0),"Мало даних",IF(K306&lt;=-$F$5,"Покращило",IF(K306&gt;=$F$5,"Погіршило","Без змін"))))))</f>
        <v/>
      </c>
      <c r="Q306" s="50"/>
      <c r="R306" s="1"/>
      <c r="S306" s="52" t="str">
        <f aca="false">IF($C306="","",SUMIFS(Статистика!$E$7:$E$1006,Статистика!$B$7:$B$1006,"&gt;="&amp;($C306-$D$5),Статистика!$B$7:$B$1006,"&lt;="&amp;($C306-1),Статистика!$C$7:$C$1006,IF($D306="","&lt;&gt;§",$D306),Статистика!$D$7:$D$1006,IF($E306="","&lt;&gt;§",$E306)))</f>
        <v/>
      </c>
      <c r="T306" s="52" t="str">
        <f aca="false">IF($C306="","",SUMIFS(Статистика!$H$7:$H$1006,Статистика!$B$7:$B$1006,"&gt;="&amp;($C306-$D$5),Статистика!$B$7:$B$1006,"&lt;="&amp;($C306-1),Статистика!$C$7:$C$1006,IF($D306="","&lt;&gt;§",$D306),Статистика!$D$7:$D$1006,IF($E306="","&lt;&gt;§",$E306)))</f>
        <v/>
      </c>
      <c r="U306" s="52" t="str">
        <f aca="false">IF($C306="","",SUMIFS(Статистика!$T$7:$T$1006,Статистика!$B$7:$B$1006,"&gt;="&amp;($C306-$D$5),Статистика!$B$7:$B$1006,"&lt;="&amp;($C306-1),Статистика!$C$7:$C$1006,IF($D306="","&lt;&gt;§",$D306),Статистика!$D$7:$D$1006,IF($E306="","&lt;&gt;§",$E306)))</f>
        <v/>
      </c>
      <c r="V306" s="52" t="str">
        <f aca="false">IF($C306="","",SUMIFS(Статистика!$E$7:$E$1006,Статистика!$B$7:$B$1006,"&gt;="&amp;($C306+1),Статистика!$B$7:$B$1006,"&lt;="&amp;($C306+$D$5),Статистика!$C$7:$C$1006,IF($D306="","&lt;&gt;§",$D306),Статистика!$D$7:$D$1006,IF($E306="","&lt;&gt;§",$E306)))</f>
        <v/>
      </c>
      <c r="W306" s="52" t="str">
        <f aca="false">IF($C306="","",SUMIFS(Статистика!$H$7:$H$1006,Статистика!$B$7:$B$1006,"&gt;="&amp;($C306+1),Статистика!$B$7:$B$1006,"&lt;="&amp;($C306+$D$5),Статистика!$C$7:$C$1006,IF($D306="","&lt;&gt;§",$D306),Статистика!$D$7:$D$1006,IF($E306="","&lt;&gt;§",$E306)))</f>
        <v/>
      </c>
      <c r="X306" s="52" t="str">
        <f aca="false">IF($C306="","",SUMIFS(Статистика!$T$7:$T$1006,Статистика!$B$7:$B$1006,"&gt;="&amp;($C306+1),Статистика!$B$7:$B$1006,"&lt;="&amp;($C306+$D$5),Статистика!$C$7:$C$1006,IF($D306="","&lt;&gt;§",$D306),Статистика!$D$7:$D$1006,IF($E306="","&lt;&gt;§",$E306)))</f>
        <v/>
      </c>
      <c r="Y306" s="1"/>
      <c r="Z306" s="1"/>
      <c r="AA306" s="1"/>
      <c r="AB306" s="1"/>
      <c r="AC306" s="1"/>
      <c r="AD306" s="1"/>
    </row>
    <row r="307" customFormat="false" ht="30" hidden="false" customHeight="true" outlineLevel="0" collapsed="false">
      <c r="A307" s="1"/>
      <c r="B307" s="49" t="str">
        <f aca="false">IF($C307="","",ROW()-8)</f>
        <v/>
      </c>
      <c r="C307" s="35"/>
      <c r="D307" s="8"/>
      <c r="E307" s="26"/>
      <c r="F307" s="26"/>
      <c r="G307" s="50"/>
      <c r="H307" s="50"/>
      <c r="I307" s="30" t="str">
        <f aca="false">IF($C307="","",IFERROR(S307/T307,"—"))</f>
        <v/>
      </c>
      <c r="J307" s="30" t="str">
        <f aca="false">IF($C307="","",IFERROR(V307/W307,"—"))</f>
        <v/>
      </c>
      <c r="K307" s="41" t="str">
        <f aca="false">IF($C307="","",IFERROR(J307/I307-1,""))</f>
        <v/>
      </c>
      <c r="L307" s="41" t="str">
        <f aca="false">IF($C307="","",IFERROR((U307-S307)/S307,"—"))</f>
        <v/>
      </c>
      <c r="M307" s="41" t="str">
        <f aca="false">IF($C307="","",IFERROR((X307-V307)/V307,"—"))</f>
        <v/>
      </c>
      <c r="N307" s="39" t="str">
        <f aca="false">IF($C307="","",T307/$D$5)</f>
        <v/>
      </c>
      <c r="O307" s="39" t="str">
        <f aca="false">IF($C307="","",W307/$D$5)</f>
        <v/>
      </c>
      <c r="P307" s="51" t="str">
        <f aca="false">IF($C307="","",IF(MAX(Статистика!$B$7:$B$1006)&lt;$C307+$D$5,"Чекаємо даних",IF(S307=0,"Новий (без бази)",IF(OR(T307=0,W307=0),"Мало даних",IF(K307&lt;=-$F$5,"Покращило",IF(K307&gt;=$F$5,"Погіршило","Без змін"))))))</f>
        <v/>
      </c>
      <c r="Q307" s="50"/>
      <c r="R307" s="1"/>
      <c r="S307" s="52" t="str">
        <f aca="false">IF($C307="","",SUMIFS(Статистика!$E$7:$E$1006,Статистика!$B$7:$B$1006,"&gt;="&amp;($C307-$D$5),Статистика!$B$7:$B$1006,"&lt;="&amp;($C307-1),Статистика!$C$7:$C$1006,IF($D307="","&lt;&gt;§",$D307),Статистика!$D$7:$D$1006,IF($E307="","&lt;&gt;§",$E307)))</f>
        <v/>
      </c>
      <c r="T307" s="52" t="str">
        <f aca="false">IF($C307="","",SUMIFS(Статистика!$H$7:$H$1006,Статистика!$B$7:$B$1006,"&gt;="&amp;($C307-$D$5),Статистика!$B$7:$B$1006,"&lt;="&amp;($C307-1),Статистика!$C$7:$C$1006,IF($D307="","&lt;&gt;§",$D307),Статистика!$D$7:$D$1006,IF($E307="","&lt;&gt;§",$E307)))</f>
        <v/>
      </c>
      <c r="U307" s="52" t="str">
        <f aca="false">IF($C307="","",SUMIFS(Статистика!$T$7:$T$1006,Статистика!$B$7:$B$1006,"&gt;="&amp;($C307-$D$5),Статистика!$B$7:$B$1006,"&lt;="&amp;($C307-1),Статистика!$C$7:$C$1006,IF($D307="","&lt;&gt;§",$D307),Статистика!$D$7:$D$1006,IF($E307="","&lt;&gt;§",$E307)))</f>
        <v/>
      </c>
      <c r="V307" s="52" t="str">
        <f aca="false">IF($C307="","",SUMIFS(Статистика!$E$7:$E$1006,Статистика!$B$7:$B$1006,"&gt;="&amp;($C307+1),Статистика!$B$7:$B$1006,"&lt;="&amp;($C307+$D$5),Статистика!$C$7:$C$1006,IF($D307="","&lt;&gt;§",$D307),Статистика!$D$7:$D$1006,IF($E307="","&lt;&gt;§",$E307)))</f>
        <v/>
      </c>
      <c r="W307" s="52" t="str">
        <f aca="false">IF($C307="","",SUMIFS(Статистика!$H$7:$H$1006,Статистика!$B$7:$B$1006,"&gt;="&amp;($C307+1),Статистика!$B$7:$B$1006,"&lt;="&amp;($C307+$D$5),Статистика!$C$7:$C$1006,IF($D307="","&lt;&gt;§",$D307),Статистика!$D$7:$D$1006,IF($E307="","&lt;&gt;§",$E307)))</f>
        <v/>
      </c>
      <c r="X307" s="52" t="str">
        <f aca="false">IF($C307="","",SUMIFS(Статистика!$T$7:$T$1006,Статистика!$B$7:$B$1006,"&gt;="&amp;($C307+1),Статистика!$B$7:$B$1006,"&lt;="&amp;($C307+$D$5),Статистика!$C$7:$C$1006,IF($D307="","&lt;&gt;§",$D307),Статистика!$D$7:$D$1006,IF($E307="","&lt;&gt;§",$E307)))</f>
        <v/>
      </c>
      <c r="Y307" s="1"/>
      <c r="Z307" s="1"/>
      <c r="AA307" s="1"/>
      <c r="AB307" s="1"/>
      <c r="AC307" s="1"/>
      <c r="AD307" s="1"/>
    </row>
    <row r="308" customFormat="false" ht="30" hidden="false" customHeight="true" outlineLevel="0" collapsed="false">
      <c r="A308" s="1"/>
      <c r="B308" s="49" t="str">
        <f aca="false">IF($C308="","",ROW()-8)</f>
        <v/>
      </c>
      <c r="C308" s="35"/>
      <c r="D308" s="8"/>
      <c r="E308" s="26"/>
      <c r="F308" s="26"/>
      <c r="G308" s="50"/>
      <c r="H308" s="50"/>
      <c r="I308" s="30" t="str">
        <f aca="false">IF($C308="","",IFERROR(S308/T308,"—"))</f>
        <v/>
      </c>
      <c r="J308" s="30" t="str">
        <f aca="false">IF($C308="","",IFERROR(V308/W308,"—"))</f>
        <v/>
      </c>
      <c r="K308" s="41" t="str">
        <f aca="false">IF($C308="","",IFERROR(J308/I308-1,""))</f>
        <v/>
      </c>
      <c r="L308" s="41" t="str">
        <f aca="false">IF($C308="","",IFERROR((U308-S308)/S308,"—"))</f>
        <v/>
      </c>
      <c r="M308" s="41" t="str">
        <f aca="false">IF($C308="","",IFERROR((X308-V308)/V308,"—"))</f>
        <v/>
      </c>
      <c r="N308" s="39" t="str">
        <f aca="false">IF($C308="","",T308/$D$5)</f>
        <v/>
      </c>
      <c r="O308" s="39" t="str">
        <f aca="false">IF($C308="","",W308/$D$5)</f>
        <v/>
      </c>
      <c r="P308" s="51" t="str">
        <f aca="false">IF($C308="","",IF(MAX(Статистика!$B$7:$B$1006)&lt;$C308+$D$5,"Чекаємо даних",IF(S308=0,"Новий (без бази)",IF(OR(T308=0,W308=0),"Мало даних",IF(K308&lt;=-$F$5,"Покращило",IF(K308&gt;=$F$5,"Погіршило","Без змін"))))))</f>
        <v/>
      </c>
      <c r="Q308" s="50"/>
      <c r="R308" s="1"/>
      <c r="S308" s="52" t="str">
        <f aca="false">IF($C308="","",SUMIFS(Статистика!$E$7:$E$1006,Статистика!$B$7:$B$1006,"&gt;="&amp;($C308-$D$5),Статистика!$B$7:$B$1006,"&lt;="&amp;($C308-1),Статистика!$C$7:$C$1006,IF($D308="","&lt;&gt;§",$D308),Статистика!$D$7:$D$1006,IF($E308="","&lt;&gt;§",$E308)))</f>
        <v/>
      </c>
      <c r="T308" s="52" t="str">
        <f aca="false">IF($C308="","",SUMIFS(Статистика!$H$7:$H$1006,Статистика!$B$7:$B$1006,"&gt;="&amp;($C308-$D$5),Статистика!$B$7:$B$1006,"&lt;="&amp;($C308-1),Статистика!$C$7:$C$1006,IF($D308="","&lt;&gt;§",$D308),Статистика!$D$7:$D$1006,IF($E308="","&lt;&gt;§",$E308)))</f>
        <v/>
      </c>
      <c r="U308" s="52" t="str">
        <f aca="false">IF($C308="","",SUMIFS(Статистика!$T$7:$T$1006,Статистика!$B$7:$B$1006,"&gt;="&amp;($C308-$D$5),Статистика!$B$7:$B$1006,"&lt;="&amp;($C308-1),Статистика!$C$7:$C$1006,IF($D308="","&lt;&gt;§",$D308),Статистика!$D$7:$D$1006,IF($E308="","&lt;&gt;§",$E308)))</f>
        <v/>
      </c>
      <c r="V308" s="52" t="str">
        <f aca="false">IF($C308="","",SUMIFS(Статистика!$E$7:$E$1006,Статистика!$B$7:$B$1006,"&gt;="&amp;($C308+1),Статистика!$B$7:$B$1006,"&lt;="&amp;($C308+$D$5),Статистика!$C$7:$C$1006,IF($D308="","&lt;&gt;§",$D308),Статистика!$D$7:$D$1006,IF($E308="","&lt;&gt;§",$E308)))</f>
        <v/>
      </c>
      <c r="W308" s="52" t="str">
        <f aca="false">IF($C308="","",SUMIFS(Статистика!$H$7:$H$1006,Статистика!$B$7:$B$1006,"&gt;="&amp;($C308+1),Статистика!$B$7:$B$1006,"&lt;="&amp;($C308+$D$5),Статистика!$C$7:$C$1006,IF($D308="","&lt;&gt;§",$D308),Статистика!$D$7:$D$1006,IF($E308="","&lt;&gt;§",$E308)))</f>
        <v/>
      </c>
      <c r="X308" s="52" t="str">
        <f aca="false">IF($C308="","",SUMIFS(Статистика!$T$7:$T$1006,Статистика!$B$7:$B$1006,"&gt;="&amp;($C308+1),Статистика!$B$7:$B$1006,"&lt;="&amp;($C308+$D$5),Статистика!$C$7:$C$1006,IF($D308="","&lt;&gt;§",$D308),Статистика!$D$7:$D$1006,IF($E308="","&lt;&gt;§",$E308)))</f>
        <v/>
      </c>
      <c r="Y308" s="1"/>
      <c r="Z308" s="1"/>
      <c r="AA308" s="1"/>
      <c r="AB308" s="1"/>
      <c r="AC308" s="1"/>
      <c r="AD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</sheetData>
  <mergeCells count="4">
    <mergeCell ref="B5:C5"/>
    <mergeCell ref="G5:Q5"/>
    <mergeCell ref="B7:H7"/>
    <mergeCell ref="I7:P7"/>
  </mergeCells>
  <conditionalFormatting sqref="K9:K308">
    <cfRule type="expression" priority="2" aboveAverage="0" equalAverage="0" bottom="0" percent="0" rank="0" text="" dxfId="6">
      <formula>AND(ISNUMBER(K9),K9&lt;=-$F$5)</formula>
    </cfRule>
    <cfRule type="expression" priority="3" aboveAverage="0" equalAverage="0" bottom="0" percent="0" rank="0" text="" dxfId="7">
      <formula>AND(ISNUMBER(K9),K9&gt;=$F$5)</formula>
    </cfRule>
  </conditionalFormatting>
  <conditionalFormatting sqref="L9:M308">
    <cfRule type="expression" priority="4" aboveAverage="0" equalAverage="0" bottom="0" percent="0" rank="0" text="" dxfId="3">
      <formula>AND(ISNUMBER(L9),L9&lt;0)</formula>
    </cfRule>
    <cfRule type="expression" priority="5" aboveAverage="0" equalAverage="0" bottom="0" percent="0" rank="0" text="" dxfId="4">
      <formula>AND(ISNUMBER(L9),L9&gt;0)</formula>
    </cfRule>
  </conditionalFormatting>
  <conditionalFormatting sqref="P9:P308">
    <cfRule type="expression" priority="6" aboveAverage="0" equalAverage="0" bottom="0" percent="0" rank="0" text="" dxfId="0">
      <formula>$P9="Покращило"</formula>
    </cfRule>
    <cfRule type="expression" priority="7" aboveAverage="0" equalAverage="0" bottom="0" percent="0" rank="0" text="" dxfId="2">
      <formula>$P9="Погіршило"</formula>
    </cfRule>
    <cfRule type="expression" priority="8" aboveAverage="0" equalAverage="0" bottom="0" percent="0" rank="0" text="" dxfId="8">
      <formula>$P9="Без змін"</formula>
    </cfRule>
    <cfRule type="expression" priority="9" aboveAverage="0" equalAverage="0" bottom="0" percent="0" rank="0" text="" dxfId="1">
      <formula>$P9="Чекаємо даних"</formula>
    </cfRule>
    <cfRule type="expression" priority="10" aboveAverage="0" equalAverage="0" bottom="0" percent="0" rank="0" text="" dxfId="9">
      <formula>$P9="Мало даних"</formula>
    </cfRule>
    <cfRule type="expression" priority="11" aboveAverage="0" equalAverage="0" bottom="0" percent="0" rank="0" text="" dxfId="10">
      <formula>$P9="Новий (без бази)"</formula>
    </cfRule>
  </conditionalFormatting>
  <dataValidations count="2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D9:D308" type="list">
      <formula1>'Гео-калькулятор'!$B$7:$B$13</formula1>
      <formula2>0</formula2>
    </dataValidation>
    <dataValidation allowBlank="true" error="Оберіть значення зі списку (список редагується на аркуші «Списки»)." errorStyle="warning" errorTitle="Немає в списку" operator="between" showDropDown="false" showErrorMessage="true" showInputMessage="false" sqref="F9:F308" type="list">
      <formula1>Списки!$B$4:$B$25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D399"/>
    <pageSetUpPr fitToPage="true"/>
  </sheetPr>
  <dimension ref="A1:AD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170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8" hidden="false" customHeight="true" outlineLevel="0" collapsed="false">
      <c r="A5" s="1"/>
      <c r="B5" s="53" t="s">
        <v>172</v>
      </c>
      <c r="C5" s="53"/>
      <c r="D5" s="53" t="s">
        <v>173</v>
      </c>
      <c r="E5" s="53"/>
      <c r="F5" s="53" t="s">
        <v>174</v>
      </c>
      <c r="G5" s="53"/>
      <c r="H5" s="53" t="s">
        <v>45</v>
      </c>
      <c r="I5" s="53"/>
      <c r="J5" s="53" t="s">
        <v>175</v>
      </c>
      <c r="K5" s="53"/>
      <c r="L5" s="53" t="s">
        <v>176</v>
      </c>
      <c r="M5" s="53"/>
      <c r="N5" s="53" t="s">
        <v>177</v>
      </c>
      <c r="O5" s="53"/>
      <c r="P5" s="53" t="s">
        <v>178</v>
      </c>
      <c r="Q5" s="5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30" hidden="false" customHeight="true" outlineLevel="0" collapsed="false">
      <c r="A6" s="1"/>
      <c r="B6" s="54" t="n">
        <f aca="false">SUM(D11:D41)</f>
        <v>150</v>
      </c>
      <c r="C6" s="54"/>
      <c r="D6" s="54" t="n">
        <f aca="false">SUM(I11:I41)</f>
        <v>224</v>
      </c>
      <c r="E6" s="54"/>
      <c r="F6" s="55" t="n">
        <f aca="false">SUM(J11:J41)</f>
        <v>74</v>
      </c>
      <c r="G6" s="55"/>
      <c r="H6" s="56" t="n">
        <f aca="false">IFERROR(SUM(J11:J41)/SUM(D11:D41),"–")</f>
        <v>0.493333333333333</v>
      </c>
      <c r="I6" s="56"/>
      <c r="J6" s="57" t="n">
        <f aca="false">SUM(G11:G41)</f>
        <v>21</v>
      </c>
      <c r="K6" s="57"/>
      <c r="L6" s="58" t="n">
        <f aca="false">IFERROR(SUM(D11:D41)/SUM(G11:G41),"–")</f>
        <v>7.14285714285714</v>
      </c>
      <c r="M6" s="58"/>
      <c r="N6" s="57" t="n">
        <f aca="false">SUM(H11:H41)</f>
        <v>8</v>
      </c>
      <c r="O6" s="57"/>
      <c r="P6" s="58" t="n">
        <f aca="false">IFERROR(SUM(D11:D41)/SUM(H11:H41),"–")</f>
        <v>18.75</v>
      </c>
      <c r="Q6" s="5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6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33" t="s">
        <v>179</v>
      </c>
      <c r="C8" s="33"/>
      <c r="D8" s="35"/>
      <c r="E8" s="59" t="s">
        <v>180</v>
      </c>
      <c r="F8" s="59"/>
      <c r="G8" s="59"/>
      <c r="H8" s="59"/>
      <c r="I8" s="59"/>
      <c r="J8" s="59"/>
      <c r="K8" s="1"/>
      <c r="L8" s="60" t="s">
        <v>181</v>
      </c>
      <c r="M8" s="61" t="n">
        <f aca="true">IF($D$8&lt;&gt;"",$D$8,IF(COUNT(Статистика!$B$7:$B$1006)=0,DATE(YEAR(TODAY()),MONTH(TODAY()),1),DATE(YEAR(MAX(Статистика!$B$7:$B$1006)),MONTH(MAX(Статистика!$B$7:$B$1006)),1)))</f>
        <v>46296</v>
      </c>
      <c r="N8" s="61"/>
      <c r="O8" s="62" t="s">
        <v>182</v>
      </c>
      <c r="P8" s="61" t="n">
        <f aca="false">IF($D$8&lt;&gt;"",$D$8+30,EOMONTH($M$8,0))</f>
        <v>46326</v>
      </c>
      <c r="Q8" s="6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6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33.75" hidden="false" customHeight="true" outlineLevel="0" collapsed="false">
      <c r="A10" s="1"/>
      <c r="B10" s="25" t="s">
        <v>121</v>
      </c>
      <c r="C10" s="25" t="s">
        <v>183</v>
      </c>
      <c r="D10" s="25" t="s">
        <v>123</v>
      </c>
      <c r="E10" s="25" t="s">
        <v>124</v>
      </c>
      <c r="F10" s="25" t="s">
        <v>125</v>
      </c>
      <c r="G10" s="25" t="s">
        <v>126</v>
      </c>
      <c r="H10" s="25" t="s">
        <v>133</v>
      </c>
      <c r="I10" s="25" t="s">
        <v>136</v>
      </c>
      <c r="J10" s="25" t="s">
        <v>137</v>
      </c>
      <c r="K10" s="25" t="s">
        <v>45</v>
      </c>
      <c r="L10" s="25" t="s">
        <v>78</v>
      </c>
      <c r="M10" s="25" t="s">
        <v>128</v>
      </c>
      <c r="N10" s="25" t="s">
        <v>129</v>
      </c>
      <c r="O10" s="25" t="s">
        <v>130</v>
      </c>
      <c r="P10" s="25" t="s">
        <v>131</v>
      </c>
      <c r="Q10" s="25" t="s">
        <v>135</v>
      </c>
      <c r="R10" s="25" t="s">
        <v>184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8" hidden="false" customHeight="true" outlineLevel="0" collapsed="false">
      <c r="A11" s="1"/>
      <c r="B11" s="63" t="n">
        <f aca="false">$M$8</f>
        <v>46296</v>
      </c>
      <c r="C11" s="10" t="str">
        <f aca="false">IF($B11="","",CHOOSE(WEEKDAY(B11,2),"Пн","Вт","Ср","Чт","Пт","Сб","Нд"))</f>
        <v>Чт</v>
      </c>
      <c r="D11" s="30" t="n">
        <f aca="false">IF($B11="","",SUMIFS(Статистика!$E$7:$E$1006,Статистика!$B$7:$B$1006,$B11))</f>
        <v>150</v>
      </c>
      <c r="E11" s="64" t="n">
        <f aca="false">IF($B11="","",SUMIFS(Статистика!$F$7:$F$1006,Статистика!$B$7:$B$1006,$B11))</f>
        <v>20000</v>
      </c>
      <c r="F11" s="64" t="n">
        <f aca="false">IF($B11="","",SUMIFS(Статистика!$G$7:$G$1006,Статистика!$B$7:$B$1006,$B11))</f>
        <v>420</v>
      </c>
      <c r="G11" s="64" t="n">
        <f aca="false">IF($B11="","",SUMIFS(Статистика!$H$7:$H$1006,Статистика!$B$7:$B$1006,$B11))</f>
        <v>21</v>
      </c>
      <c r="H11" s="39" t="n">
        <f aca="false">IF($B11="","",SUMIFS(Статистика!$Q$7:$Q$1006,Статистика!$B$7:$B$1006,$B11))</f>
        <v>8</v>
      </c>
      <c r="I11" s="30" t="n">
        <f aca="false">IF($B11="","",SUMIFS(Статистика!$T$7:$T$1006,Статистика!$B$7:$B$1006,$B11))</f>
        <v>224</v>
      </c>
      <c r="J11" s="65" t="n">
        <f aca="false">IF($B11="","",I11-D11)</f>
        <v>74</v>
      </c>
      <c r="K11" s="41" t="n">
        <f aca="false">IF($B11="","",IFERROR(J11/D11,""))</f>
        <v>0.493333333333333</v>
      </c>
      <c r="L11" s="37" t="n">
        <f aca="false">IF($B11="","",IFERROR(F11/E11,""))</f>
        <v>0.021</v>
      </c>
      <c r="M11" s="30" t="n">
        <f aca="false">IF($B11="","",IFERROR(D11/F11,""))</f>
        <v>0.357142857142857</v>
      </c>
      <c r="N11" s="30" t="n">
        <f aca="false">IF($B11="","",IFERROR(D11/E11*1000,""))</f>
        <v>7.5</v>
      </c>
      <c r="O11" s="37" t="n">
        <f aca="false">IF($B11="","",IFERROR(G11/F11,""))</f>
        <v>0.05</v>
      </c>
      <c r="P11" s="30" t="n">
        <f aca="false">IF($B11="","",IFERROR(D11/G11,""))</f>
        <v>7.14285714285714</v>
      </c>
      <c r="Q11" s="30" t="n">
        <f aca="false">IF($B11="","",IFERROR(D11/H11,""))</f>
        <v>18.75</v>
      </c>
      <c r="R11" s="40" t="n">
        <f aca="false">IF(OR($B11="",$B11&gt;MAX(Статистика!$B$7:$B$1006)),"",SUM($J$11:J11))</f>
        <v>74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8" hidden="false" customHeight="true" outlineLevel="0" collapsed="false">
      <c r="A12" s="1"/>
      <c r="B12" s="63" t="n">
        <f aca="false">IF(B11="","",IF(B11+1&gt;$P$8,"",B11+1))</f>
        <v>46297</v>
      </c>
      <c r="C12" s="10" t="str">
        <f aca="false">IF($B12="","",CHOOSE(WEEKDAY(B12,2),"Пн","Вт","Ср","Чт","Пт","Сб","Нд"))</f>
        <v>Пт</v>
      </c>
      <c r="D12" s="30" t="n">
        <f aca="false">IF($B12="","",SUMIFS(Статистика!$E$7:$E$1006,Статистика!$B$7:$B$1006,$B12))</f>
        <v>0</v>
      </c>
      <c r="E12" s="64" t="n">
        <f aca="false">IF($B12="","",SUMIFS(Статистика!$F$7:$F$1006,Статистика!$B$7:$B$1006,$B12))</f>
        <v>0</v>
      </c>
      <c r="F12" s="64" t="n">
        <f aca="false">IF($B12="","",SUMIFS(Статистика!$G$7:$G$1006,Статистика!$B$7:$B$1006,$B12))</f>
        <v>0</v>
      </c>
      <c r="G12" s="64" t="n">
        <f aca="false">IF($B12="","",SUMIFS(Статистика!$H$7:$H$1006,Статистика!$B$7:$B$1006,$B12))</f>
        <v>0</v>
      </c>
      <c r="H12" s="39" t="n">
        <f aca="false">IF($B12="","",SUMIFS(Статистика!$Q$7:$Q$1006,Статистика!$B$7:$B$1006,$B12))</f>
        <v>0</v>
      </c>
      <c r="I12" s="30" t="n">
        <f aca="false">IF($B12="","",SUMIFS(Статистика!$T$7:$T$1006,Статистика!$B$7:$B$1006,$B12))</f>
        <v>0</v>
      </c>
      <c r="J12" s="65" t="n">
        <f aca="false">IF($B12="","",I12-D12)</f>
        <v>0</v>
      </c>
      <c r="K12" s="41" t="str">
        <f aca="false">IF($B12="","",IFERROR(J12/D12,""))</f>
        <v/>
      </c>
      <c r="L12" s="37" t="str">
        <f aca="false">IF($B12="","",IFERROR(F12/E12,""))</f>
        <v/>
      </c>
      <c r="M12" s="30" t="str">
        <f aca="false">IF($B12="","",IFERROR(D12/F12,""))</f>
        <v/>
      </c>
      <c r="N12" s="30" t="str">
        <f aca="false">IF($B12="","",IFERROR(D12/E12*1000,""))</f>
        <v/>
      </c>
      <c r="O12" s="37" t="str">
        <f aca="false">IF($B12="","",IFERROR(G12/F12,""))</f>
        <v/>
      </c>
      <c r="P12" s="30" t="str">
        <f aca="false">IF($B12="","",IFERROR(D12/G12,""))</f>
        <v/>
      </c>
      <c r="Q12" s="30" t="str">
        <f aca="false">IF($B12="","",IFERROR(D12/H12,""))</f>
        <v/>
      </c>
      <c r="R12" s="40" t="str">
        <f aca="false">IF(OR($B12="",$B12&gt;MAX(Статистика!$B$7:$B$1006)),"",SUM($J$11:J12))</f>
        <v/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8" hidden="false" customHeight="true" outlineLevel="0" collapsed="false">
      <c r="A13" s="1"/>
      <c r="B13" s="63" t="n">
        <f aca="false">IF(B12="","",IF(B12+1&gt;$P$8,"",B12+1))</f>
        <v>46298</v>
      </c>
      <c r="C13" s="10" t="str">
        <f aca="false">IF($B13="","",CHOOSE(WEEKDAY(B13,2),"Пн","Вт","Ср","Чт","Пт","Сб","Нд"))</f>
        <v>Сб</v>
      </c>
      <c r="D13" s="30" t="n">
        <f aca="false">IF($B13="","",SUMIFS(Статистика!$E$7:$E$1006,Статистика!$B$7:$B$1006,$B13))</f>
        <v>0</v>
      </c>
      <c r="E13" s="64" t="n">
        <f aca="false">IF($B13="","",SUMIFS(Статистика!$F$7:$F$1006,Статистика!$B$7:$B$1006,$B13))</f>
        <v>0</v>
      </c>
      <c r="F13" s="64" t="n">
        <f aca="false">IF($B13="","",SUMIFS(Статистика!$G$7:$G$1006,Статистика!$B$7:$B$1006,$B13))</f>
        <v>0</v>
      </c>
      <c r="G13" s="64" t="n">
        <f aca="false">IF($B13="","",SUMIFS(Статистика!$H$7:$H$1006,Статистика!$B$7:$B$1006,$B13))</f>
        <v>0</v>
      </c>
      <c r="H13" s="39" t="n">
        <f aca="false">IF($B13="","",SUMIFS(Статистика!$Q$7:$Q$1006,Статистика!$B$7:$B$1006,$B13))</f>
        <v>0</v>
      </c>
      <c r="I13" s="30" t="n">
        <f aca="false">IF($B13="","",SUMIFS(Статистика!$T$7:$T$1006,Статистика!$B$7:$B$1006,$B13))</f>
        <v>0</v>
      </c>
      <c r="J13" s="65" t="n">
        <f aca="false">IF($B13="","",I13-D13)</f>
        <v>0</v>
      </c>
      <c r="K13" s="41" t="str">
        <f aca="false">IF($B13="","",IFERROR(J13/D13,""))</f>
        <v/>
      </c>
      <c r="L13" s="37" t="str">
        <f aca="false">IF($B13="","",IFERROR(F13/E13,""))</f>
        <v/>
      </c>
      <c r="M13" s="30" t="str">
        <f aca="false">IF($B13="","",IFERROR(D13/F13,""))</f>
        <v/>
      </c>
      <c r="N13" s="30" t="str">
        <f aca="false">IF($B13="","",IFERROR(D13/E13*1000,""))</f>
        <v/>
      </c>
      <c r="O13" s="37" t="str">
        <f aca="false">IF($B13="","",IFERROR(G13/F13,""))</f>
        <v/>
      </c>
      <c r="P13" s="30" t="str">
        <f aca="false">IF($B13="","",IFERROR(D13/G13,""))</f>
        <v/>
      </c>
      <c r="Q13" s="30" t="str">
        <f aca="false">IF($B13="","",IFERROR(D13/H13,""))</f>
        <v/>
      </c>
      <c r="R13" s="40" t="str">
        <f aca="false">IF(OR($B13="",$B13&gt;MAX(Статистика!$B$7:$B$1006)),"",SUM($J$11:J13))</f>
        <v/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8" hidden="false" customHeight="true" outlineLevel="0" collapsed="false">
      <c r="A14" s="1"/>
      <c r="B14" s="63" t="n">
        <f aca="false">IF(B13="","",IF(B13+1&gt;$P$8,"",B13+1))</f>
        <v>46299</v>
      </c>
      <c r="C14" s="10" t="str">
        <f aca="false">IF($B14="","",CHOOSE(WEEKDAY(B14,2),"Пн","Вт","Ср","Чт","Пт","Сб","Нд"))</f>
        <v>Нд</v>
      </c>
      <c r="D14" s="30" t="n">
        <f aca="false">IF($B14="","",SUMIFS(Статистика!$E$7:$E$1006,Статистика!$B$7:$B$1006,$B14))</f>
        <v>0</v>
      </c>
      <c r="E14" s="64" t="n">
        <f aca="false">IF($B14="","",SUMIFS(Статистика!$F$7:$F$1006,Статистика!$B$7:$B$1006,$B14))</f>
        <v>0</v>
      </c>
      <c r="F14" s="64" t="n">
        <f aca="false">IF($B14="","",SUMIFS(Статистика!$G$7:$G$1006,Статистика!$B$7:$B$1006,$B14))</f>
        <v>0</v>
      </c>
      <c r="G14" s="64" t="n">
        <f aca="false">IF($B14="","",SUMIFS(Статистика!$H$7:$H$1006,Статистика!$B$7:$B$1006,$B14))</f>
        <v>0</v>
      </c>
      <c r="H14" s="39" t="n">
        <f aca="false">IF($B14="","",SUMIFS(Статистика!$Q$7:$Q$1006,Статистика!$B$7:$B$1006,$B14))</f>
        <v>0</v>
      </c>
      <c r="I14" s="30" t="n">
        <f aca="false">IF($B14="","",SUMIFS(Статистика!$T$7:$T$1006,Статистика!$B$7:$B$1006,$B14))</f>
        <v>0</v>
      </c>
      <c r="J14" s="65" t="n">
        <f aca="false">IF($B14="","",I14-D14)</f>
        <v>0</v>
      </c>
      <c r="K14" s="41" t="str">
        <f aca="false">IF($B14="","",IFERROR(J14/D14,""))</f>
        <v/>
      </c>
      <c r="L14" s="37" t="str">
        <f aca="false">IF($B14="","",IFERROR(F14/E14,""))</f>
        <v/>
      </c>
      <c r="M14" s="30" t="str">
        <f aca="false">IF($B14="","",IFERROR(D14/F14,""))</f>
        <v/>
      </c>
      <c r="N14" s="30" t="str">
        <f aca="false">IF($B14="","",IFERROR(D14/E14*1000,""))</f>
        <v/>
      </c>
      <c r="O14" s="37" t="str">
        <f aca="false">IF($B14="","",IFERROR(G14/F14,""))</f>
        <v/>
      </c>
      <c r="P14" s="30" t="str">
        <f aca="false">IF($B14="","",IFERROR(D14/G14,""))</f>
        <v/>
      </c>
      <c r="Q14" s="30" t="str">
        <f aca="false">IF($B14="","",IFERROR(D14/H14,""))</f>
        <v/>
      </c>
      <c r="R14" s="40" t="str">
        <f aca="false">IF(OR($B14="",$B14&gt;MAX(Статистика!$B$7:$B$1006)),"",SUM($J$11:J14))</f>
        <v/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8" hidden="false" customHeight="true" outlineLevel="0" collapsed="false">
      <c r="A15" s="1"/>
      <c r="B15" s="63" t="n">
        <f aca="false">IF(B14="","",IF(B14+1&gt;$P$8,"",B14+1))</f>
        <v>46300</v>
      </c>
      <c r="C15" s="10" t="str">
        <f aca="false">IF($B15="","",CHOOSE(WEEKDAY(B15,2),"Пн","Вт","Ср","Чт","Пт","Сб","Нд"))</f>
        <v>Пн</v>
      </c>
      <c r="D15" s="30" t="n">
        <f aca="false">IF($B15="","",SUMIFS(Статистика!$E$7:$E$1006,Статистика!$B$7:$B$1006,$B15))</f>
        <v>0</v>
      </c>
      <c r="E15" s="64" t="n">
        <f aca="false">IF($B15="","",SUMIFS(Статистика!$F$7:$F$1006,Статистика!$B$7:$B$1006,$B15))</f>
        <v>0</v>
      </c>
      <c r="F15" s="64" t="n">
        <f aca="false">IF($B15="","",SUMIFS(Статистика!$G$7:$G$1006,Статистика!$B$7:$B$1006,$B15))</f>
        <v>0</v>
      </c>
      <c r="G15" s="64" t="n">
        <f aca="false">IF($B15="","",SUMIFS(Статистика!$H$7:$H$1006,Статистика!$B$7:$B$1006,$B15))</f>
        <v>0</v>
      </c>
      <c r="H15" s="39" t="n">
        <f aca="false">IF($B15="","",SUMIFS(Статистика!$Q$7:$Q$1006,Статистика!$B$7:$B$1006,$B15))</f>
        <v>0</v>
      </c>
      <c r="I15" s="30" t="n">
        <f aca="false">IF($B15="","",SUMIFS(Статистика!$T$7:$T$1006,Статистика!$B$7:$B$1006,$B15))</f>
        <v>0</v>
      </c>
      <c r="J15" s="65" t="n">
        <f aca="false">IF($B15="","",I15-D15)</f>
        <v>0</v>
      </c>
      <c r="K15" s="41" t="str">
        <f aca="false">IF($B15="","",IFERROR(J15/D15,""))</f>
        <v/>
      </c>
      <c r="L15" s="37" t="str">
        <f aca="false">IF($B15="","",IFERROR(F15/E15,""))</f>
        <v/>
      </c>
      <c r="M15" s="30" t="str">
        <f aca="false">IF($B15="","",IFERROR(D15/F15,""))</f>
        <v/>
      </c>
      <c r="N15" s="30" t="str">
        <f aca="false">IF($B15="","",IFERROR(D15/E15*1000,""))</f>
        <v/>
      </c>
      <c r="O15" s="37" t="str">
        <f aca="false">IF($B15="","",IFERROR(G15/F15,""))</f>
        <v/>
      </c>
      <c r="P15" s="30" t="str">
        <f aca="false">IF($B15="","",IFERROR(D15/G15,""))</f>
        <v/>
      </c>
      <c r="Q15" s="30" t="str">
        <f aca="false">IF($B15="","",IFERROR(D15/H15,""))</f>
        <v/>
      </c>
      <c r="R15" s="40" t="str">
        <f aca="false">IF(OR($B15="",$B15&gt;MAX(Статистика!$B$7:$B$1006)),"",SUM($J$11:J15))</f>
        <v/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8" hidden="false" customHeight="true" outlineLevel="0" collapsed="false">
      <c r="A16" s="1"/>
      <c r="B16" s="63" t="n">
        <f aca="false">IF(B15="","",IF(B15+1&gt;$P$8,"",B15+1))</f>
        <v>46301</v>
      </c>
      <c r="C16" s="10" t="str">
        <f aca="false">IF($B16="","",CHOOSE(WEEKDAY(B16,2),"Пн","Вт","Ср","Чт","Пт","Сб","Нд"))</f>
        <v>Вт</v>
      </c>
      <c r="D16" s="30" t="n">
        <f aca="false">IF($B16="","",SUMIFS(Статистика!$E$7:$E$1006,Статистика!$B$7:$B$1006,$B16))</f>
        <v>0</v>
      </c>
      <c r="E16" s="64" t="n">
        <f aca="false">IF($B16="","",SUMIFS(Статистика!$F$7:$F$1006,Статистика!$B$7:$B$1006,$B16))</f>
        <v>0</v>
      </c>
      <c r="F16" s="64" t="n">
        <f aca="false">IF($B16="","",SUMIFS(Статистика!$G$7:$G$1006,Статистика!$B$7:$B$1006,$B16))</f>
        <v>0</v>
      </c>
      <c r="G16" s="64" t="n">
        <f aca="false">IF($B16="","",SUMIFS(Статистика!$H$7:$H$1006,Статистика!$B$7:$B$1006,$B16))</f>
        <v>0</v>
      </c>
      <c r="H16" s="39" t="n">
        <f aca="false">IF($B16="","",SUMIFS(Статистика!$Q$7:$Q$1006,Статистика!$B$7:$B$1006,$B16))</f>
        <v>0</v>
      </c>
      <c r="I16" s="30" t="n">
        <f aca="false">IF($B16="","",SUMIFS(Статистика!$T$7:$T$1006,Статистика!$B$7:$B$1006,$B16))</f>
        <v>0</v>
      </c>
      <c r="J16" s="65" t="n">
        <f aca="false">IF($B16="","",I16-D16)</f>
        <v>0</v>
      </c>
      <c r="K16" s="41" t="str">
        <f aca="false">IF($B16="","",IFERROR(J16/D16,""))</f>
        <v/>
      </c>
      <c r="L16" s="37" t="str">
        <f aca="false">IF($B16="","",IFERROR(F16/E16,""))</f>
        <v/>
      </c>
      <c r="M16" s="30" t="str">
        <f aca="false">IF($B16="","",IFERROR(D16/F16,""))</f>
        <v/>
      </c>
      <c r="N16" s="30" t="str">
        <f aca="false">IF($B16="","",IFERROR(D16/E16*1000,""))</f>
        <v/>
      </c>
      <c r="O16" s="37" t="str">
        <f aca="false">IF($B16="","",IFERROR(G16/F16,""))</f>
        <v/>
      </c>
      <c r="P16" s="30" t="str">
        <f aca="false">IF($B16="","",IFERROR(D16/G16,""))</f>
        <v/>
      </c>
      <c r="Q16" s="30" t="str">
        <f aca="false">IF($B16="","",IFERROR(D16/H16,""))</f>
        <v/>
      </c>
      <c r="R16" s="40" t="str">
        <f aca="false">IF(OR($B16="",$B16&gt;MAX(Статистика!$B$7:$B$1006)),"",SUM($J$11:J16))</f>
        <v/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8" hidden="false" customHeight="true" outlineLevel="0" collapsed="false">
      <c r="A17" s="1"/>
      <c r="B17" s="63" t="n">
        <f aca="false">IF(B16="","",IF(B16+1&gt;$P$8,"",B16+1))</f>
        <v>46302</v>
      </c>
      <c r="C17" s="10" t="str">
        <f aca="false">IF($B17="","",CHOOSE(WEEKDAY(B17,2),"Пн","Вт","Ср","Чт","Пт","Сб","Нд"))</f>
        <v>Ср</v>
      </c>
      <c r="D17" s="30" t="n">
        <f aca="false">IF($B17="","",SUMIFS(Статистика!$E$7:$E$1006,Статистика!$B$7:$B$1006,$B17))</f>
        <v>0</v>
      </c>
      <c r="E17" s="64" t="n">
        <f aca="false">IF($B17="","",SUMIFS(Статистика!$F$7:$F$1006,Статистика!$B$7:$B$1006,$B17))</f>
        <v>0</v>
      </c>
      <c r="F17" s="64" t="n">
        <f aca="false">IF($B17="","",SUMIFS(Статистика!$G$7:$G$1006,Статистика!$B$7:$B$1006,$B17))</f>
        <v>0</v>
      </c>
      <c r="G17" s="64" t="n">
        <f aca="false">IF($B17="","",SUMIFS(Статистика!$H$7:$H$1006,Статистика!$B$7:$B$1006,$B17))</f>
        <v>0</v>
      </c>
      <c r="H17" s="39" t="n">
        <f aca="false">IF($B17="","",SUMIFS(Статистика!$Q$7:$Q$1006,Статистика!$B$7:$B$1006,$B17))</f>
        <v>0</v>
      </c>
      <c r="I17" s="30" t="n">
        <f aca="false">IF($B17="","",SUMIFS(Статистика!$T$7:$T$1006,Статистика!$B$7:$B$1006,$B17))</f>
        <v>0</v>
      </c>
      <c r="J17" s="65" t="n">
        <f aca="false">IF($B17="","",I17-D17)</f>
        <v>0</v>
      </c>
      <c r="K17" s="41" t="str">
        <f aca="false">IF($B17="","",IFERROR(J17/D17,""))</f>
        <v/>
      </c>
      <c r="L17" s="37" t="str">
        <f aca="false">IF($B17="","",IFERROR(F17/E17,""))</f>
        <v/>
      </c>
      <c r="M17" s="30" t="str">
        <f aca="false">IF($B17="","",IFERROR(D17/F17,""))</f>
        <v/>
      </c>
      <c r="N17" s="30" t="str">
        <f aca="false">IF($B17="","",IFERROR(D17/E17*1000,""))</f>
        <v/>
      </c>
      <c r="O17" s="37" t="str">
        <f aca="false">IF($B17="","",IFERROR(G17/F17,""))</f>
        <v/>
      </c>
      <c r="P17" s="30" t="str">
        <f aca="false">IF($B17="","",IFERROR(D17/G17,""))</f>
        <v/>
      </c>
      <c r="Q17" s="30" t="str">
        <f aca="false">IF($B17="","",IFERROR(D17/H17,""))</f>
        <v/>
      </c>
      <c r="R17" s="40" t="str">
        <f aca="false">IF(OR($B17="",$B17&gt;MAX(Статистика!$B$7:$B$1006)),"",SUM($J$11:J17))</f>
        <v/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8" hidden="false" customHeight="true" outlineLevel="0" collapsed="false">
      <c r="A18" s="1"/>
      <c r="B18" s="63" t="n">
        <f aca="false">IF(B17="","",IF(B17+1&gt;$P$8,"",B17+1))</f>
        <v>46303</v>
      </c>
      <c r="C18" s="10" t="str">
        <f aca="false">IF($B18="","",CHOOSE(WEEKDAY(B18,2),"Пн","Вт","Ср","Чт","Пт","Сб","Нд"))</f>
        <v>Чт</v>
      </c>
      <c r="D18" s="30" t="n">
        <f aca="false">IF($B18="","",SUMIFS(Статистика!$E$7:$E$1006,Статистика!$B$7:$B$1006,$B18))</f>
        <v>0</v>
      </c>
      <c r="E18" s="64" t="n">
        <f aca="false">IF($B18="","",SUMIFS(Статистика!$F$7:$F$1006,Статистика!$B$7:$B$1006,$B18))</f>
        <v>0</v>
      </c>
      <c r="F18" s="64" t="n">
        <f aca="false">IF($B18="","",SUMIFS(Статистика!$G$7:$G$1006,Статистика!$B$7:$B$1006,$B18))</f>
        <v>0</v>
      </c>
      <c r="G18" s="64" t="n">
        <f aca="false">IF($B18="","",SUMIFS(Статистика!$H$7:$H$1006,Статистика!$B$7:$B$1006,$B18))</f>
        <v>0</v>
      </c>
      <c r="H18" s="39" t="n">
        <f aca="false">IF($B18="","",SUMIFS(Статистика!$Q$7:$Q$1006,Статистика!$B$7:$B$1006,$B18))</f>
        <v>0</v>
      </c>
      <c r="I18" s="30" t="n">
        <f aca="false">IF($B18="","",SUMIFS(Статистика!$T$7:$T$1006,Статистика!$B$7:$B$1006,$B18))</f>
        <v>0</v>
      </c>
      <c r="J18" s="65" t="n">
        <f aca="false">IF($B18="","",I18-D18)</f>
        <v>0</v>
      </c>
      <c r="K18" s="41" t="str">
        <f aca="false">IF($B18="","",IFERROR(J18/D18,""))</f>
        <v/>
      </c>
      <c r="L18" s="37" t="str">
        <f aca="false">IF($B18="","",IFERROR(F18/E18,""))</f>
        <v/>
      </c>
      <c r="M18" s="30" t="str">
        <f aca="false">IF($B18="","",IFERROR(D18/F18,""))</f>
        <v/>
      </c>
      <c r="N18" s="30" t="str">
        <f aca="false">IF($B18="","",IFERROR(D18/E18*1000,""))</f>
        <v/>
      </c>
      <c r="O18" s="37" t="str">
        <f aca="false">IF($B18="","",IFERROR(G18/F18,""))</f>
        <v/>
      </c>
      <c r="P18" s="30" t="str">
        <f aca="false">IF($B18="","",IFERROR(D18/G18,""))</f>
        <v/>
      </c>
      <c r="Q18" s="30" t="str">
        <f aca="false">IF($B18="","",IFERROR(D18/H18,""))</f>
        <v/>
      </c>
      <c r="R18" s="40" t="str">
        <f aca="false">IF(OR($B18="",$B18&gt;MAX(Статистика!$B$7:$B$1006)),"",SUM($J$11:J18))</f>
        <v/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8" hidden="false" customHeight="true" outlineLevel="0" collapsed="false">
      <c r="A19" s="1"/>
      <c r="B19" s="63" t="n">
        <f aca="false">IF(B18="","",IF(B18+1&gt;$P$8,"",B18+1))</f>
        <v>46304</v>
      </c>
      <c r="C19" s="10" t="str">
        <f aca="false">IF($B19="","",CHOOSE(WEEKDAY(B19,2),"Пн","Вт","Ср","Чт","Пт","Сб","Нд"))</f>
        <v>Пт</v>
      </c>
      <c r="D19" s="30" t="n">
        <f aca="false">IF($B19="","",SUMIFS(Статистика!$E$7:$E$1006,Статистика!$B$7:$B$1006,$B19))</f>
        <v>0</v>
      </c>
      <c r="E19" s="64" t="n">
        <f aca="false">IF($B19="","",SUMIFS(Статистика!$F$7:$F$1006,Статистика!$B$7:$B$1006,$B19))</f>
        <v>0</v>
      </c>
      <c r="F19" s="64" t="n">
        <f aca="false">IF($B19="","",SUMIFS(Статистика!$G$7:$G$1006,Статистика!$B$7:$B$1006,$B19))</f>
        <v>0</v>
      </c>
      <c r="G19" s="64" t="n">
        <f aca="false">IF($B19="","",SUMIFS(Статистика!$H$7:$H$1006,Статистика!$B$7:$B$1006,$B19))</f>
        <v>0</v>
      </c>
      <c r="H19" s="39" t="n">
        <f aca="false">IF($B19="","",SUMIFS(Статистика!$Q$7:$Q$1006,Статистика!$B$7:$B$1006,$B19))</f>
        <v>0</v>
      </c>
      <c r="I19" s="30" t="n">
        <f aca="false">IF($B19="","",SUMIFS(Статистика!$T$7:$T$1006,Статистика!$B$7:$B$1006,$B19))</f>
        <v>0</v>
      </c>
      <c r="J19" s="65" t="n">
        <f aca="false">IF($B19="","",I19-D19)</f>
        <v>0</v>
      </c>
      <c r="K19" s="41" t="str">
        <f aca="false">IF($B19="","",IFERROR(J19/D19,""))</f>
        <v/>
      </c>
      <c r="L19" s="37" t="str">
        <f aca="false">IF($B19="","",IFERROR(F19/E19,""))</f>
        <v/>
      </c>
      <c r="M19" s="30" t="str">
        <f aca="false">IF($B19="","",IFERROR(D19/F19,""))</f>
        <v/>
      </c>
      <c r="N19" s="30" t="str">
        <f aca="false">IF($B19="","",IFERROR(D19/E19*1000,""))</f>
        <v/>
      </c>
      <c r="O19" s="37" t="str">
        <f aca="false">IF($B19="","",IFERROR(G19/F19,""))</f>
        <v/>
      </c>
      <c r="P19" s="30" t="str">
        <f aca="false">IF($B19="","",IFERROR(D19/G19,""))</f>
        <v/>
      </c>
      <c r="Q19" s="30" t="str">
        <f aca="false">IF($B19="","",IFERROR(D19/H19,""))</f>
        <v/>
      </c>
      <c r="R19" s="40" t="str">
        <f aca="false">IF(OR($B19="",$B19&gt;MAX(Статистика!$B$7:$B$1006)),"",SUM($J$11:J19))</f>
        <v/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8" hidden="false" customHeight="true" outlineLevel="0" collapsed="false">
      <c r="A20" s="1"/>
      <c r="B20" s="63" t="n">
        <f aca="false">IF(B19="","",IF(B19+1&gt;$P$8,"",B19+1))</f>
        <v>46305</v>
      </c>
      <c r="C20" s="10" t="str">
        <f aca="false">IF($B20="","",CHOOSE(WEEKDAY(B20,2),"Пн","Вт","Ср","Чт","Пт","Сб","Нд"))</f>
        <v>Сб</v>
      </c>
      <c r="D20" s="30" t="n">
        <f aca="false">IF($B20="","",SUMIFS(Статистика!$E$7:$E$1006,Статистика!$B$7:$B$1006,$B20))</f>
        <v>0</v>
      </c>
      <c r="E20" s="64" t="n">
        <f aca="false">IF($B20="","",SUMIFS(Статистика!$F$7:$F$1006,Статистика!$B$7:$B$1006,$B20))</f>
        <v>0</v>
      </c>
      <c r="F20" s="64" t="n">
        <f aca="false">IF($B20="","",SUMIFS(Статистика!$G$7:$G$1006,Статистика!$B$7:$B$1006,$B20))</f>
        <v>0</v>
      </c>
      <c r="G20" s="64" t="n">
        <f aca="false">IF($B20="","",SUMIFS(Статистика!$H$7:$H$1006,Статистика!$B$7:$B$1006,$B20))</f>
        <v>0</v>
      </c>
      <c r="H20" s="39" t="n">
        <f aca="false">IF($B20="","",SUMIFS(Статистика!$Q$7:$Q$1006,Статистика!$B$7:$B$1006,$B20))</f>
        <v>0</v>
      </c>
      <c r="I20" s="30" t="n">
        <f aca="false">IF($B20="","",SUMIFS(Статистика!$T$7:$T$1006,Статистика!$B$7:$B$1006,$B20))</f>
        <v>0</v>
      </c>
      <c r="J20" s="65" t="n">
        <f aca="false">IF($B20="","",I20-D20)</f>
        <v>0</v>
      </c>
      <c r="K20" s="41" t="str">
        <f aca="false">IF($B20="","",IFERROR(J20/D20,""))</f>
        <v/>
      </c>
      <c r="L20" s="37" t="str">
        <f aca="false">IF($B20="","",IFERROR(F20/E20,""))</f>
        <v/>
      </c>
      <c r="M20" s="30" t="str">
        <f aca="false">IF($B20="","",IFERROR(D20/F20,""))</f>
        <v/>
      </c>
      <c r="N20" s="30" t="str">
        <f aca="false">IF($B20="","",IFERROR(D20/E20*1000,""))</f>
        <v/>
      </c>
      <c r="O20" s="37" t="str">
        <f aca="false">IF($B20="","",IFERROR(G20/F20,""))</f>
        <v/>
      </c>
      <c r="P20" s="30" t="str">
        <f aca="false">IF($B20="","",IFERROR(D20/G20,""))</f>
        <v/>
      </c>
      <c r="Q20" s="30" t="str">
        <f aca="false">IF($B20="","",IFERROR(D20/H20,""))</f>
        <v/>
      </c>
      <c r="R20" s="40" t="str">
        <f aca="false">IF(OR($B20="",$B20&gt;MAX(Статистика!$B$7:$B$1006)),"",SUM($J$11:J20))</f>
        <v/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63" t="n">
        <f aca="false">IF(B20="","",IF(B20+1&gt;$P$8,"",B20+1))</f>
        <v>46306</v>
      </c>
      <c r="C21" s="10" t="str">
        <f aca="false">IF($B21="","",CHOOSE(WEEKDAY(B21,2),"Пн","Вт","Ср","Чт","Пт","Сб","Нд"))</f>
        <v>Нд</v>
      </c>
      <c r="D21" s="30" t="n">
        <f aca="false">IF($B21="","",SUMIFS(Статистика!$E$7:$E$1006,Статистика!$B$7:$B$1006,$B21))</f>
        <v>0</v>
      </c>
      <c r="E21" s="64" t="n">
        <f aca="false">IF($B21="","",SUMIFS(Статистика!$F$7:$F$1006,Статистика!$B$7:$B$1006,$B21))</f>
        <v>0</v>
      </c>
      <c r="F21" s="64" t="n">
        <f aca="false">IF($B21="","",SUMIFS(Статистика!$G$7:$G$1006,Статистика!$B$7:$B$1006,$B21))</f>
        <v>0</v>
      </c>
      <c r="G21" s="64" t="n">
        <f aca="false">IF($B21="","",SUMIFS(Статистика!$H$7:$H$1006,Статистика!$B$7:$B$1006,$B21))</f>
        <v>0</v>
      </c>
      <c r="H21" s="39" t="n">
        <f aca="false">IF($B21="","",SUMIFS(Статистика!$Q$7:$Q$1006,Статистика!$B$7:$B$1006,$B21))</f>
        <v>0</v>
      </c>
      <c r="I21" s="30" t="n">
        <f aca="false">IF($B21="","",SUMIFS(Статистика!$T$7:$T$1006,Статистика!$B$7:$B$1006,$B21))</f>
        <v>0</v>
      </c>
      <c r="J21" s="65" t="n">
        <f aca="false">IF($B21="","",I21-D21)</f>
        <v>0</v>
      </c>
      <c r="K21" s="41" t="str">
        <f aca="false">IF($B21="","",IFERROR(J21/D21,""))</f>
        <v/>
      </c>
      <c r="L21" s="37" t="str">
        <f aca="false">IF($B21="","",IFERROR(F21/E21,""))</f>
        <v/>
      </c>
      <c r="M21" s="30" t="str">
        <f aca="false">IF($B21="","",IFERROR(D21/F21,""))</f>
        <v/>
      </c>
      <c r="N21" s="30" t="str">
        <f aca="false">IF($B21="","",IFERROR(D21/E21*1000,""))</f>
        <v/>
      </c>
      <c r="O21" s="37" t="str">
        <f aca="false">IF($B21="","",IFERROR(G21/F21,""))</f>
        <v/>
      </c>
      <c r="P21" s="30" t="str">
        <f aca="false">IF($B21="","",IFERROR(D21/G21,""))</f>
        <v/>
      </c>
      <c r="Q21" s="30" t="str">
        <f aca="false">IF($B21="","",IFERROR(D21/H21,""))</f>
        <v/>
      </c>
      <c r="R21" s="40" t="str">
        <f aca="false">IF(OR($B21="",$B21&gt;MAX(Статистика!$B$7:$B$1006)),"",SUM($J$11:J21))</f>
        <v/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63" t="n">
        <f aca="false">IF(B21="","",IF(B21+1&gt;$P$8,"",B21+1))</f>
        <v>46307</v>
      </c>
      <c r="C22" s="10" t="str">
        <f aca="false">IF($B22="","",CHOOSE(WEEKDAY(B22,2),"Пн","Вт","Ср","Чт","Пт","Сб","Нд"))</f>
        <v>Пн</v>
      </c>
      <c r="D22" s="30" t="n">
        <f aca="false">IF($B22="","",SUMIFS(Статистика!$E$7:$E$1006,Статистика!$B$7:$B$1006,$B22))</f>
        <v>0</v>
      </c>
      <c r="E22" s="64" t="n">
        <f aca="false">IF($B22="","",SUMIFS(Статистика!$F$7:$F$1006,Статистика!$B$7:$B$1006,$B22))</f>
        <v>0</v>
      </c>
      <c r="F22" s="64" t="n">
        <f aca="false">IF($B22="","",SUMIFS(Статистика!$G$7:$G$1006,Статистика!$B$7:$B$1006,$B22))</f>
        <v>0</v>
      </c>
      <c r="G22" s="64" t="n">
        <f aca="false">IF($B22="","",SUMIFS(Статистика!$H$7:$H$1006,Статистика!$B$7:$B$1006,$B22))</f>
        <v>0</v>
      </c>
      <c r="H22" s="39" t="n">
        <f aca="false">IF($B22="","",SUMIFS(Статистика!$Q$7:$Q$1006,Статистика!$B$7:$B$1006,$B22))</f>
        <v>0</v>
      </c>
      <c r="I22" s="30" t="n">
        <f aca="false">IF($B22="","",SUMIFS(Статистика!$T$7:$T$1006,Статистика!$B$7:$B$1006,$B22))</f>
        <v>0</v>
      </c>
      <c r="J22" s="65" t="n">
        <f aca="false">IF($B22="","",I22-D22)</f>
        <v>0</v>
      </c>
      <c r="K22" s="41" t="str">
        <f aca="false">IF($B22="","",IFERROR(J22/D22,""))</f>
        <v/>
      </c>
      <c r="L22" s="37" t="str">
        <f aca="false">IF($B22="","",IFERROR(F22/E22,""))</f>
        <v/>
      </c>
      <c r="M22" s="30" t="str">
        <f aca="false">IF($B22="","",IFERROR(D22/F22,""))</f>
        <v/>
      </c>
      <c r="N22" s="30" t="str">
        <f aca="false">IF($B22="","",IFERROR(D22/E22*1000,""))</f>
        <v/>
      </c>
      <c r="O22" s="37" t="str">
        <f aca="false">IF($B22="","",IFERROR(G22/F22,""))</f>
        <v/>
      </c>
      <c r="P22" s="30" t="str">
        <f aca="false">IF($B22="","",IFERROR(D22/G22,""))</f>
        <v/>
      </c>
      <c r="Q22" s="30" t="str">
        <f aca="false">IF($B22="","",IFERROR(D22/H22,""))</f>
        <v/>
      </c>
      <c r="R22" s="40" t="str">
        <f aca="false">IF(OR($B22="",$B22&gt;MAX(Статистика!$B$7:$B$1006)),"",SUM($J$11:J22))</f>
        <v/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8" hidden="false" customHeight="true" outlineLevel="0" collapsed="false">
      <c r="A23" s="1"/>
      <c r="B23" s="63" t="n">
        <f aca="false">IF(B22="","",IF(B22+1&gt;$P$8,"",B22+1))</f>
        <v>46308</v>
      </c>
      <c r="C23" s="10" t="str">
        <f aca="false">IF($B23="","",CHOOSE(WEEKDAY(B23,2),"Пн","Вт","Ср","Чт","Пт","Сб","Нд"))</f>
        <v>Вт</v>
      </c>
      <c r="D23" s="30" t="n">
        <f aca="false">IF($B23="","",SUMIFS(Статистика!$E$7:$E$1006,Статистика!$B$7:$B$1006,$B23))</f>
        <v>0</v>
      </c>
      <c r="E23" s="64" t="n">
        <f aca="false">IF($B23="","",SUMIFS(Статистика!$F$7:$F$1006,Статистика!$B$7:$B$1006,$B23))</f>
        <v>0</v>
      </c>
      <c r="F23" s="64" t="n">
        <f aca="false">IF($B23="","",SUMIFS(Статистика!$G$7:$G$1006,Статистика!$B$7:$B$1006,$B23))</f>
        <v>0</v>
      </c>
      <c r="G23" s="64" t="n">
        <f aca="false">IF($B23="","",SUMIFS(Статистика!$H$7:$H$1006,Статистика!$B$7:$B$1006,$B23))</f>
        <v>0</v>
      </c>
      <c r="H23" s="39" t="n">
        <f aca="false">IF($B23="","",SUMIFS(Статистика!$Q$7:$Q$1006,Статистика!$B$7:$B$1006,$B23))</f>
        <v>0</v>
      </c>
      <c r="I23" s="30" t="n">
        <f aca="false">IF($B23="","",SUMIFS(Статистика!$T$7:$T$1006,Статистика!$B$7:$B$1006,$B23))</f>
        <v>0</v>
      </c>
      <c r="J23" s="65" t="n">
        <f aca="false">IF($B23="","",I23-D23)</f>
        <v>0</v>
      </c>
      <c r="K23" s="41" t="str">
        <f aca="false">IF($B23="","",IFERROR(J23/D23,""))</f>
        <v/>
      </c>
      <c r="L23" s="37" t="str">
        <f aca="false">IF($B23="","",IFERROR(F23/E23,""))</f>
        <v/>
      </c>
      <c r="M23" s="30" t="str">
        <f aca="false">IF($B23="","",IFERROR(D23/F23,""))</f>
        <v/>
      </c>
      <c r="N23" s="30" t="str">
        <f aca="false">IF($B23="","",IFERROR(D23/E23*1000,""))</f>
        <v/>
      </c>
      <c r="O23" s="37" t="str">
        <f aca="false">IF($B23="","",IFERROR(G23/F23,""))</f>
        <v/>
      </c>
      <c r="P23" s="30" t="str">
        <f aca="false">IF($B23="","",IFERROR(D23/G23,""))</f>
        <v/>
      </c>
      <c r="Q23" s="30" t="str">
        <f aca="false">IF($B23="","",IFERROR(D23/H23,""))</f>
        <v/>
      </c>
      <c r="R23" s="40" t="str">
        <f aca="false">IF(OR($B23="",$B23&gt;MAX(Статистика!$B$7:$B$1006)),"",SUM($J$11:J23))</f>
        <v/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8" hidden="false" customHeight="true" outlineLevel="0" collapsed="false">
      <c r="A24" s="1"/>
      <c r="B24" s="63" t="n">
        <f aca="false">IF(B23="","",IF(B23+1&gt;$P$8,"",B23+1))</f>
        <v>46309</v>
      </c>
      <c r="C24" s="10" t="str">
        <f aca="false">IF($B24="","",CHOOSE(WEEKDAY(B24,2),"Пн","Вт","Ср","Чт","Пт","Сб","Нд"))</f>
        <v>Ср</v>
      </c>
      <c r="D24" s="30" t="n">
        <f aca="false">IF($B24="","",SUMIFS(Статистика!$E$7:$E$1006,Статистика!$B$7:$B$1006,$B24))</f>
        <v>0</v>
      </c>
      <c r="E24" s="64" t="n">
        <f aca="false">IF($B24="","",SUMIFS(Статистика!$F$7:$F$1006,Статистика!$B$7:$B$1006,$B24))</f>
        <v>0</v>
      </c>
      <c r="F24" s="64" t="n">
        <f aca="false">IF($B24="","",SUMIFS(Статистика!$G$7:$G$1006,Статистика!$B$7:$B$1006,$B24))</f>
        <v>0</v>
      </c>
      <c r="G24" s="64" t="n">
        <f aca="false">IF($B24="","",SUMIFS(Статистика!$H$7:$H$1006,Статистика!$B$7:$B$1006,$B24))</f>
        <v>0</v>
      </c>
      <c r="H24" s="39" t="n">
        <f aca="false">IF($B24="","",SUMIFS(Статистика!$Q$7:$Q$1006,Статистика!$B$7:$B$1006,$B24))</f>
        <v>0</v>
      </c>
      <c r="I24" s="30" t="n">
        <f aca="false">IF($B24="","",SUMIFS(Статистика!$T$7:$T$1006,Статистика!$B$7:$B$1006,$B24))</f>
        <v>0</v>
      </c>
      <c r="J24" s="65" t="n">
        <f aca="false">IF($B24="","",I24-D24)</f>
        <v>0</v>
      </c>
      <c r="K24" s="41" t="str">
        <f aca="false">IF($B24="","",IFERROR(J24/D24,""))</f>
        <v/>
      </c>
      <c r="L24" s="37" t="str">
        <f aca="false">IF($B24="","",IFERROR(F24/E24,""))</f>
        <v/>
      </c>
      <c r="M24" s="30" t="str">
        <f aca="false">IF($B24="","",IFERROR(D24/F24,""))</f>
        <v/>
      </c>
      <c r="N24" s="30" t="str">
        <f aca="false">IF($B24="","",IFERROR(D24/E24*1000,""))</f>
        <v/>
      </c>
      <c r="O24" s="37" t="str">
        <f aca="false">IF($B24="","",IFERROR(G24/F24,""))</f>
        <v/>
      </c>
      <c r="P24" s="30" t="str">
        <f aca="false">IF($B24="","",IFERROR(D24/G24,""))</f>
        <v/>
      </c>
      <c r="Q24" s="30" t="str">
        <f aca="false">IF($B24="","",IFERROR(D24/H24,""))</f>
        <v/>
      </c>
      <c r="R24" s="40" t="str">
        <f aca="false">IF(OR($B24="",$B24&gt;MAX(Статистика!$B$7:$B$1006)),"",SUM($J$11:J24))</f>
        <v/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8" hidden="false" customHeight="true" outlineLevel="0" collapsed="false">
      <c r="A25" s="1"/>
      <c r="B25" s="63" t="n">
        <f aca="false">IF(B24="","",IF(B24+1&gt;$P$8,"",B24+1))</f>
        <v>46310</v>
      </c>
      <c r="C25" s="10" t="str">
        <f aca="false">IF($B25="","",CHOOSE(WEEKDAY(B25,2),"Пн","Вт","Ср","Чт","Пт","Сб","Нд"))</f>
        <v>Чт</v>
      </c>
      <c r="D25" s="30" t="n">
        <f aca="false">IF($B25="","",SUMIFS(Статистика!$E$7:$E$1006,Статистика!$B$7:$B$1006,$B25))</f>
        <v>0</v>
      </c>
      <c r="E25" s="64" t="n">
        <f aca="false">IF($B25="","",SUMIFS(Статистика!$F$7:$F$1006,Статистика!$B$7:$B$1006,$B25))</f>
        <v>0</v>
      </c>
      <c r="F25" s="64" t="n">
        <f aca="false">IF($B25="","",SUMIFS(Статистика!$G$7:$G$1006,Статистика!$B$7:$B$1006,$B25))</f>
        <v>0</v>
      </c>
      <c r="G25" s="64" t="n">
        <f aca="false">IF($B25="","",SUMIFS(Статистика!$H$7:$H$1006,Статистика!$B$7:$B$1006,$B25))</f>
        <v>0</v>
      </c>
      <c r="H25" s="39" t="n">
        <f aca="false">IF($B25="","",SUMIFS(Статистика!$Q$7:$Q$1006,Статистика!$B$7:$B$1006,$B25))</f>
        <v>0</v>
      </c>
      <c r="I25" s="30" t="n">
        <f aca="false">IF($B25="","",SUMIFS(Статистика!$T$7:$T$1006,Статистика!$B$7:$B$1006,$B25))</f>
        <v>0</v>
      </c>
      <c r="J25" s="65" t="n">
        <f aca="false">IF($B25="","",I25-D25)</f>
        <v>0</v>
      </c>
      <c r="K25" s="41" t="str">
        <f aca="false">IF($B25="","",IFERROR(J25/D25,""))</f>
        <v/>
      </c>
      <c r="L25" s="37" t="str">
        <f aca="false">IF($B25="","",IFERROR(F25/E25,""))</f>
        <v/>
      </c>
      <c r="M25" s="30" t="str">
        <f aca="false">IF($B25="","",IFERROR(D25/F25,""))</f>
        <v/>
      </c>
      <c r="N25" s="30" t="str">
        <f aca="false">IF($B25="","",IFERROR(D25/E25*1000,""))</f>
        <v/>
      </c>
      <c r="O25" s="37" t="str">
        <f aca="false">IF($B25="","",IFERROR(G25/F25,""))</f>
        <v/>
      </c>
      <c r="P25" s="30" t="str">
        <f aca="false">IF($B25="","",IFERROR(D25/G25,""))</f>
        <v/>
      </c>
      <c r="Q25" s="30" t="str">
        <f aca="false">IF($B25="","",IFERROR(D25/H25,""))</f>
        <v/>
      </c>
      <c r="R25" s="40" t="str">
        <f aca="false">IF(OR($B25="",$B25&gt;MAX(Статистика!$B$7:$B$1006)),"",SUM($J$11:J25))</f>
        <v/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8" hidden="false" customHeight="true" outlineLevel="0" collapsed="false">
      <c r="A26" s="1"/>
      <c r="B26" s="63" t="n">
        <f aca="false">IF(B25="","",IF(B25+1&gt;$P$8,"",B25+1))</f>
        <v>46311</v>
      </c>
      <c r="C26" s="10" t="str">
        <f aca="false">IF($B26="","",CHOOSE(WEEKDAY(B26,2),"Пн","Вт","Ср","Чт","Пт","Сб","Нд"))</f>
        <v>Пт</v>
      </c>
      <c r="D26" s="30" t="n">
        <f aca="false">IF($B26="","",SUMIFS(Статистика!$E$7:$E$1006,Статистика!$B$7:$B$1006,$B26))</f>
        <v>0</v>
      </c>
      <c r="E26" s="64" t="n">
        <f aca="false">IF($B26="","",SUMIFS(Статистика!$F$7:$F$1006,Статистика!$B$7:$B$1006,$B26))</f>
        <v>0</v>
      </c>
      <c r="F26" s="64" t="n">
        <f aca="false">IF($B26="","",SUMIFS(Статистика!$G$7:$G$1006,Статистика!$B$7:$B$1006,$B26))</f>
        <v>0</v>
      </c>
      <c r="G26" s="64" t="n">
        <f aca="false">IF($B26="","",SUMIFS(Статистика!$H$7:$H$1006,Статистика!$B$7:$B$1006,$B26))</f>
        <v>0</v>
      </c>
      <c r="H26" s="39" t="n">
        <f aca="false">IF($B26="","",SUMIFS(Статистика!$Q$7:$Q$1006,Статистика!$B$7:$B$1006,$B26))</f>
        <v>0</v>
      </c>
      <c r="I26" s="30" t="n">
        <f aca="false">IF($B26="","",SUMIFS(Статистика!$T$7:$T$1006,Статистика!$B$7:$B$1006,$B26))</f>
        <v>0</v>
      </c>
      <c r="J26" s="65" t="n">
        <f aca="false">IF($B26="","",I26-D26)</f>
        <v>0</v>
      </c>
      <c r="K26" s="41" t="str">
        <f aca="false">IF($B26="","",IFERROR(J26/D26,""))</f>
        <v/>
      </c>
      <c r="L26" s="37" t="str">
        <f aca="false">IF($B26="","",IFERROR(F26/E26,""))</f>
        <v/>
      </c>
      <c r="M26" s="30" t="str">
        <f aca="false">IF($B26="","",IFERROR(D26/F26,""))</f>
        <v/>
      </c>
      <c r="N26" s="30" t="str">
        <f aca="false">IF($B26="","",IFERROR(D26/E26*1000,""))</f>
        <v/>
      </c>
      <c r="O26" s="37" t="str">
        <f aca="false">IF($B26="","",IFERROR(G26/F26,""))</f>
        <v/>
      </c>
      <c r="P26" s="30" t="str">
        <f aca="false">IF($B26="","",IFERROR(D26/G26,""))</f>
        <v/>
      </c>
      <c r="Q26" s="30" t="str">
        <f aca="false">IF($B26="","",IFERROR(D26/H26,""))</f>
        <v/>
      </c>
      <c r="R26" s="40" t="str">
        <f aca="false">IF(OR($B26="",$B26&gt;MAX(Статистика!$B$7:$B$1006)),"",SUM($J$11:J26))</f>
        <v/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8" hidden="false" customHeight="true" outlineLevel="0" collapsed="false">
      <c r="A27" s="1"/>
      <c r="B27" s="63" t="n">
        <f aca="false">IF(B26="","",IF(B26+1&gt;$P$8,"",B26+1))</f>
        <v>46312</v>
      </c>
      <c r="C27" s="10" t="str">
        <f aca="false">IF($B27="","",CHOOSE(WEEKDAY(B27,2),"Пн","Вт","Ср","Чт","Пт","Сб","Нд"))</f>
        <v>Сб</v>
      </c>
      <c r="D27" s="30" t="n">
        <f aca="false">IF($B27="","",SUMIFS(Статистика!$E$7:$E$1006,Статистика!$B$7:$B$1006,$B27))</f>
        <v>0</v>
      </c>
      <c r="E27" s="64" t="n">
        <f aca="false">IF($B27="","",SUMIFS(Статистика!$F$7:$F$1006,Статистика!$B$7:$B$1006,$B27))</f>
        <v>0</v>
      </c>
      <c r="F27" s="64" t="n">
        <f aca="false">IF($B27="","",SUMIFS(Статистика!$G$7:$G$1006,Статистика!$B$7:$B$1006,$B27))</f>
        <v>0</v>
      </c>
      <c r="G27" s="64" t="n">
        <f aca="false">IF($B27="","",SUMIFS(Статистика!$H$7:$H$1006,Статистика!$B$7:$B$1006,$B27))</f>
        <v>0</v>
      </c>
      <c r="H27" s="39" t="n">
        <f aca="false">IF($B27="","",SUMIFS(Статистика!$Q$7:$Q$1006,Статистика!$B$7:$B$1006,$B27))</f>
        <v>0</v>
      </c>
      <c r="I27" s="30" t="n">
        <f aca="false">IF($B27="","",SUMIFS(Статистика!$T$7:$T$1006,Статистика!$B$7:$B$1006,$B27))</f>
        <v>0</v>
      </c>
      <c r="J27" s="65" t="n">
        <f aca="false">IF($B27="","",I27-D27)</f>
        <v>0</v>
      </c>
      <c r="K27" s="41" t="str">
        <f aca="false">IF($B27="","",IFERROR(J27/D27,""))</f>
        <v/>
      </c>
      <c r="L27" s="37" t="str">
        <f aca="false">IF($B27="","",IFERROR(F27/E27,""))</f>
        <v/>
      </c>
      <c r="M27" s="30" t="str">
        <f aca="false">IF($B27="","",IFERROR(D27/F27,""))</f>
        <v/>
      </c>
      <c r="N27" s="30" t="str">
        <f aca="false">IF($B27="","",IFERROR(D27/E27*1000,""))</f>
        <v/>
      </c>
      <c r="O27" s="37" t="str">
        <f aca="false">IF($B27="","",IFERROR(G27/F27,""))</f>
        <v/>
      </c>
      <c r="P27" s="30" t="str">
        <f aca="false">IF($B27="","",IFERROR(D27/G27,""))</f>
        <v/>
      </c>
      <c r="Q27" s="30" t="str">
        <f aca="false">IF($B27="","",IFERROR(D27/H27,""))</f>
        <v/>
      </c>
      <c r="R27" s="40" t="str">
        <f aca="false">IF(OR($B27="",$B27&gt;MAX(Статистика!$B$7:$B$1006)),"",SUM($J$11:J27))</f>
        <v/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8" hidden="false" customHeight="true" outlineLevel="0" collapsed="false">
      <c r="A28" s="1"/>
      <c r="B28" s="63" t="n">
        <f aca="false">IF(B27="","",IF(B27+1&gt;$P$8,"",B27+1))</f>
        <v>46313</v>
      </c>
      <c r="C28" s="10" t="str">
        <f aca="false">IF($B28="","",CHOOSE(WEEKDAY(B28,2),"Пн","Вт","Ср","Чт","Пт","Сб","Нд"))</f>
        <v>Нд</v>
      </c>
      <c r="D28" s="30" t="n">
        <f aca="false">IF($B28="","",SUMIFS(Статистика!$E$7:$E$1006,Статистика!$B$7:$B$1006,$B28))</f>
        <v>0</v>
      </c>
      <c r="E28" s="64" t="n">
        <f aca="false">IF($B28="","",SUMIFS(Статистика!$F$7:$F$1006,Статистика!$B$7:$B$1006,$B28))</f>
        <v>0</v>
      </c>
      <c r="F28" s="64" t="n">
        <f aca="false">IF($B28="","",SUMIFS(Статистика!$G$7:$G$1006,Статистика!$B$7:$B$1006,$B28))</f>
        <v>0</v>
      </c>
      <c r="G28" s="64" t="n">
        <f aca="false">IF($B28="","",SUMIFS(Статистика!$H$7:$H$1006,Статистика!$B$7:$B$1006,$B28))</f>
        <v>0</v>
      </c>
      <c r="H28" s="39" t="n">
        <f aca="false">IF($B28="","",SUMIFS(Статистика!$Q$7:$Q$1006,Статистика!$B$7:$B$1006,$B28))</f>
        <v>0</v>
      </c>
      <c r="I28" s="30" t="n">
        <f aca="false">IF($B28="","",SUMIFS(Статистика!$T$7:$T$1006,Статистика!$B$7:$B$1006,$B28))</f>
        <v>0</v>
      </c>
      <c r="J28" s="65" t="n">
        <f aca="false">IF($B28="","",I28-D28)</f>
        <v>0</v>
      </c>
      <c r="K28" s="41" t="str">
        <f aca="false">IF($B28="","",IFERROR(J28/D28,""))</f>
        <v/>
      </c>
      <c r="L28" s="37" t="str">
        <f aca="false">IF($B28="","",IFERROR(F28/E28,""))</f>
        <v/>
      </c>
      <c r="M28" s="30" t="str">
        <f aca="false">IF($B28="","",IFERROR(D28/F28,""))</f>
        <v/>
      </c>
      <c r="N28" s="30" t="str">
        <f aca="false">IF($B28="","",IFERROR(D28/E28*1000,""))</f>
        <v/>
      </c>
      <c r="O28" s="37" t="str">
        <f aca="false">IF($B28="","",IFERROR(G28/F28,""))</f>
        <v/>
      </c>
      <c r="P28" s="30" t="str">
        <f aca="false">IF($B28="","",IFERROR(D28/G28,""))</f>
        <v/>
      </c>
      <c r="Q28" s="30" t="str">
        <f aca="false">IF($B28="","",IFERROR(D28/H28,""))</f>
        <v/>
      </c>
      <c r="R28" s="40" t="str">
        <f aca="false">IF(OR($B28="",$B28&gt;MAX(Статистика!$B$7:$B$1006)),"",SUM($J$11:J28))</f>
        <v/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8" hidden="false" customHeight="true" outlineLevel="0" collapsed="false">
      <c r="A29" s="1"/>
      <c r="B29" s="63" t="n">
        <f aca="false">IF(B28="","",IF(B28+1&gt;$P$8,"",B28+1))</f>
        <v>46314</v>
      </c>
      <c r="C29" s="10" t="str">
        <f aca="false">IF($B29="","",CHOOSE(WEEKDAY(B29,2),"Пн","Вт","Ср","Чт","Пт","Сб","Нд"))</f>
        <v>Пн</v>
      </c>
      <c r="D29" s="30" t="n">
        <f aca="false">IF($B29="","",SUMIFS(Статистика!$E$7:$E$1006,Статистика!$B$7:$B$1006,$B29))</f>
        <v>0</v>
      </c>
      <c r="E29" s="64" t="n">
        <f aca="false">IF($B29="","",SUMIFS(Статистика!$F$7:$F$1006,Статистика!$B$7:$B$1006,$B29))</f>
        <v>0</v>
      </c>
      <c r="F29" s="64" t="n">
        <f aca="false">IF($B29="","",SUMIFS(Статистика!$G$7:$G$1006,Статистика!$B$7:$B$1006,$B29))</f>
        <v>0</v>
      </c>
      <c r="G29" s="64" t="n">
        <f aca="false">IF($B29="","",SUMIFS(Статистика!$H$7:$H$1006,Статистика!$B$7:$B$1006,$B29))</f>
        <v>0</v>
      </c>
      <c r="H29" s="39" t="n">
        <f aca="false">IF($B29="","",SUMIFS(Статистика!$Q$7:$Q$1006,Статистика!$B$7:$B$1006,$B29))</f>
        <v>0</v>
      </c>
      <c r="I29" s="30" t="n">
        <f aca="false">IF($B29="","",SUMIFS(Статистика!$T$7:$T$1006,Статистика!$B$7:$B$1006,$B29))</f>
        <v>0</v>
      </c>
      <c r="J29" s="65" t="n">
        <f aca="false">IF($B29="","",I29-D29)</f>
        <v>0</v>
      </c>
      <c r="K29" s="41" t="str">
        <f aca="false">IF($B29="","",IFERROR(J29/D29,""))</f>
        <v/>
      </c>
      <c r="L29" s="37" t="str">
        <f aca="false">IF($B29="","",IFERROR(F29/E29,""))</f>
        <v/>
      </c>
      <c r="M29" s="30" t="str">
        <f aca="false">IF($B29="","",IFERROR(D29/F29,""))</f>
        <v/>
      </c>
      <c r="N29" s="30" t="str">
        <f aca="false">IF($B29="","",IFERROR(D29/E29*1000,""))</f>
        <v/>
      </c>
      <c r="O29" s="37" t="str">
        <f aca="false">IF($B29="","",IFERROR(G29/F29,""))</f>
        <v/>
      </c>
      <c r="P29" s="30" t="str">
        <f aca="false">IF($B29="","",IFERROR(D29/G29,""))</f>
        <v/>
      </c>
      <c r="Q29" s="30" t="str">
        <f aca="false">IF($B29="","",IFERROR(D29/H29,""))</f>
        <v/>
      </c>
      <c r="R29" s="40" t="str">
        <f aca="false">IF(OR($B29="",$B29&gt;MAX(Статистика!$B$7:$B$1006)),"",SUM($J$11:J29))</f>
        <v/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8" hidden="false" customHeight="true" outlineLevel="0" collapsed="false">
      <c r="A30" s="1"/>
      <c r="B30" s="63" t="n">
        <f aca="false">IF(B29="","",IF(B29+1&gt;$P$8,"",B29+1))</f>
        <v>46315</v>
      </c>
      <c r="C30" s="10" t="str">
        <f aca="false">IF($B30="","",CHOOSE(WEEKDAY(B30,2),"Пн","Вт","Ср","Чт","Пт","Сб","Нд"))</f>
        <v>Вт</v>
      </c>
      <c r="D30" s="30" t="n">
        <f aca="false">IF($B30="","",SUMIFS(Статистика!$E$7:$E$1006,Статистика!$B$7:$B$1006,$B30))</f>
        <v>0</v>
      </c>
      <c r="E30" s="64" t="n">
        <f aca="false">IF($B30="","",SUMIFS(Статистика!$F$7:$F$1006,Статистика!$B$7:$B$1006,$B30))</f>
        <v>0</v>
      </c>
      <c r="F30" s="64" t="n">
        <f aca="false">IF($B30="","",SUMIFS(Статистика!$G$7:$G$1006,Статистика!$B$7:$B$1006,$B30))</f>
        <v>0</v>
      </c>
      <c r="G30" s="64" t="n">
        <f aca="false">IF($B30="","",SUMIFS(Статистика!$H$7:$H$1006,Статистика!$B$7:$B$1006,$B30))</f>
        <v>0</v>
      </c>
      <c r="H30" s="39" t="n">
        <f aca="false">IF($B30="","",SUMIFS(Статистика!$Q$7:$Q$1006,Статистика!$B$7:$B$1006,$B30))</f>
        <v>0</v>
      </c>
      <c r="I30" s="30" t="n">
        <f aca="false">IF($B30="","",SUMIFS(Статистика!$T$7:$T$1006,Статистика!$B$7:$B$1006,$B30))</f>
        <v>0</v>
      </c>
      <c r="J30" s="65" t="n">
        <f aca="false">IF($B30="","",I30-D30)</f>
        <v>0</v>
      </c>
      <c r="K30" s="41" t="str">
        <f aca="false">IF($B30="","",IFERROR(J30/D30,""))</f>
        <v/>
      </c>
      <c r="L30" s="37" t="str">
        <f aca="false">IF($B30="","",IFERROR(F30/E30,""))</f>
        <v/>
      </c>
      <c r="M30" s="30" t="str">
        <f aca="false">IF($B30="","",IFERROR(D30/F30,""))</f>
        <v/>
      </c>
      <c r="N30" s="30" t="str">
        <f aca="false">IF($B30="","",IFERROR(D30/E30*1000,""))</f>
        <v/>
      </c>
      <c r="O30" s="37" t="str">
        <f aca="false">IF($B30="","",IFERROR(G30/F30,""))</f>
        <v/>
      </c>
      <c r="P30" s="30" t="str">
        <f aca="false">IF($B30="","",IFERROR(D30/G30,""))</f>
        <v/>
      </c>
      <c r="Q30" s="30" t="str">
        <f aca="false">IF($B30="","",IFERROR(D30/H30,""))</f>
        <v/>
      </c>
      <c r="R30" s="40" t="str">
        <f aca="false">IF(OR($B30="",$B30&gt;MAX(Статистика!$B$7:$B$1006)),"",SUM($J$11:J30))</f>
        <v/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8" hidden="false" customHeight="true" outlineLevel="0" collapsed="false">
      <c r="A31" s="1"/>
      <c r="B31" s="63" t="n">
        <f aca="false">IF(B30="","",IF(B30+1&gt;$P$8,"",B30+1))</f>
        <v>46316</v>
      </c>
      <c r="C31" s="10" t="str">
        <f aca="false">IF($B31="","",CHOOSE(WEEKDAY(B31,2),"Пн","Вт","Ср","Чт","Пт","Сб","Нд"))</f>
        <v>Ср</v>
      </c>
      <c r="D31" s="30" t="n">
        <f aca="false">IF($B31="","",SUMIFS(Статистика!$E$7:$E$1006,Статистика!$B$7:$B$1006,$B31))</f>
        <v>0</v>
      </c>
      <c r="E31" s="64" t="n">
        <f aca="false">IF($B31="","",SUMIFS(Статистика!$F$7:$F$1006,Статистика!$B$7:$B$1006,$B31))</f>
        <v>0</v>
      </c>
      <c r="F31" s="64" t="n">
        <f aca="false">IF($B31="","",SUMIFS(Статистика!$G$7:$G$1006,Статистика!$B$7:$B$1006,$B31))</f>
        <v>0</v>
      </c>
      <c r="G31" s="64" t="n">
        <f aca="false">IF($B31="","",SUMIFS(Статистика!$H$7:$H$1006,Статистика!$B$7:$B$1006,$B31))</f>
        <v>0</v>
      </c>
      <c r="H31" s="39" t="n">
        <f aca="false">IF($B31="","",SUMIFS(Статистика!$Q$7:$Q$1006,Статистика!$B$7:$B$1006,$B31))</f>
        <v>0</v>
      </c>
      <c r="I31" s="30" t="n">
        <f aca="false">IF($B31="","",SUMIFS(Статистика!$T$7:$T$1006,Статистика!$B$7:$B$1006,$B31))</f>
        <v>0</v>
      </c>
      <c r="J31" s="65" t="n">
        <f aca="false">IF($B31="","",I31-D31)</f>
        <v>0</v>
      </c>
      <c r="K31" s="41" t="str">
        <f aca="false">IF($B31="","",IFERROR(J31/D31,""))</f>
        <v/>
      </c>
      <c r="L31" s="37" t="str">
        <f aca="false">IF($B31="","",IFERROR(F31/E31,""))</f>
        <v/>
      </c>
      <c r="M31" s="30" t="str">
        <f aca="false">IF($B31="","",IFERROR(D31/F31,""))</f>
        <v/>
      </c>
      <c r="N31" s="30" t="str">
        <f aca="false">IF($B31="","",IFERROR(D31/E31*1000,""))</f>
        <v/>
      </c>
      <c r="O31" s="37" t="str">
        <f aca="false">IF($B31="","",IFERROR(G31/F31,""))</f>
        <v/>
      </c>
      <c r="P31" s="30" t="str">
        <f aca="false">IF($B31="","",IFERROR(D31/G31,""))</f>
        <v/>
      </c>
      <c r="Q31" s="30" t="str">
        <f aca="false">IF($B31="","",IFERROR(D31/H31,""))</f>
        <v/>
      </c>
      <c r="R31" s="40" t="str">
        <f aca="false">IF(OR($B31="",$B31&gt;MAX(Статистика!$B$7:$B$1006)),"",SUM($J$11:J31))</f>
        <v/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8" hidden="false" customHeight="true" outlineLevel="0" collapsed="false">
      <c r="A32" s="1"/>
      <c r="B32" s="63" t="n">
        <f aca="false">IF(B31="","",IF(B31+1&gt;$P$8,"",B31+1))</f>
        <v>46317</v>
      </c>
      <c r="C32" s="10" t="str">
        <f aca="false">IF($B32="","",CHOOSE(WEEKDAY(B32,2),"Пн","Вт","Ср","Чт","Пт","Сб","Нд"))</f>
        <v>Чт</v>
      </c>
      <c r="D32" s="30" t="n">
        <f aca="false">IF($B32="","",SUMIFS(Статистика!$E$7:$E$1006,Статистика!$B$7:$B$1006,$B32))</f>
        <v>0</v>
      </c>
      <c r="E32" s="64" t="n">
        <f aca="false">IF($B32="","",SUMIFS(Статистика!$F$7:$F$1006,Статистика!$B$7:$B$1006,$B32))</f>
        <v>0</v>
      </c>
      <c r="F32" s="64" t="n">
        <f aca="false">IF($B32="","",SUMIFS(Статистика!$G$7:$G$1006,Статистика!$B$7:$B$1006,$B32))</f>
        <v>0</v>
      </c>
      <c r="G32" s="64" t="n">
        <f aca="false">IF($B32="","",SUMIFS(Статистика!$H$7:$H$1006,Статистика!$B$7:$B$1006,$B32))</f>
        <v>0</v>
      </c>
      <c r="H32" s="39" t="n">
        <f aca="false">IF($B32="","",SUMIFS(Статистика!$Q$7:$Q$1006,Статистика!$B$7:$B$1006,$B32))</f>
        <v>0</v>
      </c>
      <c r="I32" s="30" t="n">
        <f aca="false">IF($B32="","",SUMIFS(Статистика!$T$7:$T$1006,Статистика!$B$7:$B$1006,$B32))</f>
        <v>0</v>
      </c>
      <c r="J32" s="65" t="n">
        <f aca="false">IF($B32="","",I32-D32)</f>
        <v>0</v>
      </c>
      <c r="K32" s="41" t="str">
        <f aca="false">IF($B32="","",IFERROR(J32/D32,""))</f>
        <v/>
      </c>
      <c r="L32" s="37" t="str">
        <f aca="false">IF($B32="","",IFERROR(F32/E32,""))</f>
        <v/>
      </c>
      <c r="M32" s="30" t="str">
        <f aca="false">IF($B32="","",IFERROR(D32/F32,""))</f>
        <v/>
      </c>
      <c r="N32" s="30" t="str">
        <f aca="false">IF($B32="","",IFERROR(D32/E32*1000,""))</f>
        <v/>
      </c>
      <c r="O32" s="37" t="str">
        <f aca="false">IF($B32="","",IFERROR(G32/F32,""))</f>
        <v/>
      </c>
      <c r="P32" s="30" t="str">
        <f aca="false">IF($B32="","",IFERROR(D32/G32,""))</f>
        <v/>
      </c>
      <c r="Q32" s="30" t="str">
        <f aca="false">IF($B32="","",IFERROR(D32/H32,""))</f>
        <v/>
      </c>
      <c r="R32" s="40" t="str">
        <f aca="false">IF(OR($B32="",$B32&gt;MAX(Статистика!$B$7:$B$1006)),"",SUM($J$11:J32))</f>
        <v/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8" hidden="false" customHeight="true" outlineLevel="0" collapsed="false">
      <c r="A33" s="1"/>
      <c r="B33" s="63" t="n">
        <f aca="false">IF(B32="","",IF(B32+1&gt;$P$8,"",B32+1))</f>
        <v>46318</v>
      </c>
      <c r="C33" s="10" t="str">
        <f aca="false">IF($B33="","",CHOOSE(WEEKDAY(B33,2),"Пн","Вт","Ср","Чт","Пт","Сб","Нд"))</f>
        <v>Пт</v>
      </c>
      <c r="D33" s="30" t="n">
        <f aca="false">IF($B33="","",SUMIFS(Статистика!$E$7:$E$1006,Статистика!$B$7:$B$1006,$B33))</f>
        <v>0</v>
      </c>
      <c r="E33" s="64" t="n">
        <f aca="false">IF($B33="","",SUMIFS(Статистика!$F$7:$F$1006,Статистика!$B$7:$B$1006,$B33))</f>
        <v>0</v>
      </c>
      <c r="F33" s="64" t="n">
        <f aca="false">IF($B33="","",SUMIFS(Статистика!$G$7:$G$1006,Статистика!$B$7:$B$1006,$B33))</f>
        <v>0</v>
      </c>
      <c r="G33" s="64" t="n">
        <f aca="false">IF($B33="","",SUMIFS(Статистика!$H$7:$H$1006,Статистика!$B$7:$B$1006,$B33))</f>
        <v>0</v>
      </c>
      <c r="H33" s="39" t="n">
        <f aca="false">IF($B33="","",SUMIFS(Статистика!$Q$7:$Q$1006,Статистика!$B$7:$B$1006,$B33))</f>
        <v>0</v>
      </c>
      <c r="I33" s="30" t="n">
        <f aca="false">IF($B33="","",SUMIFS(Статистика!$T$7:$T$1006,Статистика!$B$7:$B$1006,$B33))</f>
        <v>0</v>
      </c>
      <c r="J33" s="65" t="n">
        <f aca="false">IF($B33="","",I33-D33)</f>
        <v>0</v>
      </c>
      <c r="K33" s="41" t="str">
        <f aca="false">IF($B33="","",IFERROR(J33/D33,""))</f>
        <v/>
      </c>
      <c r="L33" s="37" t="str">
        <f aca="false">IF($B33="","",IFERROR(F33/E33,""))</f>
        <v/>
      </c>
      <c r="M33" s="30" t="str">
        <f aca="false">IF($B33="","",IFERROR(D33/F33,""))</f>
        <v/>
      </c>
      <c r="N33" s="30" t="str">
        <f aca="false">IF($B33="","",IFERROR(D33/E33*1000,""))</f>
        <v/>
      </c>
      <c r="O33" s="37" t="str">
        <f aca="false">IF($B33="","",IFERROR(G33/F33,""))</f>
        <v/>
      </c>
      <c r="P33" s="30" t="str">
        <f aca="false">IF($B33="","",IFERROR(D33/G33,""))</f>
        <v/>
      </c>
      <c r="Q33" s="30" t="str">
        <f aca="false">IF($B33="","",IFERROR(D33/H33,""))</f>
        <v/>
      </c>
      <c r="R33" s="40" t="str">
        <f aca="false">IF(OR($B33="",$B33&gt;MAX(Статистика!$B$7:$B$1006)),"",SUM($J$11:J33))</f>
        <v/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8" hidden="false" customHeight="true" outlineLevel="0" collapsed="false">
      <c r="A34" s="1"/>
      <c r="B34" s="63" t="n">
        <f aca="false">IF(B33="","",IF(B33+1&gt;$P$8,"",B33+1))</f>
        <v>46319</v>
      </c>
      <c r="C34" s="10" t="str">
        <f aca="false">IF($B34="","",CHOOSE(WEEKDAY(B34,2),"Пн","Вт","Ср","Чт","Пт","Сб","Нд"))</f>
        <v>Сб</v>
      </c>
      <c r="D34" s="30" t="n">
        <f aca="false">IF($B34="","",SUMIFS(Статистика!$E$7:$E$1006,Статистика!$B$7:$B$1006,$B34))</f>
        <v>0</v>
      </c>
      <c r="E34" s="64" t="n">
        <f aca="false">IF($B34="","",SUMIFS(Статистика!$F$7:$F$1006,Статистика!$B$7:$B$1006,$B34))</f>
        <v>0</v>
      </c>
      <c r="F34" s="64" t="n">
        <f aca="false">IF($B34="","",SUMIFS(Статистика!$G$7:$G$1006,Статистика!$B$7:$B$1006,$B34))</f>
        <v>0</v>
      </c>
      <c r="G34" s="64" t="n">
        <f aca="false">IF($B34="","",SUMIFS(Статистика!$H$7:$H$1006,Статистика!$B$7:$B$1006,$B34))</f>
        <v>0</v>
      </c>
      <c r="H34" s="39" t="n">
        <f aca="false">IF($B34="","",SUMIFS(Статистика!$Q$7:$Q$1006,Статистика!$B$7:$B$1006,$B34))</f>
        <v>0</v>
      </c>
      <c r="I34" s="30" t="n">
        <f aca="false">IF($B34="","",SUMIFS(Статистика!$T$7:$T$1006,Статистика!$B$7:$B$1006,$B34))</f>
        <v>0</v>
      </c>
      <c r="J34" s="65" t="n">
        <f aca="false">IF($B34="","",I34-D34)</f>
        <v>0</v>
      </c>
      <c r="K34" s="41" t="str">
        <f aca="false">IF($B34="","",IFERROR(J34/D34,""))</f>
        <v/>
      </c>
      <c r="L34" s="37" t="str">
        <f aca="false">IF($B34="","",IFERROR(F34/E34,""))</f>
        <v/>
      </c>
      <c r="M34" s="30" t="str">
        <f aca="false">IF($B34="","",IFERROR(D34/F34,""))</f>
        <v/>
      </c>
      <c r="N34" s="30" t="str">
        <f aca="false">IF($B34="","",IFERROR(D34/E34*1000,""))</f>
        <v/>
      </c>
      <c r="O34" s="37" t="str">
        <f aca="false">IF($B34="","",IFERROR(G34/F34,""))</f>
        <v/>
      </c>
      <c r="P34" s="30" t="str">
        <f aca="false">IF($B34="","",IFERROR(D34/G34,""))</f>
        <v/>
      </c>
      <c r="Q34" s="30" t="str">
        <f aca="false">IF($B34="","",IFERROR(D34/H34,""))</f>
        <v/>
      </c>
      <c r="R34" s="40" t="str">
        <f aca="false">IF(OR($B34="",$B34&gt;MAX(Статистика!$B$7:$B$1006)),"",SUM($J$11:J34))</f>
        <v/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8" hidden="false" customHeight="true" outlineLevel="0" collapsed="false">
      <c r="A35" s="1"/>
      <c r="B35" s="63" t="n">
        <f aca="false">IF(B34="","",IF(B34+1&gt;$P$8,"",B34+1))</f>
        <v>46320</v>
      </c>
      <c r="C35" s="10" t="str">
        <f aca="false">IF($B35="","",CHOOSE(WEEKDAY(B35,2),"Пн","Вт","Ср","Чт","Пт","Сб","Нд"))</f>
        <v>Нд</v>
      </c>
      <c r="D35" s="30" t="n">
        <f aca="false">IF($B35="","",SUMIFS(Статистика!$E$7:$E$1006,Статистика!$B$7:$B$1006,$B35))</f>
        <v>0</v>
      </c>
      <c r="E35" s="64" t="n">
        <f aca="false">IF($B35="","",SUMIFS(Статистика!$F$7:$F$1006,Статистика!$B$7:$B$1006,$B35))</f>
        <v>0</v>
      </c>
      <c r="F35" s="64" t="n">
        <f aca="false">IF($B35="","",SUMIFS(Статистика!$G$7:$G$1006,Статистика!$B$7:$B$1006,$B35))</f>
        <v>0</v>
      </c>
      <c r="G35" s="64" t="n">
        <f aca="false">IF($B35="","",SUMIFS(Статистика!$H$7:$H$1006,Статистика!$B$7:$B$1006,$B35))</f>
        <v>0</v>
      </c>
      <c r="H35" s="39" t="n">
        <f aca="false">IF($B35="","",SUMIFS(Статистика!$Q$7:$Q$1006,Статистика!$B$7:$B$1006,$B35))</f>
        <v>0</v>
      </c>
      <c r="I35" s="30" t="n">
        <f aca="false">IF($B35="","",SUMIFS(Статистика!$T$7:$T$1006,Статистика!$B$7:$B$1006,$B35))</f>
        <v>0</v>
      </c>
      <c r="J35" s="65" t="n">
        <f aca="false">IF($B35="","",I35-D35)</f>
        <v>0</v>
      </c>
      <c r="K35" s="41" t="str">
        <f aca="false">IF($B35="","",IFERROR(J35/D35,""))</f>
        <v/>
      </c>
      <c r="L35" s="37" t="str">
        <f aca="false">IF($B35="","",IFERROR(F35/E35,""))</f>
        <v/>
      </c>
      <c r="M35" s="30" t="str">
        <f aca="false">IF($B35="","",IFERROR(D35/F35,""))</f>
        <v/>
      </c>
      <c r="N35" s="30" t="str">
        <f aca="false">IF($B35="","",IFERROR(D35/E35*1000,""))</f>
        <v/>
      </c>
      <c r="O35" s="37" t="str">
        <f aca="false">IF($B35="","",IFERROR(G35/F35,""))</f>
        <v/>
      </c>
      <c r="P35" s="30" t="str">
        <f aca="false">IF($B35="","",IFERROR(D35/G35,""))</f>
        <v/>
      </c>
      <c r="Q35" s="30" t="str">
        <f aca="false">IF($B35="","",IFERROR(D35/H35,""))</f>
        <v/>
      </c>
      <c r="R35" s="40" t="str">
        <f aca="false">IF(OR($B35="",$B35&gt;MAX(Статистика!$B$7:$B$1006)),"",SUM($J$11:J35))</f>
        <v/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8" hidden="false" customHeight="true" outlineLevel="0" collapsed="false">
      <c r="A36" s="1"/>
      <c r="B36" s="63" t="n">
        <f aca="false">IF(B35="","",IF(B35+1&gt;$P$8,"",B35+1))</f>
        <v>46321</v>
      </c>
      <c r="C36" s="10" t="str">
        <f aca="false">IF($B36="","",CHOOSE(WEEKDAY(B36,2),"Пн","Вт","Ср","Чт","Пт","Сб","Нд"))</f>
        <v>Пн</v>
      </c>
      <c r="D36" s="30" t="n">
        <f aca="false">IF($B36="","",SUMIFS(Статистика!$E$7:$E$1006,Статистика!$B$7:$B$1006,$B36))</f>
        <v>0</v>
      </c>
      <c r="E36" s="64" t="n">
        <f aca="false">IF($B36="","",SUMIFS(Статистика!$F$7:$F$1006,Статистика!$B$7:$B$1006,$B36))</f>
        <v>0</v>
      </c>
      <c r="F36" s="64" t="n">
        <f aca="false">IF($B36="","",SUMIFS(Статистика!$G$7:$G$1006,Статистика!$B$7:$B$1006,$B36))</f>
        <v>0</v>
      </c>
      <c r="G36" s="64" t="n">
        <f aca="false">IF($B36="","",SUMIFS(Статистика!$H$7:$H$1006,Статистика!$B$7:$B$1006,$B36))</f>
        <v>0</v>
      </c>
      <c r="H36" s="39" t="n">
        <f aca="false">IF($B36="","",SUMIFS(Статистика!$Q$7:$Q$1006,Статистика!$B$7:$B$1006,$B36))</f>
        <v>0</v>
      </c>
      <c r="I36" s="30" t="n">
        <f aca="false">IF($B36="","",SUMIFS(Статистика!$T$7:$T$1006,Статистика!$B$7:$B$1006,$B36))</f>
        <v>0</v>
      </c>
      <c r="J36" s="65" t="n">
        <f aca="false">IF($B36="","",I36-D36)</f>
        <v>0</v>
      </c>
      <c r="K36" s="41" t="str">
        <f aca="false">IF($B36="","",IFERROR(J36/D36,""))</f>
        <v/>
      </c>
      <c r="L36" s="37" t="str">
        <f aca="false">IF($B36="","",IFERROR(F36/E36,""))</f>
        <v/>
      </c>
      <c r="M36" s="30" t="str">
        <f aca="false">IF($B36="","",IFERROR(D36/F36,""))</f>
        <v/>
      </c>
      <c r="N36" s="30" t="str">
        <f aca="false">IF($B36="","",IFERROR(D36/E36*1000,""))</f>
        <v/>
      </c>
      <c r="O36" s="37" t="str">
        <f aca="false">IF($B36="","",IFERROR(G36/F36,""))</f>
        <v/>
      </c>
      <c r="P36" s="30" t="str">
        <f aca="false">IF($B36="","",IFERROR(D36/G36,""))</f>
        <v/>
      </c>
      <c r="Q36" s="30" t="str">
        <f aca="false">IF($B36="","",IFERROR(D36/H36,""))</f>
        <v/>
      </c>
      <c r="R36" s="40" t="str">
        <f aca="false">IF(OR($B36="",$B36&gt;MAX(Статистика!$B$7:$B$1006)),"",SUM($J$11:J36))</f>
        <v/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8" hidden="false" customHeight="true" outlineLevel="0" collapsed="false">
      <c r="A37" s="1"/>
      <c r="B37" s="63" t="n">
        <f aca="false">IF(B36="","",IF(B36+1&gt;$P$8,"",B36+1))</f>
        <v>46322</v>
      </c>
      <c r="C37" s="10" t="str">
        <f aca="false">IF($B37="","",CHOOSE(WEEKDAY(B37,2),"Пн","Вт","Ср","Чт","Пт","Сб","Нд"))</f>
        <v>Вт</v>
      </c>
      <c r="D37" s="30" t="n">
        <f aca="false">IF($B37="","",SUMIFS(Статистика!$E$7:$E$1006,Статистика!$B$7:$B$1006,$B37))</f>
        <v>0</v>
      </c>
      <c r="E37" s="64" t="n">
        <f aca="false">IF($B37="","",SUMIFS(Статистика!$F$7:$F$1006,Статистика!$B$7:$B$1006,$B37))</f>
        <v>0</v>
      </c>
      <c r="F37" s="64" t="n">
        <f aca="false">IF($B37="","",SUMIFS(Статистика!$G$7:$G$1006,Статистика!$B$7:$B$1006,$B37))</f>
        <v>0</v>
      </c>
      <c r="G37" s="64" t="n">
        <f aca="false">IF($B37="","",SUMIFS(Статистика!$H$7:$H$1006,Статистика!$B$7:$B$1006,$B37))</f>
        <v>0</v>
      </c>
      <c r="H37" s="39" t="n">
        <f aca="false">IF($B37="","",SUMIFS(Статистика!$Q$7:$Q$1006,Статистика!$B$7:$B$1006,$B37))</f>
        <v>0</v>
      </c>
      <c r="I37" s="30" t="n">
        <f aca="false">IF($B37="","",SUMIFS(Статистика!$T$7:$T$1006,Статистика!$B$7:$B$1006,$B37))</f>
        <v>0</v>
      </c>
      <c r="J37" s="65" t="n">
        <f aca="false">IF($B37="","",I37-D37)</f>
        <v>0</v>
      </c>
      <c r="K37" s="41" t="str">
        <f aca="false">IF($B37="","",IFERROR(J37/D37,""))</f>
        <v/>
      </c>
      <c r="L37" s="37" t="str">
        <f aca="false">IF($B37="","",IFERROR(F37/E37,""))</f>
        <v/>
      </c>
      <c r="M37" s="30" t="str">
        <f aca="false">IF($B37="","",IFERROR(D37/F37,""))</f>
        <v/>
      </c>
      <c r="N37" s="30" t="str">
        <f aca="false">IF($B37="","",IFERROR(D37/E37*1000,""))</f>
        <v/>
      </c>
      <c r="O37" s="37" t="str">
        <f aca="false">IF($B37="","",IFERROR(G37/F37,""))</f>
        <v/>
      </c>
      <c r="P37" s="30" t="str">
        <f aca="false">IF($B37="","",IFERROR(D37/G37,""))</f>
        <v/>
      </c>
      <c r="Q37" s="30" t="str">
        <f aca="false">IF($B37="","",IFERROR(D37/H37,""))</f>
        <v/>
      </c>
      <c r="R37" s="40" t="str">
        <f aca="false">IF(OR($B37="",$B37&gt;MAX(Статистика!$B$7:$B$1006)),"",SUM($J$11:J37))</f>
        <v/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8" hidden="false" customHeight="true" outlineLevel="0" collapsed="false">
      <c r="A38" s="1"/>
      <c r="B38" s="63" t="n">
        <f aca="false">IF(B37="","",IF(B37+1&gt;$P$8,"",B37+1))</f>
        <v>46323</v>
      </c>
      <c r="C38" s="10" t="str">
        <f aca="false">IF($B38="","",CHOOSE(WEEKDAY(B38,2),"Пн","Вт","Ср","Чт","Пт","Сб","Нд"))</f>
        <v>Ср</v>
      </c>
      <c r="D38" s="30" t="n">
        <f aca="false">IF($B38="","",SUMIFS(Статистика!$E$7:$E$1006,Статистика!$B$7:$B$1006,$B38))</f>
        <v>0</v>
      </c>
      <c r="E38" s="64" t="n">
        <f aca="false">IF($B38="","",SUMIFS(Статистика!$F$7:$F$1006,Статистика!$B$7:$B$1006,$B38))</f>
        <v>0</v>
      </c>
      <c r="F38" s="64" t="n">
        <f aca="false">IF($B38="","",SUMIFS(Статистика!$G$7:$G$1006,Статистика!$B$7:$B$1006,$B38))</f>
        <v>0</v>
      </c>
      <c r="G38" s="64" t="n">
        <f aca="false">IF($B38="","",SUMIFS(Статистика!$H$7:$H$1006,Статистика!$B$7:$B$1006,$B38))</f>
        <v>0</v>
      </c>
      <c r="H38" s="39" t="n">
        <f aca="false">IF($B38="","",SUMIFS(Статистика!$Q$7:$Q$1006,Статистика!$B$7:$B$1006,$B38))</f>
        <v>0</v>
      </c>
      <c r="I38" s="30" t="n">
        <f aca="false">IF($B38="","",SUMIFS(Статистика!$T$7:$T$1006,Статистика!$B$7:$B$1006,$B38))</f>
        <v>0</v>
      </c>
      <c r="J38" s="65" t="n">
        <f aca="false">IF($B38="","",I38-D38)</f>
        <v>0</v>
      </c>
      <c r="K38" s="41" t="str">
        <f aca="false">IF($B38="","",IFERROR(J38/D38,""))</f>
        <v/>
      </c>
      <c r="L38" s="37" t="str">
        <f aca="false">IF($B38="","",IFERROR(F38/E38,""))</f>
        <v/>
      </c>
      <c r="M38" s="30" t="str">
        <f aca="false">IF($B38="","",IFERROR(D38/F38,""))</f>
        <v/>
      </c>
      <c r="N38" s="30" t="str">
        <f aca="false">IF($B38="","",IFERROR(D38/E38*1000,""))</f>
        <v/>
      </c>
      <c r="O38" s="37" t="str">
        <f aca="false">IF($B38="","",IFERROR(G38/F38,""))</f>
        <v/>
      </c>
      <c r="P38" s="30" t="str">
        <f aca="false">IF($B38="","",IFERROR(D38/G38,""))</f>
        <v/>
      </c>
      <c r="Q38" s="30" t="str">
        <f aca="false">IF($B38="","",IFERROR(D38/H38,""))</f>
        <v/>
      </c>
      <c r="R38" s="40" t="str">
        <f aca="false">IF(OR($B38="",$B38&gt;MAX(Статистика!$B$7:$B$1006)),"",SUM($J$11:J38))</f>
        <v/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8" hidden="false" customHeight="true" outlineLevel="0" collapsed="false">
      <c r="A39" s="1"/>
      <c r="B39" s="63" t="n">
        <f aca="false">IF(B38="","",IF(B38+1&gt;$P$8,"",B38+1))</f>
        <v>46324</v>
      </c>
      <c r="C39" s="10" t="str">
        <f aca="false">IF($B39="","",CHOOSE(WEEKDAY(B39,2),"Пн","Вт","Ср","Чт","Пт","Сб","Нд"))</f>
        <v>Чт</v>
      </c>
      <c r="D39" s="30" t="n">
        <f aca="false">IF($B39="","",SUMIFS(Статистика!$E$7:$E$1006,Статистика!$B$7:$B$1006,$B39))</f>
        <v>0</v>
      </c>
      <c r="E39" s="64" t="n">
        <f aca="false">IF($B39="","",SUMIFS(Статистика!$F$7:$F$1006,Статистика!$B$7:$B$1006,$B39))</f>
        <v>0</v>
      </c>
      <c r="F39" s="64" t="n">
        <f aca="false">IF($B39="","",SUMIFS(Статистика!$G$7:$G$1006,Статистика!$B$7:$B$1006,$B39))</f>
        <v>0</v>
      </c>
      <c r="G39" s="64" t="n">
        <f aca="false">IF($B39="","",SUMIFS(Статистика!$H$7:$H$1006,Статистика!$B$7:$B$1006,$B39))</f>
        <v>0</v>
      </c>
      <c r="H39" s="39" t="n">
        <f aca="false">IF($B39="","",SUMIFS(Статистика!$Q$7:$Q$1006,Статистика!$B$7:$B$1006,$B39))</f>
        <v>0</v>
      </c>
      <c r="I39" s="30" t="n">
        <f aca="false">IF($B39="","",SUMIFS(Статистика!$T$7:$T$1006,Статистика!$B$7:$B$1006,$B39))</f>
        <v>0</v>
      </c>
      <c r="J39" s="65" t="n">
        <f aca="false">IF($B39="","",I39-D39)</f>
        <v>0</v>
      </c>
      <c r="K39" s="41" t="str">
        <f aca="false">IF($B39="","",IFERROR(J39/D39,""))</f>
        <v/>
      </c>
      <c r="L39" s="37" t="str">
        <f aca="false">IF($B39="","",IFERROR(F39/E39,""))</f>
        <v/>
      </c>
      <c r="M39" s="30" t="str">
        <f aca="false">IF($B39="","",IFERROR(D39/F39,""))</f>
        <v/>
      </c>
      <c r="N39" s="30" t="str">
        <f aca="false">IF($B39="","",IFERROR(D39/E39*1000,""))</f>
        <v/>
      </c>
      <c r="O39" s="37" t="str">
        <f aca="false">IF($B39="","",IFERROR(G39/F39,""))</f>
        <v/>
      </c>
      <c r="P39" s="30" t="str">
        <f aca="false">IF($B39="","",IFERROR(D39/G39,""))</f>
        <v/>
      </c>
      <c r="Q39" s="30" t="str">
        <f aca="false">IF($B39="","",IFERROR(D39/H39,""))</f>
        <v/>
      </c>
      <c r="R39" s="40" t="str">
        <f aca="false">IF(OR($B39="",$B39&gt;MAX(Статистика!$B$7:$B$1006)),"",SUM($J$11:J39))</f>
        <v/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8" hidden="false" customHeight="true" outlineLevel="0" collapsed="false">
      <c r="A40" s="1"/>
      <c r="B40" s="63" t="n">
        <f aca="false">IF(B39="","",IF(B39+1&gt;$P$8,"",B39+1))</f>
        <v>46325</v>
      </c>
      <c r="C40" s="10" t="str">
        <f aca="false">IF($B40="","",CHOOSE(WEEKDAY(B40,2),"Пн","Вт","Ср","Чт","Пт","Сб","Нд"))</f>
        <v>Пт</v>
      </c>
      <c r="D40" s="30" t="n">
        <f aca="false">IF($B40="","",SUMIFS(Статистика!$E$7:$E$1006,Статистика!$B$7:$B$1006,$B40))</f>
        <v>0</v>
      </c>
      <c r="E40" s="64" t="n">
        <f aca="false">IF($B40="","",SUMIFS(Статистика!$F$7:$F$1006,Статистика!$B$7:$B$1006,$B40))</f>
        <v>0</v>
      </c>
      <c r="F40" s="64" t="n">
        <f aca="false">IF($B40="","",SUMIFS(Статистика!$G$7:$G$1006,Статистика!$B$7:$B$1006,$B40))</f>
        <v>0</v>
      </c>
      <c r="G40" s="64" t="n">
        <f aca="false">IF($B40="","",SUMIFS(Статистика!$H$7:$H$1006,Статистика!$B$7:$B$1006,$B40))</f>
        <v>0</v>
      </c>
      <c r="H40" s="39" t="n">
        <f aca="false">IF($B40="","",SUMIFS(Статистика!$Q$7:$Q$1006,Статистика!$B$7:$B$1006,$B40))</f>
        <v>0</v>
      </c>
      <c r="I40" s="30" t="n">
        <f aca="false">IF($B40="","",SUMIFS(Статистика!$T$7:$T$1006,Статистика!$B$7:$B$1006,$B40))</f>
        <v>0</v>
      </c>
      <c r="J40" s="65" t="n">
        <f aca="false">IF($B40="","",I40-D40)</f>
        <v>0</v>
      </c>
      <c r="K40" s="41" t="str">
        <f aca="false">IF($B40="","",IFERROR(J40/D40,""))</f>
        <v/>
      </c>
      <c r="L40" s="37" t="str">
        <f aca="false">IF($B40="","",IFERROR(F40/E40,""))</f>
        <v/>
      </c>
      <c r="M40" s="30" t="str">
        <f aca="false">IF($B40="","",IFERROR(D40/F40,""))</f>
        <v/>
      </c>
      <c r="N40" s="30" t="str">
        <f aca="false">IF($B40="","",IFERROR(D40/E40*1000,""))</f>
        <v/>
      </c>
      <c r="O40" s="37" t="str">
        <f aca="false">IF($B40="","",IFERROR(G40/F40,""))</f>
        <v/>
      </c>
      <c r="P40" s="30" t="str">
        <f aca="false">IF($B40="","",IFERROR(D40/G40,""))</f>
        <v/>
      </c>
      <c r="Q40" s="30" t="str">
        <f aca="false">IF($B40="","",IFERROR(D40/H40,""))</f>
        <v/>
      </c>
      <c r="R40" s="40" t="str">
        <f aca="false">IF(OR($B40="",$B40&gt;MAX(Статистика!$B$7:$B$1006)),"",SUM($J$11:J40))</f>
        <v/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8" hidden="false" customHeight="true" outlineLevel="0" collapsed="false">
      <c r="A41" s="1"/>
      <c r="B41" s="63" t="n">
        <f aca="false">IF(B40="","",IF(B40+1&gt;$P$8,"",B40+1))</f>
        <v>46326</v>
      </c>
      <c r="C41" s="10" t="str">
        <f aca="false">IF($B41="","",CHOOSE(WEEKDAY(B41,2),"Пн","Вт","Ср","Чт","Пт","Сб","Нд"))</f>
        <v>Сб</v>
      </c>
      <c r="D41" s="30" t="n">
        <f aca="false">IF($B41="","",SUMIFS(Статистика!$E$7:$E$1006,Статистика!$B$7:$B$1006,$B41))</f>
        <v>0</v>
      </c>
      <c r="E41" s="64" t="n">
        <f aca="false">IF($B41="","",SUMIFS(Статистика!$F$7:$F$1006,Статистика!$B$7:$B$1006,$B41))</f>
        <v>0</v>
      </c>
      <c r="F41" s="64" t="n">
        <f aca="false">IF($B41="","",SUMIFS(Статистика!$G$7:$G$1006,Статистика!$B$7:$B$1006,$B41))</f>
        <v>0</v>
      </c>
      <c r="G41" s="64" t="n">
        <f aca="false">IF($B41="","",SUMIFS(Статистика!$H$7:$H$1006,Статистика!$B$7:$B$1006,$B41))</f>
        <v>0</v>
      </c>
      <c r="H41" s="39" t="n">
        <f aca="false">IF($B41="","",SUMIFS(Статистика!$Q$7:$Q$1006,Статистика!$B$7:$B$1006,$B41))</f>
        <v>0</v>
      </c>
      <c r="I41" s="30" t="n">
        <f aca="false">IF($B41="","",SUMIFS(Статистика!$T$7:$T$1006,Статистика!$B$7:$B$1006,$B41))</f>
        <v>0</v>
      </c>
      <c r="J41" s="65" t="n">
        <f aca="false">IF($B41="","",I41-D41)</f>
        <v>0</v>
      </c>
      <c r="K41" s="41" t="str">
        <f aca="false">IF($B41="","",IFERROR(J41/D41,""))</f>
        <v/>
      </c>
      <c r="L41" s="37" t="str">
        <f aca="false">IF($B41="","",IFERROR(F41/E41,""))</f>
        <v/>
      </c>
      <c r="M41" s="30" t="str">
        <f aca="false">IF($B41="","",IFERROR(D41/F41,""))</f>
        <v/>
      </c>
      <c r="N41" s="30" t="str">
        <f aca="false">IF($B41="","",IFERROR(D41/E41*1000,""))</f>
        <v/>
      </c>
      <c r="O41" s="37" t="str">
        <f aca="false">IF($B41="","",IFERROR(G41/F41,""))</f>
        <v/>
      </c>
      <c r="P41" s="30" t="str">
        <f aca="false">IF($B41="","",IFERROR(D41/G41,""))</f>
        <v/>
      </c>
      <c r="Q41" s="30" t="str">
        <f aca="false">IF($B41="","",IFERROR(D41/H41,""))</f>
        <v/>
      </c>
      <c r="R41" s="40" t="str">
        <f aca="false">IF(OR($B41="",$B41&gt;MAX(Статистика!$B$7:$B$1006)),"",SUM($J$11:J41))</f>
        <v/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32" t="s">
        <v>185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</sheetData>
  <mergeCells count="20"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8:C8"/>
    <mergeCell ref="E8:J8"/>
    <mergeCell ref="M8:N8"/>
    <mergeCell ref="P8:Q8"/>
  </mergeCells>
  <conditionalFormatting sqref="F6">
    <cfRule type="expression" priority="2" aboveAverage="0" equalAverage="0" bottom="0" percent="0" rank="0" text="" dxfId="3">
      <formula>AND(ISNUMBER(F6),F6&lt;0)</formula>
    </cfRule>
    <cfRule type="expression" priority="3" aboveAverage="0" equalAverage="0" bottom="0" percent="0" rank="0" text="" dxfId="4">
      <formula>AND(ISNUMBER(F6),F6&gt;0)</formula>
    </cfRule>
  </conditionalFormatting>
  <conditionalFormatting sqref="H6">
    <cfRule type="expression" priority="4" aboveAverage="0" equalAverage="0" bottom="0" percent="0" rank="0" text="" dxfId="3">
      <formula>AND(ISNUMBER(H6),H6&lt;0)</formula>
    </cfRule>
    <cfRule type="expression" priority="5" aboveAverage="0" equalAverage="0" bottom="0" percent="0" rank="0" text="" dxfId="4">
      <formula>AND(ISNUMBER(H6),H6&gt;0)</formula>
    </cfRule>
  </conditionalFormatting>
  <conditionalFormatting sqref="B11:R41">
    <cfRule type="expression" priority="6" aboveAverage="0" equalAverage="0" bottom="0" percent="0" rank="0" text="" dxfId="11">
      <formula>AND($B11&lt;&gt;"",$B11&gt;MAX(Статистика!$B$7:$B$1006))</formula>
    </cfRule>
  </conditionalFormatting>
  <conditionalFormatting sqref="C11:C41">
    <cfRule type="expression" priority="7" aboveAverage="0" equalAverage="0" bottom="0" percent="0" rank="0" text="" dxfId="12">
      <formula>OR($C11="Сб",$C11="Нд")</formula>
    </cfRule>
  </conditionalFormatting>
  <conditionalFormatting sqref="J11:K41">
    <cfRule type="expression" priority="8" aboveAverage="0" equalAverage="0" bottom="0" percent="0" rank="0" text="" dxfId="3">
      <formula>AND(ISNUMBER(J11),J11&lt;0)</formula>
    </cfRule>
    <cfRule type="expression" priority="9" aboveAverage="0" equalAverage="0" bottom="0" percent="0" rank="0" text="" dxfId="4">
      <formula>AND(ISNUMBER(J11),J11&gt;0)</formula>
    </cfRule>
  </conditionalFormatting>
  <conditionalFormatting sqref="R11:R41">
    <cfRule type="expression" priority="10" aboveAverage="0" equalAverage="0" bottom="0" percent="0" rank="0" text="" dxfId="3">
      <formula>AND(ISNUMBER(R11),R11&lt;0)</formula>
    </cfRule>
    <cfRule type="expression" priority="11" aboveAverage="0" equalAverage="0" bottom="0" percent="0" rank="0" text="" dxfId="4">
      <formula>AND(ISNUMBER(R11),R11&gt;0)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D399"/>
    <pageSetUpPr fitToPage="true"/>
  </sheetPr>
  <dimension ref="A1:A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3" min="12" style="0" width="10"/>
    <col collapsed="false" customWidth="true" hidden="false" outlineLevel="0" max="15" min="14" style="0" width="11"/>
    <col collapsed="false" customWidth="true" hidden="false" outlineLevel="0" max="17" min="16" style="0" width="9"/>
    <col collapsed="false" customWidth="true" hidden="false" outlineLevel="0" max="19" min="18" style="0" width="10"/>
    <col collapsed="false" customWidth="true" hidden="false" outlineLevel="0" max="20" min="20" style="0" width="18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186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9.5" hidden="false" customHeight="true" outlineLevel="0" collapsed="false">
      <c r="A5" s="1"/>
      <c r="B5" s="44" t="s">
        <v>187</v>
      </c>
      <c r="C5" s="35"/>
      <c r="D5" s="44" t="s">
        <v>188</v>
      </c>
      <c r="E5" s="35"/>
      <c r="F5" s="35"/>
      <c r="G5" s="59" t="s">
        <v>189</v>
      </c>
      <c r="H5" s="59"/>
      <c r="I5" s="59"/>
      <c r="J5" s="59"/>
      <c r="K5" s="59"/>
      <c r="L5" s="59"/>
      <c r="M5" s="59"/>
      <c r="N5" s="59"/>
      <c r="O5" s="59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8" hidden="false" customHeight="true" outlineLevel="0" collapsed="false">
      <c r="A6" s="1"/>
      <c r="B6" s="23" t="s">
        <v>190</v>
      </c>
      <c r="C6" s="23"/>
      <c r="D6" s="24" t="s">
        <v>191</v>
      </c>
      <c r="E6" s="24"/>
      <c r="F6" s="24"/>
      <c r="G6" s="24"/>
      <c r="H6" s="24"/>
      <c r="I6" s="24"/>
      <c r="J6" s="24"/>
      <c r="K6" s="24" t="s">
        <v>192</v>
      </c>
      <c r="L6" s="24"/>
      <c r="M6" s="24"/>
      <c r="N6" s="24"/>
      <c r="O6" s="24"/>
      <c r="P6" s="24"/>
      <c r="Q6" s="24"/>
      <c r="R6" s="47" t="s">
        <v>193</v>
      </c>
      <c r="S6" s="47"/>
      <c r="T6" s="47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39.75" hidden="false" customHeight="true" outlineLevel="0" collapsed="false">
      <c r="A7" s="1"/>
      <c r="B7" s="25" t="s">
        <v>72</v>
      </c>
      <c r="C7" s="25" t="s">
        <v>194</v>
      </c>
      <c r="D7" s="25" t="s">
        <v>123</v>
      </c>
      <c r="E7" s="25" t="s">
        <v>124</v>
      </c>
      <c r="F7" s="25" t="s">
        <v>125</v>
      </c>
      <c r="G7" s="25" t="s">
        <v>126</v>
      </c>
      <c r="H7" s="25" t="s">
        <v>131</v>
      </c>
      <c r="I7" s="25" t="s">
        <v>81</v>
      </c>
      <c r="J7" s="25" t="s">
        <v>132</v>
      </c>
      <c r="K7" s="25" t="s">
        <v>133</v>
      </c>
      <c r="L7" s="25" t="s">
        <v>135</v>
      </c>
      <c r="M7" s="25" t="s">
        <v>82</v>
      </c>
      <c r="N7" s="25" t="s">
        <v>136</v>
      </c>
      <c r="O7" s="25" t="s">
        <v>137</v>
      </c>
      <c r="P7" s="25" t="s">
        <v>45</v>
      </c>
      <c r="Q7" s="25" t="s">
        <v>195</v>
      </c>
      <c r="R7" s="25" t="s">
        <v>196</v>
      </c>
      <c r="S7" s="25" t="s">
        <v>197</v>
      </c>
      <c r="T7" s="25" t="s">
        <v>198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21.75" hidden="false" customHeight="true" outlineLevel="0" collapsed="false">
      <c r="A8" s="1"/>
      <c r="B8" s="51" t="str">
        <f aca="false">IF('Гео-калькулятор'!$B$7="","",'Гео-калькулятор'!$B$7)</f>
        <v>PL</v>
      </c>
      <c r="C8" s="66" t="str">
        <f aca="false">IF($B8="","",'Гео-калькулятор'!$C$7)</f>
        <v>Польща · суглоби</v>
      </c>
      <c r="D8" s="30" t="n">
        <f aca="false">IF($B8="","",SUMIFS(Статистика!$E$7:$E$1006,Статистика!$C$7:$C$1006,$B8,Статистика!$B$7:$B$1006,"&gt;="&amp;IF($C$5="",0,$C$5),Статистика!$B$7:$B$1006,"&lt;="&amp;IF($E$5="",2958465,$E$5)))</f>
        <v>150</v>
      </c>
      <c r="E8" s="64" t="n">
        <f aca="false">IF($B8="","",SUMIFS(Статистика!$F$7:$F$1006,Статистика!$C$7:$C$1006,$B8,Статистика!$B$7:$B$1006,"&gt;="&amp;IF($C$5="",0,$C$5),Статистика!$B$7:$B$1006,"&lt;="&amp;IF($E$5="",2958465,$E$5)))</f>
        <v>20000</v>
      </c>
      <c r="F8" s="64" t="n">
        <f aca="false">IF($B8="","",SUMIFS(Статистика!$G$7:$G$1006,Статистика!$C$7:$C$1006,$B8,Статистика!$B$7:$B$1006,"&gt;="&amp;IF($C$5="",0,$C$5),Статистика!$B$7:$B$1006,"&lt;="&amp;IF($E$5="",2958465,$E$5)))</f>
        <v>420</v>
      </c>
      <c r="G8" s="64" t="n">
        <f aca="false">IF($B8="","",SUMIFS(Статистика!$H$7:$H$1006,Статистика!$C$7:$C$1006,$B8,Статистика!$B$7:$B$1006,"&gt;="&amp;IF($C$5="",0,$C$5),Статистика!$B$7:$B$1006,"&lt;="&amp;IF($E$5="",2958465,$E$5)))</f>
        <v>21</v>
      </c>
      <c r="H8" s="30" t="n">
        <f aca="false">IF($B8="","",IFERROR(D8/G8,"—"))</f>
        <v>7.14285714285714</v>
      </c>
      <c r="I8" s="30" t="n">
        <f aca="false">IF($B8="","",'Гео-калькулятор'!$K$7)</f>
        <v>8.61538461538462</v>
      </c>
      <c r="J8" s="38" t="n">
        <f aca="false">IF($B8="","",IFERROR(H8/I8,""))</f>
        <v>0.829081632653061</v>
      </c>
      <c r="K8" s="39" t="n">
        <f aca="false">IF($B8="","",SUMIFS(Статистика!$Q$7:$Q$1006,Статистика!$C$7:$C$1006,$B8,Статистика!$B$7:$B$1006,"&gt;="&amp;IF($C$5="",0,$C$5),Статистика!$B$7:$B$1006,"&lt;="&amp;IF($E$5="",2958465,$E$5)))</f>
        <v>8</v>
      </c>
      <c r="L8" s="30" t="n">
        <f aca="false">IF($B8="","",IFERROR(D8/K8,"—"))</f>
        <v>18.75</v>
      </c>
      <c r="M8" s="30" t="n">
        <f aca="false">IF($B8="","",'Гео-калькулятор'!$L$7)</f>
        <v>21.5384615384615</v>
      </c>
      <c r="N8" s="30" t="n">
        <f aca="false">IF($B8="","",SUMIFS(Статистика!$T$7:$T$1006,Статистика!$C$7:$C$1006,$B8,Статистика!$B$7:$B$1006,"&gt;="&amp;IF($C$5="",0,$C$5),Статистика!$B$7:$B$1006,"&lt;="&amp;IF($E$5="",2958465,$E$5)))</f>
        <v>224</v>
      </c>
      <c r="O8" s="65" t="n">
        <f aca="false">IF($B8="","",N8-D8)</f>
        <v>74</v>
      </c>
      <c r="P8" s="41" t="n">
        <f aca="false">IF($B8="","",IFERROR(O8/D8,""))</f>
        <v>0.493333333333333</v>
      </c>
      <c r="Q8" s="38" t="n">
        <f aca="false">IF($B8="","",'Гео-калькулятор'!$F$7)</f>
        <v>0.3</v>
      </c>
      <c r="R8" s="38" t="n">
        <f aca="false">IF($B8="","",IFERROR(SUMIFS(Статистика!$I$7:$I$1006,Статистика!$C$7:$C$1006,$B8,Статистика!$B$7:$B$1006,"&gt;="&amp;IF($C$5="",0,$C$5),Статистика!$B$7:$B$1006,"&lt;="&amp;IF($E$5="",2958465,$E$5))/SUMIFS(Статистика!$H$7:$H$1006,Статистика!$C$7:$C$1006,$B8,Статистика!$I$7:$I$1006,"&lt;&gt;",Статистика!$B$7:$B$1006,"&gt;="&amp;IF($C$5="",0,$C$5),Статистика!$B$7:$B$1006,"&lt;="&amp;IF($E$5="",2958465,$E$5)),"—"))</f>
        <v>0.380952380952381</v>
      </c>
      <c r="S8" s="38" t="n">
        <f aca="false">IF($B8="","",'Гео-калькулятор'!$E$7)</f>
        <v>0.4</v>
      </c>
      <c r="T8" s="51" t="str">
        <f aca="false">IF($B8="","",IF(N(D8)=0,"Немає даних",IF(P8&gt;=Q8,"Масштабувати",IF(P8&gt;=0,"Плюс, нижче цілі","Мінус"))))</f>
        <v>Масштабувати</v>
      </c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21.75" hidden="false" customHeight="true" outlineLevel="0" collapsed="false">
      <c r="A9" s="1"/>
      <c r="B9" s="51" t="str">
        <f aca="false">IF('Гео-калькулятор'!$B$8="","",'Гео-калькулятор'!$B$8)</f>
        <v>RO</v>
      </c>
      <c r="C9" s="66" t="str">
        <f aca="false">IF($B9="","",'Гео-калькулятор'!$C$8)</f>
        <v>Румунія · діабет</v>
      </c>
      <c r="D9" s="30" t="n">
        <f aca="false">IF($B9="","",SUMIFS(Статистика!$E$7:$E$1006,Статистика!$C$7:$C$1006,$B9,Статистика!$B$7:$B$1006,"&gt;="&amp;IF($C$5="",0,$C$5),Статистика!$B$7:$B$1006,"&lt;="&amp;IF($E$5="",2958465,$E$5)))</f>
        <v>0</v>
      </c>
      <c r="E9" s="64" t="n">
        <f aca="false">IF($B9="","",SUMIFS(Статистика!$F$7:$F$1006,Статистика!$C$7:$C$1006,$B9,Статистика!$B$7:$B$1006,"&gt;="&amp;IF($C$5="",0,$C$5),Статистика!$B$7:$B$1006,"&lt;="&amp;IF($E$5="",2958465,$E$5)))</f>
        <v>0</v>
      </c>
      <c r="F9" s="64" t="n">
        <f aca="false">IF($B9="","",SUMIFS(Статистика!$G$7:$G$1006,Статистика!$C$7:$C$1006,$B9,Статистика!$B$7:$B$1006,"&gt;="&amp;IF($C$5="",0,$C$5),Статистика!$B$7:$B$1006,"&lt;="&amp;IF($E$5="",2958465,$E$5)))</f>
        <v>0</v>
      </c>
      <c r="G9" s="64" t="n">
        <f aca="false">IF($B9="","",SUMIFS(Статистика!$H$7:$H$1006,Статистика!$C$7:$C$1006,$B9,Статистика!$B$7:$B$1006,"&gt;="&amp;IF($C$5="",0,$C$5),Статистика!$B$7:$B$1006,"&lt;="&amp;IF($E$5="",2958465,$E$5)))</f>
        <v>0</v>
      </c>
      <c r="H9" s="30" t="str">
        <f aca="false">IF($B9="","",IFERROR(D9/G9,"—"))</f>
        <v>—</v>
      </c>
      <c r="I9" s="30" t="n">
        <f aca="false">IF($B9="","",'Гео-калькулятор'!$K$8)</f>
        <v>7.61538461538462</v>
      </c>
      <c r="J9" s="38" t="str">
        <f aca="false">IF($B9="","",IFERROR(H9/I9,""))</f>
        <v/>
      </c>
      <c r="K9" s="39" t="n">
        <f aca="false">IF($B9="","",SUMIFS(Статистика!$Q$7:$Q$1006,Статистика!$C$7:$C$1006,$B9,Статистика!$B$7:$B$1006,"&gt;="&amp;IF($C$5="",0,$C$5),Статистика!$B$7:$B$1006,"&lt;="&amp;IF($E$5="",2958465,$E$5)))</f>
        <v>0</v>
      </c>
      <c r="L9" s="30" t="str">
        <f aca="false">IF($B9="","",IFERROR(D9/K9,"—"))</f>
        <v>—</v>
      </c>
      <c r="M9" s="30" t="n">
        <f aca="false">IF($B9="","",'Гео-калькулятор'!$L$8)</f>
        <v>16.9230769230769</v>
      </c>
      <c r="N9" s="30" t="n">
        <f aca="false">IF($B9="","",SUMIFS(Статистика!$T$7:$T$1006,Статистика!$C$7:$C$1006,$B9,Статистика!$B$7:$B$1006,"&gt;="&amp;IF($C$5="",0,$C$5),Статистика!$B$7:$B$1006,"&lt;="&amp;IF($E$5="",2958465,$E$5)))</f>
        <v>0</v>
      </c>
      <c r="O9" s="65" t="n">
        <f aca="false">IF($B9="","",N9-D9)</f>
        <v>0</v>
      </c>
      <c r="P9" s="41" t="str">
        <f aca="false">IF($B9="","",IFERROR(O9/D9,""))</f>
        <v/>
      </c>
      <c r="Q9" s="38" t="n">
        <f aca="false">IF($B9="","",'Гео-калькулятор'!$F$8)</f>
        <v>0.3</v>
      </c>
      <c r="R9" s="38" t="str">
        <f aca="false">IF($B9="","",IFERROR(SUMIFS(Статистика!$I$7:$I$1006,Статистика!$C$7:$C$1006,$B9,Статистика!$B$7:$B$1006,"&gt;="&amp;IF($C$5="",0,$C$5),Статистика!$B$7:$B$1006,"&lt;="&amp;IF($E$5="",2958465,$E$5))/SUMIFS(Статистика!$H$7:$H$1006,Статистика!$C$7:$C$1006,$B9,Статистика!$I$7:$I$1006,"&lt;&gt;",Статистика!$B$7:$B$1006,"&gt;="&amp;IF($C$5="",0,$C$5),Статистика!$B$7:$B$1006,"&lt;="&amp;IF($E$5="",2958465,$E$5)),"—"))</f>
        <v>—</v>
      </c>
      <c r="S9" s="38" t="n">
        <f aca="false">IF($B9="","",'Гео-калькулятор'!$E$8)</f>
        <v>0.45</v>
      </c>
      <c r="T9" s="51" t="str">
        <f aca="false">IF($B9="","",IF(N(D9)=0,"Немає даних",IF(P9&gt;=Q9,"Масштабувати",IF(P9&gt;=0,"Плюс, нижче цілі","Мінус"))))</f>
        <v>Немає даних</v>
      </c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21.75" hidden="false" customHeight="true" outlineLevel="0" collapsed="false">
      <c r="A10" s="1"/>
      <c r="B10" s="51" t="str">
        <f aca="false">IF('Гео-калькулятор'!$B$9="","",'Гео-калькулятор'!$B$9)</f>
        <v>IT</v>
      </c>
      <c r="C10" s="66" t="str">
        <f aca="false">IF($B10="","",'Гео-калькулятор'!$C$9)</f>
        <v>Італія · схуднення</v>
      </c>
      <c r="D10" s="30" t="n">
        <f aca="false">IF($B10="","",SUMIFS(Статистика!$E$7:$E$1006,Статистика!$C$7:$C$1006,$B10,Статистика!$B$7:$B$1006,"&gt;="&amp;IF($C$5="",0,$C$5),Статистика!$B$7:$B$1006,"&lt;="&amp;IF($E$5="",2958465,$E$5)))</f>
        <v>0</v>
      </c>
      <c r="E10" s="64" t="n">
        <f aca="false">IF($B10="","",SUMIFS(Статистика!$F$7:$F$1006,Статистика!$C$7:$C$1006,$B10,Статистика!$B$7:$B$1006,"&gt;="&amp;IF($C$5="",0,$C$5),Статистика!$B$7:$B$1006,"&lt;="&amp;IF($E$5="",2958465,$E$5)))</f>
        <v>0</v>
      </c>
      <c r="F10" s="64" t="n">
        <f aca="false">IF($B10="","",SUMIFS(Статистика!$G$7:$G$1006,Статистика!$C$7:$C$1006,$B10,Статистика!$B$7:$B$1006,"&gt;="&amp;IF($C$5="",0,$C$5),Статистика!$B$7:$B$1006,"&lt;="&amp;IF($E$5="",2958465,$E$5)))</f>
        <v>0</v>
      </c>
      <c r="G10" s="64" t="n">
        <f aca="false">IF($B10="","",SUMIFS(Статистика!$H$7:$H$1006,Статистика!$C$7:$C$1006,$B10,Статистика!$B$7:$B$1006,"&gt;="&amp;IF($C$5="",0,$C$5),Статистика!$B$7:$B$1006,"&lt;="&amp;IF($E$5="",2958465,$E$5)))</f>
        <v>0</v>
      </c>
      <c r="H10" s="30" t="str">
        <f aca="false">IF($B10="","",IFERROR(D10/G10,"—"))</f>
        <v>—</v>
      </c>
      <c r="I10" s="30" t="n">
        <f aca="false">IF($B10="","",'Гео-калькулятор'!$K$9)</f>
        <v>9.42307692307692</v>
      </c>
      <c r="J10" s="38" t="str">
        <f aca="false">IF($B10="","",IFERROR(H10/I10,""))</f>
        <v/>
      </c>
      <c r="K10" s="39" t="n">
        <f aca="false">IF($B10="","",SUMIFS(Статистика!$Q$7:$Q$1006,Статистика!$C$7:$C$1006,$B10,Статистика!$B$7:$B$1006,"&gt;="&amp;IF($C$5="",0,$C$5),Статистика!$B$7:$B$1006,"&lt;="&amp;IF($E$5="",2958465,$E$5)))</f>
        <v>0</v>
      </c>
      <c r="L10" s="30" t="str">
        <f aca="false">IF($B10="","",IFERROR(D10/K10,"—"))</f>
        <v>—</v>
      </c>
      <c r="M10" s="30" t="n">
        <f aca="false">IF($B10="","",'Гео-калькулятор'!$L$9)</f>
        <v>26.9230769230769</v>
      </c>
      <c r="N10" s="30" t="n">
        <f aca="false">IF($B10="","",SUMIFS(Статистика!$T$7:$T$1006,Статистика!$C$7:$C$1006,$B10,Статистика!$B$7:$B$1006,"&gt;="&amp;IF($C$5="",0,$C$5),Статистика!$B$7:$B$1006,"&lt;="&amp;IF($E$5="",2958465,$E$5)))</f>
        <v>0</v>
      </c>
      <c r="O10" s="65" t="n">
        <f aca="false">IF($B10="","",N10-D10)</f>
        <v>0</v>
      </c>
      <c r="P10" s="41" t="str">
        <f aca="false">IF($B10="","",IFERROR(O10/D10,""))</f>
        <v/>
      </c>
      <c r="Q10" s="38" t="n">
        <f aca="false">IF($B10="","",'Гео-калькулятор'!$F$9)</f>
        <v>0.3</v>
      </c>
      <c r="R10" s="38" t="str">
        <f aca="false">IF($B10="","",IFERROR(SUMIFS(Статистика!$I$7:$I$1006,Статистика!$C$7:$C$1006,$B10,Статистика!$B$7:$B$1006,"&gt;="&amp;IF($C$5="",0,$C$5),Статистика!$B$7:$B$1006,"&lt;="&amp;IF($E$5="",2958465,$E$5))/SUMIFS(Статистика!$H$7:$H$1006,Статистика!$C$7:$C$1006,$B10,Статистика!$I$7:$I$1006,"&lt;&gt;",Статистика!$B$7:$B$1006,"&gt;="&amp;IF($C$5="",0,$C$5),Статистика!$B$7:$B$1006,"&lt;="&amp;IF($E$5="",2958465,$E$5)),"—"))</f>
        <v>—</v>
      </c>
      <c r="S10" s="38" t="n">
        <f aca="false">IF($B10="","",'Гео-калькулятор'!$E$9)</f>
        <v>0.35</v>
      </c>
      <c r="T10" s="51" t="str">
        <f aca="false">IF($B10="","",IF(N(D10)=0,"Немає даних",IF(P10&gt;=Q10,"Масштабувати",IF(P10&gt;=0,"Плюс, нижче цілі","Мінус"))))</f>
        <v>Немає даних</v>
      </c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21.75" hidden="false" customHeight="true" outlineLevel="0" collapsed="false">
      <c r="A11" s="1"/>
      <c r="B11" s="51" t="str">
        <f aca="false">IF('Гео-калькулятор'!$B$10="","",'Гео-калькулятор'!$B$10)</f>
        <v>ES</v>
      </c>
      <c r="C11" s="66" t="str">
        <f aca="false">IF($B11="","",'Гео-калькулятор'!$C$10)</f>
        <v>Іспанія · потенція</v>
      </c>
      <c r="D11" s="30" t="n">
        <f aca="false">IF($B11="","",SUMIFS(Статистика!$E$7:$E$1006,Статистика!$C$7:$C$1006,$B11,Статистика!$B$7:$B$1006,"&gt;="&amp;IF($C$5="",0,$C$5),Статистика!$B$7:$B$1006,"&lt;="&amp;IF($E$5="",2958465,$E$5)))</f>
        <v>0</v>
      </c>
      <c r="E11" s="64" t="n">
        <f aca="false">IF($B11="","",SUMIFS(Статистика!$F$7:$F$1006,Статистика!$C$7:$C$1006,$B11,Статистика!$B$7:$B$1006,"&gt;="&amp;IF($C$5="",0,$C$5),Статистика!$B$7:$B$1006,"&lt;="&amp;IF($E$5="",2958465,$E$5)))</f>
        <v>0</v>
      </c>
      <c r="F11" s="64" t="n">
        <f aca="false">IF($B11="","",SUMIFS(Статистика!$G$7:$G$1006,Статистика!$C$7:$C$1006,$B11,Статистика!$B$7:$B$1006,"&gt;="&amp;IF($C$5="",0,$C$5),Статистика!$B$7:$B$1006,"&lt;="&amp;IF($E$5="",2958465,$E$5)))</f>
        <v>0</v>
      </c>
      <c r="G11" s="64" t="n">
        <f aca="false">IF($B11="","",SUMIFS(Статистика!$H$7:$H$1006,Статистика!$C$7:$C$1006,$B11,Статистика!$B$7:$B$1006,"&gt;="&amp;IF($C$5="",0,$C$5),Статистика!$B$7:$B$1006,"&lt;="&amp;IF($E$5="",2958465,$E$5)))</f>
        <v>0</v>
      </c>
      <c r="H11" s="30" t="str">
        <f aca="false">IF($B11="","",IFERROR(D11/G11,"—"))</f>
        <v>—</v>
      </c>
      <c r="I11" s="30" t="n">
        <f aca="false">IF($B11="","",'Гео-калькулятор'!$K$10)</f>
        <v>9.64615384615385</v>
      </c>
      <c r="J11" s="38" t="str">
        <f aca="false">IF($B11="","",IFERROR(H11/I11,""))</f>
        <v/>
      </c>
      <c r="K11" s="39" t="n">
        <f aca="false">IF($B11="","",SUMIFS(Статистика!$Q$7:$Q$1006,Статистика!$C$7:$C$1006,$B11,Статистика!$B$7:$B$1006,"&gt;="&amp;IF($C$5="",0,$C$5),Статистика!$B$7:$B$1006,"&lt;="&amp;IF($E$5="",2958465,$E$5)))</f>
        <v>0</v>
      </c>
      <c r="L11" s="30" t="str">
        <f aca="false">IF($B11="","",IFERROR(D11/K11,"—"))</f>
        <v>—</v>
      </c>
      <c r="M11" s="30" t="n">
        <f aca="false">IF($B11="","",'Гео-калькулятор'!$L$10)</f>
        <v>25.3846153846154</v>
      </c>
      <c r="N11" s="30" t="n">
        <f aca="false">IF($B11="","",SUMIFS(Статистика!$T$7:$T$1006,Статистика!$C$7:$C$1006,$B11,Статистика!$B$7:$B$1006,"&gt;="&amp;IF($C$5="",0,$C$5),Статистика!$B$7:$B$1006,"&lt;="&amp;IF($E$5="",2958465,$E$5)))</f>
        <v>0</v>
      </c>
      <c r="O11" s="65" t="n">
        <f aca="false">IF($B11="","",N11-D11)</f>
        <v>0</v>
      </c>
      <c r="P11" s="41" t="str">
        <f aca="false">IF($B11="","",IFERROR(O11/D11,""))</f>
        <v/>
      </c>
      <c r="Q11" s="38" t="n">
        <f aca="false">IF($B11="","",'Гео-калькулятор'!$F$10)</f>
        <v>0.3</v>
      </c>
      <c r="R11" s="38" t="str">
        <f aca="false">IF($B11="","",IFERROR(SUMIFS(Статистика!$I$7:$I$1006,Статистика!$C$7:$C$1006,$B11,Статистика!$B$7:$B$1006,"&gt;="&amp;IF($C$5="",0,$C$5),Статистика!$B$7:$B$1006,"&lt;="&amp;IF($E$5="",2958465,$E$5))/SUMIFS(Статистика!$H$7:$H$1006,Статистика!$C$7:$C$1006,$B11,Статистика!$I$7:$I$1006,"&lt;&gt;",Статистика!$B$7:$B$1006,"&gt;="&amp;IF($C$5="",0,$C$5),Статистика!$B$7:$B$1006,"&lt;="&amp;IF($E$5="",2958465,$E$5)),"—"))</f>
        <v>—</v>
      </c>
      <c r="S11" s="38" t="n">
        <f aca="false">IF($B11="","",'Гео-калькулятор'!$E$10)</f>
        <v>0.38</v>
      </c>
      <c r="T11" s="51" t="str">
        <f aca="false">IF($B11="","",IF(N(D11)=0,"Немає даних",IF(P11&gt;=Q11,"Масштабувати",IF(P11&gt;=0,"Плюс, нижче цілі","Мінус"))))</f>
        <v>Немає даних</v>
      </c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21.75" hidden="false" customHeight="true" outlineLevel="0" collapsed="false">
      <c r="A12" s="1"/>
      <c r="B12" s="51" t="str">
        <f aca="false">IF('Гео-калькулятор'!$B$11="","",'Гео-калькулятор'!$B$11)</f>
        <v>CZ</v>
      </c>
      <c r="C12" s="66" t="str">
        <f aca="false">IF($B12="","",'Гео-калькулятор'!$C$11)</f>
        <v>Чехія · тиск</v>
      </c>
      <c r="D12" s="30" t="n">
        <f aca="false">IF($B12="","",SUMIFS(Статистика!$E$7:$E$1006,Статистика!$C$7:$C$1006,$B12,Статистика!$B$7:$B$1006,"&gt;="&amp;IF($C$5="",0,$C$5),Статистика!$B$7:$B$1006,"&lt;="&amp;IF($E$5="",2958465,$E$5)))</f>
        <v>0</v>
      </c>
      <c r="E12" s="64" t="n">
        <f aca="false">IF($B12="","",SUMIFS(Статистика!$F$7:$F$1006,Статистика!$C$7:$C$1006,$B12,Статистика!$B$7:$B$1006,"&gt;="&amp;IF($C$5="",0,$C$5),Статистика!$B$7:$B$1006,"&lt;="&amp;IF($E$5="",2958465,$E$5)))</f>
        <v>0</v>
      </c>
      <c r="F12" s="64" t="n">
        <f aca="false">IF($B12="","",SUMIFS(Статистика!$G$7:$G$1006,Статистика!$C$7:$C$1006,$B12,Статистика!$B$7:$B$1006,"&gt;="&amp;IF($C$5="",0,$C$5),Статистика!$B$7:$B$1006,"&lt;="&amp;IF($E$5="",2958465,$E$5)))</f>
        <v>0</v>
      </c>
      <c r="G12" s="64" t="n">
        <f aca="false">IF($B12="","",SUMIFS(Статистика!$H$7:$H$1006,Статистика!$C$7:$C$1006,$B12,Статистика!$B$7:$B$1006,"&gt;="&amp;IF($C$5="",0,$C$5),Статистика!$B$7:$B$1006,"&lt;="&amp;IF($E$5="",2958465,$E$5)))</f>
        <v>0</v>
      </c>
      <c r="H12" s="30" t="str">
        <f aca="false">IF($B12="","",IFERROR(D12/G12,"—"))</f>
        <v>—</v>
      </c>
      <c r="I12" s="30" t="n">
        <f aca="false">IF($B12="","",'Гео-калькулятор'!$K$11)</f>
        <v>8</v>
      </c>
      <c r="J12" s="38" t="str">
        <f aca="false">IF($B12="","",IFERROR(H12/I12,""))</f>
        <v/>
      </c>
      <c r="K12" s="39" t="n">
        <f aca="false">IF($B12="","",SUMIFS(Статистика!$Q$7:$Q$1006,Статистика!$C$7:$C$1006,$B12,Статистика!$B$7:$B$1006,"&gt;="&amp;IF($C$5="",0,$C$5),Статистика!$B$7:$B$1006,"&lt;="&amp;IF($E$5="",2958465,$E$5)))</f>
        <v>0</v>
      </c>
      <c r="L12" s="30" t="str">
        <f aca="false">IF($B12="","",IFERROR(D12/K12,"—"))</f>
        <v>—</v>
      </c>
      <c r="M12" s="30" t="n">
        <f aca="false">IF($B12="","",'Гео-калькулятор'!$L$11)</f>
        <v>20</v>
      </c>
      <c r="N12" s="30" t="n">
        <f aca="false">IF($B12="","",SUMIFS(Статистика!$T$7:$T$1006,Статистика!$C$7:$C$1006,$B12,Статистика!$B$7:$B$1006,"&gt;="&amp;IF($C$5="",0,$C$5),Статистика!$B$7:$B$1006,"&lt;="&amp;IF($E$5="",2958465,$E$5)))</f>
        <v>0</v>
      </c>
      <c r="O12" s="65" t="n">
        <f aca="false">IF($B12="","",N12-D12)</f>
        <v>0</v>
      </c>
      <c r="P12" s="41" t="str">
        <f aca="false">IF($B12="","",IFERROR(O12/D12,""))</f>
        <v/>
      </c>
      <c r="Q12" s="38" t="n">
        <f aca="false">IF($B12="","",'Гео-калькулятор'!$F$11)</f>
        <v>0.3</v>
      </c>
      <c r="R12" s="38" t="str">
        <f aca="false">IF($B12="","",IFERROR(SUMIFS(Статистика!$I$7:$I$1006,Статистика!$C$7:$C$1006,$B12,Статистика!$B$7:$B$1006,"&gt;="&amp;IF($C$5="",0,$C$5),Статистика!$B$7:$B$1006,"&lt;="&amp;IF($E$5="",2958465,$E$5))/SUMIFS(Статистика!$H$7:$H$1006,Статистика!$C$7:$C$1006,$B12,Статистика!$I$7:$I$1006,"&lt;&gt;",Статистика!$B$7:$B$1006,"&gt;="&amp;IF($C$5="",0,$C$5),Статистика!$B$7:$B$1006,"&lt;="&amp;IF($E$5="",2958465,$E$5)),"—"))</f>
        <v>—</v>
      </c>
      <c r="S12" s="38" t="n">
        <f aca="false">IF($B12="","",'Гео-калькулятор'!$E$11)</f>
        <v>0.4</v>
      </c>
      <c r="T12" s="51" t="str">
        <f aca="false">IF($B12="","",IF(N(D12)=0,"Немає даних",IF(P12&gt;=Q12,"Масштабувати",IF(P12&gt;=0,"Плюс, нижче цілі","Мінус"))))</f>
        <v>Немає даних</v>
      </c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21.75" hidden="false" customHeight="true" outlineLevel="0" collapsed="false">
      <c r="A13" s="1"/>
      <c r="B13" s="51" t="str">
        <f aca="false">IF('Гео-калькулятор'!$B$12="","",'Гео-калькулятор'!$B$12)</f>
        <v>BG</v>
      </c>
      <c r="C13" s="66" t="str">
        <f aca="false">IF($B13="","",'Гео-калькулятор'!$C$12)</f>
        <v>Болгарія · суглоби</v>
      </c>
      <c r="D13" s="30" t="n">
        <f aca="false">IF($B13="","",SUMIFS(Статистика!$E$7:$E$1006,Статистика!$C$7:$C$1006,$B13,Статистика!$B$7:$B$1006,"&gt;="&amp;IF($C$5="",0,$C$5),Статистика!$B$7:$B$1006,"&lt;="&amp;IF($E$5="",2958465,$E$5)))</f>
        <v>0</v>
      </c>
      <c r="E13" s="64" t="n">
        <f aca="false">IF($B13="","",SUMIFS(Статистика!$F$7:$F$1006,Статистика!$C$7:$C$1006,$B13,Статистика!$B$7:$B$1006,"&gt;="&amp;IF($C$5="",0,$C$5),Статистика!$B$7:$B$1006,"&lt;="&amp;IF($E$5="",2958465,$E$5)))</f>
        <v>0</v>
      </c>
      <c r="F13" s="64" t="n">
        <f aca="false">IF($B13="","",SUMIFS(Статистика!$G$7:$G$1006,Статистика!$C$7:$C$1006,$B13,Статистика!$B$7:$B$1006,"&gt;="&amp;IF($C$5="",0,$C$5),Статистика!$B$7:$B$1006,"&lt;="&amp;IF($E$5="",2958465,$E$5)))</f>
        <v>0</v>
      </c>
      <c r="G13" s="64" t="n">
        <f aca="false">IF($B13="","",SUMIFS(Статистика!$H$7:$H$1006,Статистика!$C$7:$C$1006,$B13,Статистика!$B$7:$B$1006,"&gt;="&amp;IF($C$5="",0,$C$5),Статистика!$B$7:$B$1006,"&lt;="&amp;IF($E$5="",2958465,$E$5)))</f>
        <v>0</v>
      </c>
      <c r="H13" s="30" t="str">
        <f aca="false">IF($B13="","",IFERROR(D13/G13,"—"))</f>
        <v>—</v>
      </c>
      <c r="I13" s="30" t="n">
        <f aca="false">IF($B13="","",'Гео-калькулятор'!$K$12)</f>
        <v>6.46153846153846</v>
      </c>
      <c r="J13" s="38" t="str">
        <f aca="false">IF($B13="","",IFERROR(H13/I13,""))</f>
        <v/>
      </c>
      <c r="K13" s="39" t="n">
        <f aca="false">IF($B13="","",SUMIFS(Статистика!$Q$7:$Q$1006,Статистика!$C$7:$C$1006,$B13,Статистика!$B$7:$B$1006,"&gt;="&amp;IF($C$5="",0,$C$5),Статистика!$B$7:$B$1006,"&lt;="&amp;IF($E$5="",2958465,$E$5)))</f>
        <v>0</v>
      </c>
      <c r="L13" s="30" t="str">
        <f aca="false">IF($B13="","",IFERROR(D13/K13,"—"))</f>
        <v>—</v>
      </c>
      <c r="M13" s="30" t="n">
        <f aca="false">IF($B13="","",'Гео-калькулятор'!$L$12)</f>
        <v>15.3846153846154</v>
      </c>
      <c r="N13" s="30" t="n">
        <f aca="false">IF($B13="","",SUMIFS(Статистика!$T$7:$T$1006,Статистика!$C$7:$C$1006,$B13,Статистика!$B$7:$B$1006,"&gt;="&amp;IF($C$5="",0,$C$5),Статистика!$B$7:$B$1006,"&lt;="&amp;IF($E$5="",2958465,$E$5)))</f>
        <v>0</v>
      </c>
      <c r="O13" s="65" t="n">
        <f aca="false">IF($B13="","",N13-D13)</f>
        <v>0</v>
      </c>
      <c r="P13" s="41" t="str">
        <f aca="false">IF($B13="","",IFERROR(O13/D13,""))</f>
        <v/>
      </c>
      <c r="Q13" s="38" t="n">
        <f aca="false">IF($B13="","",'Гео-калькулятор'!$F$12)</f>
        <v>0.3</v>
      </c>
      <c r="R13" s="38" t="str">
        <f aca="false">IF($B13="","",IFERROR(SUMIFS(Статистика!$I$7:$I$1006,Статистика!$C$7:$C$1006,$B13,Статистика!$B$7:$B$1006,"&gt;="&amp;IF($C$5="",0,$C$5),Статистика!$B$7:$B$1006,"&lt;="&amp;IF($E$5="",2958465,$E$5))/SUMIFS(Статистика!$H$7:$H$1006,Статистика!$C$7:$C$1006,$B13,Статистика!$I$7:$I$1006,"&lt;&gt;",Статистика!$B$7:$B$1006,"&gt;="&amp;IF($C$5="",0,$C$5),Статистика!$B$7:$B$1006,"&lt;="&amp;IF($E$5="",2958465,$E$5)),"—"))</f>
        <v>—</v>
      </c>
      <c r="S13" s="38" t="n">
        <f aca="false">IF($B13="","",'Гео-калькулятор'!$E$12)</f>
        <v>0.42</v>
      </c>
      <c r="T13" s="51" t="str">
        <f aca="false">IF($B13="","",IF(N(D13)=0,"Немає даних",IF(P13&gt;=Q13,"Масштабувати",IF(P13&gt;=0,"Плюс, нижче цілі","Мінус"))))</f>
        <v>Немає даних</v>
      </c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21.75" hidden="false" customHeight="true" outlineLevel="0" collapsed="false">
      <c r="A14" s="1"/>
      <c r="B14" s="51" t="str">
        <f aca="false">IF('Гео-калькулятор'!$B$13="","",'Гео-калькулятор'!$B$13)</f>
        <v>GR</v>
      </c>
      <c r="C14" s="66" t="str">
        <f aca="false">IF($B14="","",'Гео-калькулятор'!$C$13)</f>
        <v>Греція · простатит</v>
      </c>
      <c r="D14" s="30" t="n">
        <f aca="false">IF($B14="","",SUMIFS(Статистика!$E$7:$E$1006,Статистика!$C$7:$C$1006,$B14,Статистика!$B$7:$B$1006,"&gt;="&amp;IF($C$5="",0,$C$5),Статистика!$B$7:$B$1006,"&lt;="&amp;IF($E$5="",2958465,$E$5)))</f>
        <v>0</v>
      </c>
      <c r="E14" s="64" t="n">
        <f aca="false">IF($B14="","",SUMIFS(Статистика!$F$7:$F$1006,Статистика!$C$7:$C$1006,$B14,Статистика!$B$7:$B$1006,"&gt;="&amp;IF($C$5="",0,$C$5),Статистика!$B$7:$B$1006,"&lt;="&amp;IF($E$5="",2958465,$E$5)))</f>
        <v>0</v>
      </c>
      <c r="F14" s="64" t="n">
        <f aca="false">IF($B14="","",SUMIFS(Статистика!$G$7:$G$1006,Статистика!$C$7:$C$1006,$B14,Статистика!$B$7:$B$1006,"&gt;="&amp;IF($C$5="",0,$C$5),Статистика!$B$7:$B$1006,"&lt;="&amp;IF($E$5="",2958465,$E$5)))</f>
        <v>0</v>
      </c>
      <c r="G14" s="64" t="n">
        <f aca="false">IF($B14="","",SUMIFS(Статистика!$H$7:$H$1006,Статистика!$C$7:$C$1006,$B14,Статистика!$B$7:$B$1006,"&gt;="&amp;IF($C$5="",0,$C$5),Статистика!$B$7:$B$1006,"&lt;="&amp;IF($E$5="",2958465,$E$5)))</f>
        <v>0</v>
      </c>
      <c r="H14" s="30" t="str">
        <f aca="false">IF($B14="","",IFERROR(D14/G14,"—"))</f>
        <v>—</v>
      </c>
      <c r="I14" s="30" t="n">
        <f aca="false">IF($B14="","",'Гео-калькулятор'!$K$13)</f>
        <v>8.93076923076923</v>
      </c>
      <c r="J14" s="38" t="str">
        <f aca="false">IF($B14="","",IFERROR(H14/I14,""))</f>
        <v/>
      </c>
      <c r="K14" s="39" t="n">
        <f aca="false">IF($B14="","",SUMIFS(Статистика!$Q$7:$Q$1006,Статистика!$C$7:$C$1006,$B14,Статистика!$B$7:$B$1006,"&gt;="&amp;IF($C$5="",0,$C$5),Статистика!$B$7:$B$1006,"&lt;="&amp;IF($E$5="",2958465,$E$5)))</f>
        <v>0</v>
      </c>
      <c r="L14" s="30" t="str">
        <f aca="false">IF($B14="","",IFERROR(D14/K14,"—"))</f>
        <v>—</v>
      </c>
      <c r="M14" s="30" t="n">
        <f aca="false">IF($B14="","",'Гео-калькулятор'!$L$13)</f>
        <v>20.7692307692308</v>
      </c>
      <c r="N14" s="30" t="n">
        <f aca="false">IF($B14="","",SUMIFS(Статистика!$T$7:$T$1006,Статистика!$C$7:$C$1006,$B14,Статистика!$B$7:$B$1006,"&gt;="&amp;IF($C$5="",0,$C$5),Статистика!$B$7:$B$1006,"&lt;="&amp;IF($E$5="",2958465,$E$5)))</f>
        <v>0</v>
      </c>
      <c r="O14" s="65" t="n">
        <f aca="false">IF($B14="","",N14-D14)</f>
        <v>0</v>
      </c>
      <c r="P14" s="41" t="str">
        <f aca="false">IF($B14="","",IFERROR(O14/D14,""))</f>
        <v/>
      </c>
      <c r="Q14" s="38" t="n">
        <f aca="false">IF($B14="","",'Гео-калькулятор'!$F$13)</f>
        <v>0.3</v>
      </c>
      <c r="R14" s="38" t="str">
        <f aca="false">IF($B14="","",IFERROR(SUMIFS(Статистика!$I$7:$I$1006,Статистика!$C$7:$C$1006,$B14,Статистика!$B$7:$B$1006,"&gt;="&amp;IF($C$5="",0,$C$5),Статистика!$B$7:$B$1006,"&lt;="&amp;IF($E$5="",2958465,$E$5))/SUMIFS(Статистика!$H$7:$H$1006,Статистика!$C$7:$C$1006,$B14,Статистика!$I$7:$I$1006,"&lt;&gt;",Статистика!$B$7:$B$1006,"&gt;="&amp;IF($C$5="",0,$C$5),Статистика!$B$7:$B$1006,"&lt;="&amp;IF($E$5="",2958465,$E$5)),"—"))</f>
        <v>—</v>
      </c>
      <c r="S14" s="38" t="n">
        <f aca="false">IF($B14="","",'Гео-калькулятор'!$E$13)</f>
        <v>0.43</v>
      </c>
      <c r="T14" s="51" t="str">
        <f aca="false">IF($B14="","",IF(N(D14)=0,"Немає даних",IF(P14&gt;=Q14,"Масштабувати",IF(P14&gt;=0,"Плюс, нижче цілі","Мінус"))))</f>
        <v>Немає даних</v>
      </c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24" hidden="false" customHeight="true" outlineLevel="0" collapsed="false">
      <c r="A15" s="1"/>
      <c r="B15" s="67" t="s">
        <v>199</v>
      </c>
      <c r="C15" s="67"/>
      <c r="D15" s="68" t="n">
        <f aca="false">SUM(D8:D14)</f>
        <v>150</v>
      </c>
      <c r="E15" s="69" t="n">
        <f aca="false">SUM(E8:E14)</f>
        <v>20000</v>
      </c>
      <c r="F15" s="69" t="n">
        <f aca="false">SUM(F8:F14)</f>
        <v>420</v>
      </c>
      <c r="G15" s="69" t="n">
        <f aca="false">SUM(G8:G14)</f>
        <v>21</v>
      </c>
      <c r="H15" s="68" t="n">
        <f aca="false">IFERROR(D15/G15,"—")</f>
        <v>7.14285714285714</v>
      </c>
      <c r="I15" s="70"/>
      <c r="J15" s="70"/>
      <c r="K15" s="71" t="n">
        <f aca="false">SUM(K8:K14)</f>
        <v>8</v>
      </c>
      <c r="L15" s="68" t="n">
        <f aca="false">IFERROR(D15/K15,"—")</f>
        <v>18.75</v>
      </c>
      <c r="M15" s="70"/>
      <c r="N15" s="68" t="n">
        <f aca="false">SUM(N8:N14)</f>
        <v>224</v>
      </c>
      <c r="O15" s="72" t="n">
        <f aca="false">N15-D15</f>
        <v>74</v>
      </c>
      <c r="P15" s="73" t="n">
        <f aca="false">IFERROR(O15/D15,"")</f>
        <v>0.493333333333333</v>
      </c>
      <c r="Q15" s="70"/>
      <c r="R15" s="74" t="n">
        <f aca="false">IFERROR(SUMIFS(Статистика!$I$7:$I$1006,Статистика!$B$7:$B$1006,"&gt;="&amp;IF($C$5="",0,$C$5),Статистика!$B$7:$B$1006,"&lt;="&amp;IF($E$5="",2958465,$E$5))/SUMIFS(Статистика!$H$7:$H$1006,Статистика!$I$7:$I$1006,"&lt;&gt;",Статистика!$B$7:$B$1006,"&gt;="&amp;IF($C$5="",0,$C$5),Статистика!$B$7:$B$1006,"&lt;="&amp;IF($E$5="",2958465,$E$5)),"—")</f>
        <v>0.380952380952381</v>
      </c>
      <c r="S15" s="70"/>
      <c r="T15" s="70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75" t="s">
        <v>200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32" t="s">
        <v>201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</sheetData>
  <mergeCells count="7">
    <mergeCell ref="E5:F5"/>
    <mergeCell ref="G5:O5"/>
    <mergeCell ref="B6:C6"/>
    <mergeCell ref="D6:J6"/>
    <mergeCell ref="K6:Q6"/>
    <mergeCell ref="R6:T6"/>
    <mergeCell ref="B15:C15"/>
  </mergeCells>
  <conditionalFormatting sqref="J8:J14">
    <cfRule type="expression" priority="2" aboveAverage="0" equalAverage="0" bottom="0" percent="0" rank="0" text="" dxfId="0">
      <formula>AND(ISNUMBER($J8),$J8&lt;=1)</formula>
    </cfRule>
    <cfRule type="expression" priority="3" aboveAverage="0" equalAverage="0" bottom="0" percent="0" rank="0" text="" dxfId="1">
      <formula>AND(ISNUMBER($J8),$J8&lt;=1.3)</formula>
    </cfRule>
    <cfRule type="expression" priority="4" aboveAverage="0" equalAverage="0" bottom="0" percent="0" rank="0" text="" dxfId="2">
      <formula>ISNUMBER($J8)</formula>
    </cfRule>
  </conditionalFormatting>
  <conditionalFormatting sqref="O8:P15">
    <cfRule type="expression" priority="5" aboveAverage="0" equalAverage="0" bottom="0" percent="0" rank="0" text="" dxfId="3">
      <formula>AND(ISNUMBER(O8),O8&lt;0)</formula>
    </cfRule>
    <cfRule type="expression" priority="6" aboveAverage="0" equalAverage="0" bottom="0" percent="0" rank="0" text="" dxfId="4">
      <formula>AND(ISNUMBER(O8),O8&gt;0)</formula>
    </cfRule>
  </conditionalFormatting>
  <conditionalFormatting sqref="R8:R14">
    <cfRule type="expression" priority="7" aboveAverage="0" equalAverage="0" bottom="0" percent="0" rank="0" text="" dxfId="7">
      <formula>AND(ISNUMBER(R8),ISNUMBER(S8),R8&lt;S8*0.9)</formula>
    </cfRule>
    <cfRule type="expression" priority="8" aboveAverage="0" equalAverage="0" bottom="0" percent="0" rank="0" text="" dxfId="6">
      <formula>AND(ISNUMBER(R8),ISNUMBER(S8),R8&gt;=S8)</formula>
    </cfRule>
  </conditionalFormatting>
  <conditionalFormatting sqref="T8:T14">
    <cfRule type="expression" priority="9" aboveAverage="0" equalAverage="0" bottom="0" percent="0" rank="0" text="" dxfId="13">
      <formula>$T8="Масштабувати"</formula>
    </cfRule>
    <cfRule type="expression" priority="10" aboveAverage="0" equalAverage="0" bottom="0" percent="0" rank="0" text="" dxfId="1">
      <formula>$T8="Плюс, нижче цілі"</formula>
    </cfRule>
    <cfRule type="expression" priority="11" aboveAverage="0" equalAverage="0" bottom="0" percent="0" rank="0" text="" dxfId="2">
      <formula>$T8="Мінус"</formula>
    </cfRule>
    <cfRule type="expression" priority="12" aboveAverage="0" equalAverage="0" bottom="0" percent="0" rank="0" text="" dxfId="14">
      <formula>$T8="Немає даних"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true"/>
  </sheetPr>
  <dimension ref="A1:A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11" min="5" style="0" width="1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202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203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76" t="s">
        <v>204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30" hidden="false" customHeight="true" outlineLevel="0" collapsed="false">
      <c r="A5" s="1"/>
      <c r="B5" s="77" t="s">
        <v>205</v>
      </c>
      <c r="C5" s="77"/>
      <c r="D5" s="77"/>
      <c r="E5" s="1"/>
      <c r="F5" s="78" t="s">
        <v>206</v>
      </c>
      <c r="G5" s="78"/>
      <c r="H5" s="45" t="n">
        <v>0.3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true" outlineLevel="0" collapsed="false">
      <c r="A6" s="1"/>
      <c r="B6" s="79" t="s">
        <v>207</v>
      </c>
      <c r="C6" s="79"/>
      <c r="D6" s="79"/>
      <c r="E6" s="1"/>
      <c r="F6" s="78" t="s">
        <v>208</v>
      </c>
      <c r="G6" s="78"/>
      <c r="H6" s="45" t="n">
        <v>0.1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/>
      <c r="B7" s="79"/>
      <c r="C7" s="79"/>
      <c r="D7" s="79"/>
      <c r="E7" s="1"/>
      <c r="F7" s="78" t="s">
        <v>209</v>
      </c>
      <c r="G7" s="78"/>
      <c r="H7" s="45" t="n">
        <v>0.03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79"/>
      <c r="C8" s="79"/>
      <c r="D8" s="79"/>
      <c r="E8" s="1"/>
      <c r="F8" s="19" t="s">
        <v>210</v>
      </c>
      <c r="G8" s="19"/>
      <c r="H8" s="1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8" hidden="false" customHeight="true" outlineLevel="0" collapsed="false">
      <c r="A10" s="1"/>
      <c r="B10" s="23" t="s">
        <v>211</v>
      </c>
      <c r="C10" s="23"/>
      <c r="D10" s="23"/>
      <c r="E10" s="24" t="s">
        <v>212</v>
      </c>
      <c r="F10" s="24"/>
      <c r="G10" s="24"/>
      <c r="H10" s="24"/>
      <c r="I10" s="24"/>
      <c r="J10" s="24"/>
      <c r="K10" s="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36" hidden="false" customHeight="true" outlineLevel="0" collapsed="false">
      <c r="A11" s="1"/>
      <c r="B11" s="25" t="s">
        <v>213</v>
      </c>
      <c r="C11" s="25" t="s">
        <v>214</v>
      </c>
      <c r="D11" s="25" t="s">
        <v>215</v>
      </c>
      <c r="E11" s="80" t="str">
        <f aca="false">IF('Гео-калькулятор'!$B$7="","—",'Гео-калькулятор'!$B$7)</f>
        <v>PL</v>
      </c>
      <c r="F11" s="80" t="str">
        <f aca="false">IF('Гео-калькулятор'!$B$8="","—",'Гео-калькулятор'!$B$8)</f>
        <v>RO</v>
      </c>
      <c r="G11" s="80" t="str">
        <f aca="false">IF('Гео-калькулятор'!$B$9="","—",'Гео-калькулятор'!$B$9)</f>
        <v>IT</v>
      </c>
      <c r="H11" s="80" t="str">
        <f aca="false">IF('Гео-калькулятор'!$B$10="","—",'Гео-калькулятор'!$B$10)</f>
        <v>ES</v>
      </c>
      <c r="I11" s="80" t="str">
        <f aca="false">IF('Гео-калькулятор'!$B$11="","—",'Гео-калькулятор'!$B$11)</f>
        <v>CZ</v>
      </c>
      <c r="J11" s="80" t="str">
        <f aca="false">IF('Гео-калькулятор'!$B$12="","—",'Гео-калькулятор'!$B$12)</f>
        <v>BG</v>
      </c>
      <c r="K11" s="80" t="str">
        <f aca="false">IF('Гео-калькулятор'!$B$13="","—",'Гео-калькулятор'!$B$13)</f>
        <v>GR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21.75" hidden="false" customHeight="true" outlineLevel="0" collapsed="false">
      <c r="A12" s="1"/>
      <c r="B12" s="81" t="n">
        <v>0.5</v>
      </c>
      <c r="C12" s="82" t="n">
        <f aca="false">EXP(-B12)</f>
        <v>0.606530659712633</v>
      </c>
      <c r="D12" s="51" t="str">
        <f aca="false">IF(C12&gt;='Спенд без лідів'!$H$5,"Рано судити",IF(C12&gt;='Спенд без лідів'!$H$6,"Під питанням",IF(C12&gt;='Спенд без лідів'!$H$7,"Вимикати","Давно треба було")))</f>
        <v>Рано судити</v>
      </c>
      <c r="E12" s="30" t="n">
        <f aca="false">IFERROR($B12*'Гео-калькулятор'!$K$7,"")</f>
        <v>4.30769230769231</v>
      </c>
      <c r="F12" s="30" t="n">
        <f aca="false">IFERROR($B12*'Гео-калькулятор'!$K$8,"")</f>
        <v>3.80769230769231</v>
      </c>
      <c r="G12" s="30" t="n">
        <f aca="false">IFERROR($B12*'Гео-калькулятор'!$K$9,"")</f>
        <v>4.71153846153846</v>
      </c>
      <c r="H12" s="30" t="n">
        <f aca="false">IFERROR($B12*'Гео-калькулятор'!$K$10,"")</f>
        <v>4.82307692307692</v>
      </c>
      <c r="I12" s="30" t="n">
        <f aca="false">IFERROR($B12*'Гео-калькулятор'!$K$11,"")</f>
        <v>4</v>
      </c>
      <c r="J12" s="30" t="n">
        <f aca="false">IFERROR($B12*'Гео-калькулятор'!$K$12,"")</f>
        <v>3.23076923076923</v>
      </c>
      <c r="K12" s="30" t="n">
        <f aca="false">IFERROR($B12*'Гео-калькулятор'!$K$13,"")</f>
        <v>4.46538461538462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21.75" hidden="false" customHeight="true" outlineLevel="0" collapsed="false">
      <c r="A13" s="1"/>
      <c r="B13" s="81" t="n">
        <v>1</v>
      </c>
      <c r="C13" s="82" t="n">
        <f aca="false">EXP(-B13)</f>
        <v>0.367879441171442</v>
      </c>
      <c r="D13" s="51" t="str">
        <f aca="false">IF(C13&gt;='Спенд без лідів'!$H$5,"Рано судити",IF(C13&gt;='Спенд без лідів'!$H$6,"Під питанням",IF(C13&gt;='Спенд без лідів'!$H$7,"Вимикати","Давно треба було")))</f>
        <v>Рано судити</v>
      </c>
      <c r="E13" s="30" t="n">
        <f aca="false">IFERROR($B13*'Гео-калькулятор'!$K$7,"")</f>
        <v>8.61538461538462</v>
      </c>
      <c r="F13" s="30" t="n">
        <f aca="false">IFERROR($B13*'Гео-калькулятор'!$K$8,"")</f>
        <v>7.61538461538462</v>
      </c>
      <c r="G13" s="30" t="n">
        <f aca="false">IFERROR($B13*'Гео-калькулятор'!$K$9,"")</f>
        <v>9.42307692307692</v>
      </c>
      <c r="H13" s="30" t="n">
        <f aca="false">IFERROR($B13*'Гео-калькулятор'!$K$10,"")</f>
        <v>9.64615384615385</v>
      </c>
      <c r="I13" s="30" t="n">
        <f aca="false">IFERROR($B13*'Гео-калькулятор'!$K$11,"")</f>
        <v>8</v>
      </c>
      <c r="J13" s="30" t="n">
        <f aca="false">IFERROR($B13*'Гео-калькулятор'!$K$12,"")</f>
        <v>6.46153846153846</v>
      </c>
      <c r="K13" s="30" t="n">
        <f aca="false">IFERROR($B13*'Гео-калькулятор'!$K$13,"")</f>
        <v>8.93076923076923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21.75" hidden="false" customHeight="true" outlineLevel="0" collapsed="false">
      <c r="A14" s="1"/>
      <c r="B14" s="81" t="n">
        <v>1.5</v>
      </c>
      <c r="C14" s="82" t="n">
        <f aca="false">EXP(-B14)</f>
        <v>0.22313016014843</v>
      </c>
      <c r="D14" s="51" t="str">
        <f aca="false">IF(C14&gt;='Спенд без лідів'!$H$5,"Рано судити",IF(C14&gt;='Спенд без лідів'!$H$6,"Під питанням",IF(C14&gt;='Спенд без лідів'!$H$7,"Вимикати","Давно треба було")))</f>
        <v>Під питанням</v>
      </c>
      <c r="E14" s="30" t="n">
        <f aca="false">IFERROR($B14*'Гео-калькулятор'!$K$7,"")</f>
        <v>12.9230769230769</v>
      </c>
      <c r="F14" s="30" t="n">
        <f aca="false">IFERROR($B14*'Гео-калькулятор'!$K$8,"")</f>
        <v>11.4230769230769</v>
      </c>
      <c r="G14" s="30" t="n">
        <f aca="false">IFERROR($B14*'Гео-калькулятор'!$K$9,"")</f>
        <v>14.1346153846154</v>
      </c>
      <c r="H14" s="30" t="n">
        <f aca="false">IFERROR($B14*'Гео-калькулятор'!$K$10,"")</f>
        <v>14.4692307692308</v>
      </c>
      <c r="I14" s="30" t="n">
        <f aca="false">IFERROR($B14*'Гео-калькулятор'!$K$11,"")</f>
        <v>12</v>
      </c>
      <c r="J14" s="30" t="n">
        <f aca="false">IFERROR($B14*'Гео-калькулятор'!$K$12,"")</f>
        <v>9.69230769230769</v>
      </c>
      <c r="K14" s="30" t="n">
        <f aca="false">IFERROR($B14*'Гео-калькулятор'!$K$13,"")</f>
        <v>13.3961538461538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21.75" hidden="false" customHeight="true" outlineLevel="0" collapsed="false">
      <c r="A15" s="1"/>
      <c r="B15" s="81" t="n">
        <v>2</v>
      </c>
      <c r="C15" s="82" t="n">
        <f aca="false">EXP(-B15)</f>
        <v>0.135335283236613</v>
      </c>
      <c r="D15" s="51" t="str">
        <f aca="false">IF(C15&gt;='Спенд без лідів'!$H$5,"Рано судити",IF(C15&gt;='Спенд без лідів'!$H$6,"Під питанням",IF(C15&gt;='Спенд без лідів'!$H$7,"Вимикати","Давно треба було")))</f>
        <v>Під питанням</v>
      </c>
      <c r="E15" s="30" t="n">
        <f aca="false">IFERROR($B15*'Гео-калькулятор'!$K$7,"")</f>
        <v>17.2307692307692</v>
      </c>
      <c r="F15" s="30" t="n">
        <f aca="false">IFERROR($B15*'Гео-калькулятор'!$K$8,"")</f>
        <v>15.2307692307692</v>
      </c>
      <c r="G15" s="30" t="n">
        <f aca="false">IFERROR($B15*'Гео-калькулятор'!$K$9,"")</f>
        <v>18.8461538461538</v>
      </c>
      <c r="H15" s="30" t="n">
        <f aca="false">IFERROR($B15*'Гео-калькулятор'!$K$10,"")</f>
        <v>19.2923076923077</v>
      </c>
      <c r="I15" s="30" t="n">
        <f aca="false">IFERROR($B15*'Гео-калькулятор'!$K$11,"")</f>
        <v>16</v>
      </c>
      <c r="J15" s="30" t="n">
        <f aca="false">IFERROR($B15*'Гео-калькулятор'!$K$12,"")</f>
        <v>12.9230769230769</v>
      </c>
      <c r="K15" s="30" t="n">
        <f aca="false">IFERROR($B15*'Гео-калькулятор'!$K$13,"")</f>
        <v>17.8615384615385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21.75" hidden="false" customHeight="true" outlineLevel="0" collapsed="false">
      <c r="A16" s="1"/>
      <c r="B16" s="81" t="n">
        <v>2.5</v>
      </c>
      <c r="C16" s="82" t="n">
        <f aca="false">EXP(-B16)</f>
        <v>0.0820849986238988</v>
      </c>
      <c r="D16" s="51" t="str">
        <f aca="false">IF(C16&gt;='Спенд без лідів'!$H$5,"Рано судити",IF(C16&gt;='Спенд без лідів'!$H$6,"Під питанням",IF(C16&gt;='Спенд без лідів'!$H$7,"Вимикати","Давно треба було")))</f>
        <v>Вимикати</v>
      </c>
      <c r="E16" s="30" t="n">
        <f aca="false">IFERROR($B16*'Гео-калькулятор'!$K$7,"")</f>
        <v>21.5384615384615</v>
      </c>
      <c r="F16" s="30" t="n">
        <f aca="false">IFERROR($B16*'Гео-калькулятор'!$K$8,"")</f>
        <v>19.0384615384615</v>
      </c>
      <c r="G16" s="30" t="n">
        <f aca="false">IFERROR($B16*'Гео-калькулятор'!$K$9,"")</f>
        <v>23.5576923076923</v>
      </c>
      <c r="H16" s="30" t="n">
        <f aca="false">IFERROR($B16*'Гео-калькулятор'!$K$10,"")</f>
        <v>24.1153846153846</v>
      </c>
      <c r="I16" s="30" t="n">
        <f aca="false">IFERROR($B16*'Гео-калькулятор'!$K$11,"")</f>
        <v>20</v>
      </c>
      <c r="J16" s="30" t="n">
        <f aca="false">IFERROR($B16*'Гео-калькулятор'!$K$12,"")</f>
        <v>16.1538461538462</v>
      </c>
      <c r="K16" s="30" t="n">
        <f aca="false">IFERROR($B16*'Гео-калькулятор'!$K$13,"")</f>
        <v>22.3269230769231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21.75" hidden="false" customHeight="true" outlineLevel="0" collapsed="false">
      <c r="A17" s="1"/>
      <c r="B17" s="81" t="n">
        <v>3</v>
      </c>
      <c r="C17" s="82" t="n">
        <f aca="false">EXP(-B17)</f>
        <v>0.0497870683678639</v>
      </c>
      <c r="D17" s="51" t="str">
        <f aca="false">IF(C17&gt;='Спенд без лідів'!$H$5,"Рано судити",IF(C17&gt;='Спенд без лідів'!$H$6,"Під питанням",IF(C17&gt;='Спенд без лідів'!$H$7,"Вимикати","Давно треба було")))</f>
        <v>Вимикати</v>
      </c>
      <c r="E17" s="30" t="n">
        <f aca="false">IFERROR($B17*'Гео-калькулятор'!$K$7,"")</f>
        <v>25.8461538461539</v>
      </c>
      <c r="F17" s="30" t="n">
        <f aca="false">IFERROR($B17*'Гео-калькулятор'!$K$8,"")</f>
        <v>22.8461538461538</v>
      </c>
      <c r="G17" s="30" t="n">
        <f aca="false">IFERROR($B17*'Гео-калькулятор'!$K$9,"")</f>
        <v>28.2692307692308</v>
      </c>
      <c r="H17" s="30" t="n">
        <f aca="false">IFERROR($B17*'Гео-калькулятор'!$K$10,"")</f>
        <v>28.9384615384615</v>
      </c>
      <c r="I17" s="30" t="n">
        <f aca="false">IFERROR($B17*'Гео-калькулятор'!$K$11,"")</f>
        <v>24</v>
      </c>
      <c r="J17" s="30" t="n">
        <f aca="false">IFERROR($B17*'Гео-калькулятор'!$K$12,"")</f>
        <v>19.3846153846154</v>
      </c>
      <c r="K17" s="30" t="n">
        <f aca="false">IFERROR($B17*'Гео-калькулятор'!$K$13,"")</f>
        <v>26.7923076923077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21.75" hidden="false" customHeight="true" outlineLevel="0" collapsed="false">
      <c r="A18" s="1"/>
      <c r="B18" s="81" t="n">
        <v>4</v>
      </c>
      <c r="C18" s="82" t="n">
        <f aca="false">EXP(-B18)</f>
        <v>0.0183156388887342</v>
      </c>
      <c r="D18" s="51" t="str">
        <f aca="false">IF(C18&gt;='Спенд без лідів'!$H$5,"Рано судити",IF(C18&gt;='Спенд без лідів'!$H$6,"Під питанням",IF(C18&gt;='Спенд без лідів'!$H$7,"Вимикати","Давно треба було")))</f>
        <v>Давно треба було</v>
      </c>
      <c r="E18" s="30" t="n">
        <f aca="false">IFERROR($B18*'Гео-калькулятор'!$K$7,"")</f>
        <v>34.4615384615385</v>
      </c>
      <c r="F18" s="30" t="n">
        <f aca="false">IFERROR($B18*'Гео-калькулятор'!$K$8,"")</f>
        <v>30.4615384615385</v>
      </c>
      <c r="G18" s="30" t="n">
        <f aca="false">IFERROR($B18*'Гео-калькулятор'!$K$9,"")</f>
        <v>37.6923076923077</v>
      </c>
      <c r="H18" s="30" t="n">
        <f aca="false">IFERROR($B18*'Гео-калькулятор'!$K$10,"")</f>
        <v>38.5846153846154</v>
      </c>
      <c r="I18" s="30" t="n">
        <f aca="false">IFERROR($B18*'Гео-калькулятор'!$K$11,"")</f>
        <v>32</v>
      </c>
      <c r="J18" s="30" t="n">
        <f aca="false">IFERROR($B18*'Гео-калькулятор'!$K$12,"")</f>
        <v>25.8461538461538</v>
      </c>
      <c r="K18" s="30" t="n">
        <f aca="false">IFERROR($B18*'Гео-калькулятор'!$K$13,"")</f>
        <v>35.7230769230769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75" t="s">
        <v>216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23" t="s">
        <v>217</v>
      </c>
      <c r="C21" s="23"/>
      <c r="D21" s="23"/>
      <c r="E21" s="23"/>
      <c r="F21" s="23"/>
      <c r="G21" s="23"/>
      <c r="H21" s="23"/>
      <c r="I21" s="23"/>
      <c r="J21" s="23"/>
      <c r="K21" s="2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83" t="s">
        <v>218</v>
      </c>
      <c r="C22" s="83"/>
      <c r="D22" s="83"/>
      <c r="E22" s="83"/>
      <c r="F22" s="83"/>
      <c r="G22" s="83"/>
      <c r="H22" s="83"/>
      <c r="I22" s="83"/>
      <c r="J22" s="83"/>
      <c r="K22" s="8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36" hidden="false" customHeight="true" outlineLevel="0" collapsed="false">
      <c r="A24" s="1"/>
      <c r="B24" s="25" t="s">
        <v>219</v>
      </c>
      <c r="C24" s="25" t="s">
        <v>72</v>
      </c>
      <c r="D24" s="25" t="s">
        <v>123</v>
      </c>
      <c r="E24" s="25" t="s">
        <v>220</v>
      </c>
      <c r="F24" s="25" t="s">
        <v>81</v>
      </c>
      <c r="G24" s="25" t="s">
        <v>221</v>
      </c>
      <c r="H24" s="25" t="s">
        <v>222</v>
      </c>
      <c r="I24" s="25" t="s">
        <v>223</v>
      </c>
      <c r="J24" s="25" t="s">
        <v>224</v>
      </c>
      <c r="K24" s="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9.5" hidden="false" customHeight="true" outlineLevel="0" collapsed="false">
      <c r="A25" s="1"/>
      <c r="B25" s="26" t="s">
        <v>225</v>
      </c>
      <c r="C25" s="8" t="s">
        <v>88</v>
      </c>
      <c r="D25" s="27" t="n">
        <v>9</v>
      </c>
      <c r="E25" s="36" t="n">
        <v>0</v>
      </c>
      <c r="F25" s="30" t="n">
        <f aca="false">IF($C25="","",IFERROR(INDEX('Гео-калькулятор'!$K$7:$K$13,MATCH($C25,'Гео-калькулятор'!$B$7:$B$13,0)),""))</f>
        <v>8.61538461538462</v>
      </c>
      <c r="G25" s="84" t="n">
        <f aca="false">IF(OR($D25="",F25=""),"",$D25/F25)</f>
        <v>1.04464285714286</v>
      </c>
      <c r="H25" s="30" t="str">
        <f aca="false">IF($D25="","",IFERROR($D25/$E25,"—"))</f>
        <v>—</v>
      </c>
      <c r="I25" s="38" t="n">
        <f aca="false">IF(G25="","",POISSON(N($E25),G25,TRUE()))</f>
        <v>0.351817446031269</v>
      </c>
      <c r="J25" s="51" t="str">
        <f aca="false">IF(I25="","",IF(AND(N($E25)&gt;0,$D25/MAX(N($E25),1)&lt;=F25),"В цілі",IF(I25&gt;='Спенд без лідів'!$H$5,"Рано судити",IF(I25&gt;='Спенд без лідів'!$H$6,"Під питанням",IF(I25&gt;='Спенд без лідів'!$H$7,"Вимикати","Давно треба було")))))</f>
        <v>Рано судити</v>
      </c>
      <c r="K25" s="5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9.5" hidden="false" customHeight="true" outlineLevel="0" collapsed="false">
      <c r="A26" s="1"/>
      <c r="B26" s="26"/>
      <c r="C26" s="8"/>
      <c r="D26" s="27"/>
      <c r="E26" s="36"/>
      <c r="F26" s="30" t="str">
        <f aca="false">IF($C26="","",IFERROR(INDEX('Гео-калькулятор'!$K$7:$K$13,MATCH($C26,'Гео-калькулятор'!$B$7:$B$13,0)),""))</f>
        <v/>
      </c>
      <c r="G26" s="84" t="str">
        <f aca="false">IF(OR($D26="",F26=""),"",$D26/F26)</f>
        <v/>
      </c>
      <c r="H26" s="30" t="str">
        <f aca="false">IF($D26="","",IFERROR($D26/$E26,"—"))</f>
        <v/>
      </c>
      <c r="I26" s="38" t="str">
        <f aca="false">IF(G26="","",POISSON(N($E26),G26,TRUE()))</f>
        <v/>
      </c>
      <c r="J26" s="51" t="str">
        <f aca="false">IF(I26="","",IF(AND(N($E26)&gt;0,$D26/MAX(N($E26),1)&lt;=F26),"В цілі",IF(I26&gt;='Спенд без лідів'!$H$5,"Рано судити",IF(I26&gt;='Спенд без лідів'!$H$6,"Під питанням",IF(I26&gt;='Спенд без лідів'!$H$7,"Вимикати","Давно треба було")))))</f>
        <v/>
      </c>
      <c r="K26" s="5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9.5" hidden="false" customHeight="true" outlineLevel="0" collapsed="false">
      <c r="A27" s="1"/>
      <c r="B27" s="26"/>
      <c r="C27" s="8"/>
      <c r="D27" s="27"/>
      <c r="E27" s="36"/>
      <c r="F27" s="30" t="str">
        <f aca="false">IF($C27="","",IFERROR(INDEX('Гео-калькулятор'!$K$7:$K$13,MATCH($C27,'Гео-калькулятор'!$B$7:$B$13,0)),""))</f>
        <v/>
      </c>
      <c r="G27" s="84" t="str">
        <f aca="false">IF(OR($D27="",F27=""),"",$D27/F27)</f>
        <v/>
      </c>
      <c r="H27" s="30" t="str">
        <f aca="false">IF($D27="","",IFERROR($D27/$E27,"—"))</f>
        <v/>
      </c>
      <c r="I27" s="38" t="str">
        <f aca="false">IF(G27="","",POISSON(N($E27),G27,TRUE()))</f>
        <v/>
      </c>
      <c r="J27" s="51" t="str">
        <f aca="false">IF(I27="","",IF(AND(N($E27)&gt;0,$D27/MAX(N($E27),1)&lt;=F27),"В цілі",IF(I27&gt;='Спенд без лідів'!$H$5,"Рано судити",IF(I27&gt;='Спенд без лідів'!$H$6,"Під питанням",IF(I27&gt;='Спенд без лідів'!$H$7,"Вимикати","Давно треба було")))))</f>
        <v/>
      </c>
      <c r="K27" s="5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9.5" hidden="false" customHeight="true" outlineLevel="0" collapsed="false">
      <c r="A28" s="1"/>
      <c r="B28" s="26"/>
      <c r="C28" s="8"/>
      <c r="D28" s="27"/>
      <c r="E28" s="36"/>
      <c r="F28" s="30" t="str">
        <f aca="false">IF($C28="","",IFERROR(INDEX('Гео-калькулятор'!$K$7:$K$13,MATCH($C28,'Гео-калькулятор'!$B$7:$B$13,0)),""))</f>
        <v/>
      </c>
      <c r="G28" s="84" t="str">
        <f aca="false">IF(OR($D28="",F28=""),"",$D28/F28)</f>
        <v/>
      </c>
      <c r="H28" s="30" t="str">
        <f aca="false">IF($D28="","",IFERROR($D28/$E28,"—"))</f>
        <v/>
      </c>
      <c r="I28" s="38" t="str">
        <f aca="false">IF(G28="","",POISSON(N($E28),G28,TRUE()))</f>
        <v/>
      </c>
      <c r="J28" s="51" t="str">
        <f aca="false">IF(I28="","",IF(AND(N($E28)&gt;0,$D28/MAX(N($E28),1)&lt;=F28),"В цілі",IF(I28&gt;='Спенд без лідів'!$H$5,"Рано судити",IF(I28&gt;='Спенд без лідів'!$H$6,"Під питанням",IF(I28&gt;='Спенд без лідів'!$H$7,"Вимикати","Давно треба було")))))</f>
        <v/>
      </c>
      <c r="K28" s="5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9.5" hidden="false" customHeight="true" outlineLevel="0" collapsed="false">
      <c r="A29" s="1"/>
      <c r="B29" s="26"/>
      <c r="C29" s="8"/>
      <c r="D29" s="27"/>
      <c r="E29" s="36"/>
      <c r="F29" s="30" t="str">
        <f aca="false">IF($C29="","",IFERROR(INDEX('Гео-калькулятор'!$K$7:$K$13,MATCH($C29,'Гео-калькулятор'!$B$7:$B$13,0)),""))</f>
        <v/>
      </c>
      <c r="G29" s="84" t="str">
        <f aca="false">IF(OR($D29="",F29=""),"",$D29/F29)</f>
        <v/>
      </c>
      <c r="H29" s="30" t="str">
        <f aca="false">IF($D29="","",IFERROR($D29/$E29,"—"))</f>
        <v/>
      </c>
      <c r="I29" s="38" t="str">
        <f aca="false">IF(G29="","",POISSON(N($E29),G29,TRUE()))</f>
        <v/>
      </c>
      <c r="J29" s="51" t="str">
        <f aca="false">IF(I29="","",IF(AND(N($E29)&gt;0,$D29/MAX(N($E29),1)&lt;=F29),"В цілі",IF(I29&gt;='Спенд без лідів'!$H$5,"Рано судити",IF(I29&gt;='Спенд без лідів'!$H$6,"Під питанням",IF(I29&gt;='Спенд без лідів'!$H$7,"Вимикати","Давно треба було")))))</f>
        <v/>
      </c>
      <c r="K29" s="5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9.5" hidden="false" customHeight="true" outlineLevel="0" collapsed="false">
      <c r="A30" s="1"/>
      <c r="B30" s="26"/>
      <c r="C30" s="8"/>
      <c r="D30" s="27"/>
      <c r="E30" s="36"/>
      <c r="F30" s="30" t="str">
        <f aca="false">IF($C30="","",IFERROR(INDEX('Гео-калькулятор'!$K$7:$K$13,MATCH($C30,'Гео-калькулятор'!$B$7:$B$13,0)),""))</f>
        <v/>
      </c>
      <c r="G30" s="84" t="str">
        <f aca="false">IF(OR($D30="",F30=""),"",$D30/F30)</f>
        <v/>
      </c>
      <c r="H30" s="30" t="str">
        <f aca="false">IF($D30="","",IFERROR($D30/$E30,"—"))</f>
        <v/>
      </c>
      <c r="I30" s="38" t="str">
        <f aca="false">IF(G30="","",POISSON(N($E30),G30,TRUE()))</f>
        <v/>
      </c>
      <c r="J30" s="51" t="str">
        <f aca="false">IF(I30="","",IF(AND(N($E30)&gt;0,$D30/MAX(N($E30),1)&lt;=F30),"В цілі",IF(I30&gt;='Спенд без лідів'!$H$5,"Рано судити",IF(I30&gt;='Спенд без лідів'!$H$6,"Під питанням",IF(I30&gt;='Спенд без лідів'!$H$7,"Вимикати","Давно треба було")))))</f>
        <v/>
      </c>
      <c r="K30" s="5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9.5" hidden="false" customHeight="true" outlineLevel="0" collapsed="false">
      <c r="A31" s="1"/>
      <c r="B31" s="26"/>
      <c r="C31" s="8"/>
      <c r="D31" s="27"/>
      <c r="E31" s="36"/>
      <c r="F31" s="30" t="str">
        <f aca="false">IF($C31="","",IFERROR(INDEX('Гео-калькулятор'!$K$7:$K$13,MATCH($C31,'Гео-калькулятор'!$B$7:$B$13,0)),""))</f>
        <v/>
      </c>
      <c r="G31" s="84" t="str">
        <f aca="false">IF(OR($D31="",F31=""),"",$D31/F31)</f>
        <v/>
      </c>
      <c r="H31" s="30" t="str">
        <f aca="false">IF($D31="","",IFERROR($D31/$E31,"—"))</f>
        <v/>
      </c>
      <c r="I31" s="38" t="str">
        <f aca="false">IF(G31="","",POISSON(N($E31),G31,TRUE()))</f>
        <v/>
      </c>
      <c r="J31" s="51" t="str">
        <f aca="false">IF(I31="","",IF(AND(N($E31)&gt;0,$D31/MAX(N($E31),1)&lt;=F31),"В цілі",IF(I31&gt;='Спенд без лідів'!$H$5,"Рано судити",IF(I31&gt;='Спенд без лідів'!$H$6,"Під питанням",IF(I31&gt;='Спенд без лідів'!$H$7,"Вимикати","Давно треба було")))))</f>
        <v/>
      </c>
      <c r="K31" s="5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9.5" hidden="false" customHeight="true" outlineLevel="0" collapsed="false">
      <c r="A32" s="1"/>
      <c r="B32" s="26"/>
      <c r="C32" s="8"/>
      <c r="D32" s="27"/>
      <c r="E32" s="36"/>
      <c r="F32" s="30" t="str">
        <f aca="false">IF($C32="","",IFERROR(INDEX('Гео-калькулятор'!$K$7:$K$13,MATCH($C32,'Гео-калькулятор'!$B$7:$B$13,0)),""))</f>
        <v/>
      </c>
      <c r="G32" s="84" t="str">
        <f aca="false">IF(OR($D32="",F32=""),"",$D32/F32)</f>
        <v/>
      </c>
      <c r="H32" s="30" t="str">
        <f aca="false">IF($D32="","",IFERROR($D32/$E32,"—"))</f>
        <v/>
      </c>
      <c r="I32" s="38" t="str">
        <f aca="false">IF(G32="","",POISSON(N($E32),G32,TRUE()))</f>
        <v/>
      </c>
      <c r="J32" s="51" t="str">
        <f aca="false">IF(I32="","",IF(AND(N($E32)&gt;0,$D32/MAX(N($E32),1)&lt;=F32),"В цілі",IF(I32&gt;='Спенд без лідів'!$H$5,"Рано судити",IF(I32&gt;='Спенд без лідів'!$H$6,"Під питанням",IF(I32&gt;='Спенд без лідів'!$H$7,"Вимикати","Давно треба було")))))</f>
        <v/>
      </c>
      <c r="K32" s="5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9.5" hidden="false" customHeight="true" outlineLevel="0" collapsed="false">
      <c r="A33" s="1"/>
      <c r="B33" s="26"/>
      <c r="C33" s="8"/>
      <c r="D33" s="27"/>
      <c r="E33" s="36"/>
      <c r="F33" s="30" t="str">
        <f aca="false">IF($C33="","",IFERROR(INDEX('Гео-калькулятор'!$K$7:$K$13,MATCH($C33,'Гео-калькулятор'!$B$7:$B$13,0)),""))</f>
        <v/>
      </c>
      <c r="G33" s="84" t="str">
        <f aca="false">IF(OR($D33="",F33=""),"",$D33/F33)</f>
        <v/>
      </c>
      <c r="H33" s="30" t="str">
        <f aca="false">IF($D33="","",IFERROR($D33/$E33,"—"))</f>
        <v/>
      </c>
      <c r="I33" s="38" t="str">
        <f aca="false">IF(G33="","",POISSON(N($E33),G33,TRUE()))</f>
        <v/>
      </c>
      <c r="J33" s="51" t="str">
        <f aca="false">IF(I33="","",IF(AND(N($E33)&gt;0,$D33/MAX(N($E33),1)&lt;=F33),"В цілі",IF(I33&gt;='Спенд без лідів'!$H$5,"Рано судити",IF(I33&gt;='Спенд без лідів'!$H$6,"Під питанням",IF(I33&gt;='Спенд без лідів'!$H$7,"Вимикати","Давно треба було")))))</f>
        <v/>
      </c>
      <c r="K33" s="5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9.5" hidden="false" customHeight="true" outlineLevel="0" collapsed="false">
      <c r="A34" s="1"/>
      <c r="B34" s="26"/>
      <c r="C34" s="8"/>
      <c r="D34" s="27"/>
      <c r="E34" s="36"/>
      <c r="F34" s="30" t="str">
        <f aca="false">IF($C34="","",IFERROR(INDEX('Гео-калькулятор'!$K$7:$K$13,MATCH($C34,'Гео-калькулятор'!$B$7:$B$13,0)),""))</f>
        <v/>
      </c>
      <c r="G34" s="84" t="str">
        <f aca="false">IF(OR($D34="",F34=""),"",$D34/F34)</f>
        <v/>
      </c>
      <c r="H34" s="30" t="str">
        <f aca="false">IF($D34="","",IFERROR($D34/$E34,"—"))</f>
        <v/>
      </c>
      <c r="I34" s="38" t="str">
        <f aca="false">IF(G34="","",POISSON(N($E34),G34,TRUE()))</f>
        <v/>
      </c>
      <c r="J34" s="51" t="str">
        <f aca="false">IF(I34="","",IF(AND(N($E34)&gt;0,$D34/MAX(N($E34),1)&lt;=F34),"В цілі",IF(I34&gt;='Спенд без лідів'!$H$5,"Рано судити",IF(I34&gt;='Спенд без лідів'!$H$6,"Під питанням",IF(I34&gt;='Спенд без лідів'!$H$7,"Вимикати","Давно треба було")))))</f>
        <v/>
      </c>
      <c r="K34" s="5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9.5" hidden="false" customHeight="true" outlineLevel="0" collapsed="false">
      <c r="A35" s="1"/>
      <c r="B35" s="26"/>
      <c r="C35" s="8"/>
      <c r="D35" s="27"/>
      <c r="E35" s="36"/>
      <c r="F35" s="30" t="str">
        <f aca="false">IF($C35="","",IFERROR(INDEX('Гео-калькулятор'!$K$7:$K$13,MATCH($C35,'Гео-калькулятор'!$B$7:$B$13,0)),""))</f>
        <v/>
      </c>
      <c r="G35" s="84" t="str">
        <f aca="false">IF(OR($D35="",F35=""),"",$D35/F35)</f>
        <v/>
      </c>
      <c r="H35" s="30" t="str">
        <f aca="false">IF($D35="","",IFERROR($D35/$E35,"—"))</f>
        <v/>
      </c>
      <c r="I35" s="38" t="str">
        <f aca="false">IF(G35="","",POISSON(N($E35),G35,TRUE()))</f>
        <v/>
      </c>
      <c r="J35" s="51" t="str">
        <f aca="false">IF(I35="","",IF(AND(N($E35)&gt;0,$D35/MAX(N($E35),1)&lt;=F35),"В цілі",IF(I35&gt;='Спенд без лідів'!$H$5,"Рано судити",IF(I35&gt;='Спенд без лідів'!$H$6,"Під питанням",IF(I35&gt;='Спенд без лідів'!$H$7,"Вимикати","Давно треба було")))))</f>
        <v/>
      </c>
      <c r="K35" s="5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9.5" hidden="false" customHeight="true" outlineLevel="0" collapsed="false">
      <c r="A36" s="1"/>
      <c r="B36" s="26"/>
      <c r="C36" s="8"/>
      <c r="D36" s="27"/>
      <c r="E36" s="36"/>
      <c r="F36" s="30" t="str">
        <f aca="false">IF($C36="","",IFERROR(INDEX('Гео-калькулятор'!$K$7:$K$13,MATCH($C36,'Гео-калькулятор'!$B$7:$B$13,0)),""))</f>
        <v/>
      </c>
      <c r="G36" s="84" t="str">
        <f aca="false">IF(OR($D36="",F36=""),"",$D36/F36)</f>
        <v/>
      </c>
      <c r="H36" s="30" t="str">
        <f aca="false">IF($D36="","",IFERROR($D36/$E36,"—"))</f>
        <v/>
      </c>
      <c r="I36" s="38" t="str">
        <f aca="false">IF(G36="","",POISSON(N($E36),G36,TRUE()))</f>
        <v/>
      </c>
      <c r="J36" s="51" t="str">
        <f aca="false">IF(I36="","",IF(AND(N($E36)&gt;0,$D36/MAX(N($E36),1)&lt;=F36),"В цілі",IF(I36&gt;='Спенд без лідів'!$H$5,"Рано судити",IF(I36&gt;='Спенд без лідів'!$H$6,"Під питанням",IF(I36&gt;='Спенд без лідів'!$H$7,"Вимикати","Давно треба було")))))</f>
        <v/>
      </c>
      <c r="K36" s="5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9.5" hidden="false" customHeight="true" outlineLevel="0" collapsed="false">
      <c r="A37" s="1"/>
      <c r="B37" s="26"/>
      <c r="C37" s="8"/>
      <c r="D37" s="27"/>
      <c r="E37" s="36"/>
      <c r="F37" s="30" t="str">
        <f aca="false">IF($C37="","",IFERROR(INDEX('Гео-калькулятор'!$K$7:$K$13,MATCH($C37,'Гео-калькулятор'!$B$7:$B$13,0)),""))</f>
        <v/>
      </c>
      <c r="G37" s="84" t="str">
        <f aca="false">IF(OR($D37="",F37=""),"",$D37/F37)</f>
        <v/>
      </c>
      <c r="H37" s="30" t="str">
        <f aca="false">IF($D37="","",IFERROR($D37/$E37,"—"))</f>
        <v/>
      </c>
      <c r="I37" s="38" t="str">
        <f aca="false">IF(G37="","",POISSON(N($E37),G37,TRUE()))</f>
        <v/>
      </c>
      <c r="J37" s="51" t="str">
        <f aca="false">IF(I37="","",IF(AND(N($E37)&gt;0,$D37/MAX(N($E37),1)&lt;=F37),"В цілі",IF(I37&gt;='Спенд без лідів'!$H$5,"Рано судити",IF(I37&gt;='Спенд без лідів'!$H$6,"Під питанням",IF(I37&gt;='Спенд без лідів'!$H$7,"Вимикати","Давно треба було")))))</f>
        <v/>
      </c>
      <c r="K37" s="5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9.5" hidden="false" customHeight="true" outlineLevel="0" collapsed="false">
      <c r="A38" s="1"/>
      <c r="B38" s="26"/>
      <c r="C38" s="8"/>
      <c r="D38" s="27"/>
      <c r="E38" s="36"/>
      <c r="F38" s="30" t="str">
        <f aca="false">IF($C38="","",IFERROR(INDEX('Гео-калькулятор'!$K$7:$K$13,MATCH($C38,'Гео-калькулятор'!$B$7:$B$13,0)),""))</f>
        <v/>
      </c>
      <c r="G38" s="84" t="str">
        <f aca="false">IF(OR($D38="",F38=""),"",$D38/F38)</f>
        <v/>
      </c>
      <c r="H38" s="30" t="str">
        <f aca="false">IF($D38="","",IFERROR($D38/$E38,"—"))</f>
        <v/>
      </c>
      <c r="I38" s="38" t="str">
        <f aca="false">IF(G38="","",POISSON(N($E38),G38,TRUE()))</f>
        <v/>
      </c>
      <c r="J38" s="51" t="str">
        <f aca="false">IF(I38="","",IF(AND(N($E38)&gt;0,$D38/MAX(N($E38),1)&lt;=F38),"В цілі",IF(I38&gt;='Спенд без лідів'!$H$5,"Рано судити",IF(I38&gt;='Спенд без лідів'!$H$6,"Під питанням",IF(I38&gt;='Спенд без лідів'!$H$7,"Вимикати","Давно треба було")))))</f>
        <v/>
      </c>
      <c r="K38" s="5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9.5" hidden="false" customHeight="true" outlineLevel="0" collapsed="false">
      <c r="A39" s="1"/>
      <c r="B39" s="26"/>
      <c r="C39" s="8"/>
      <c r="D39" s="27"/>
      <c r="E39" s="36"/>
      <c r="F39" s="30" t="str">
        <f aca="false">IF($C39="","",IFERROR(INDEX('Гео-калькулятор'!$K$7:$K$13,MATCH($C39,'Гео-калькулятор'!$B$7:$B$13,0)),""))</f>
        <v/>
      </c>
      <c r="G39" s="84" t="str">
        <f aca="false">IF(OR($D39="",F39=""),"",$D39/F39)</f>
        <v/>
      </c>
      <c r="H39" s="30" t="str">
        <f aca="false">IF($D39="","",IFERROR($D39/$E39,"—"))</f>
        <v/>
      </c>
      <c r="I39" s="38" t="str">
        <f aca="false">IF(G39="","",POISSON(N($E39),G39,TRUE()))</f>
        <v/>
      </c>
      <c r="J39" s="51" t="str">
        <f aca="false">IF(I39="","",IF(AND(N($E39)&gt;0,$D39/MAX(N($E39),1)&lt;=F39),"В цілі",IF(I39&gt;='Спенд без лідів'!$H$5,"Рано судити",IF(I39&gt;='Спенд без лідів'!$H$6,"Під питанням",IF(I39&gt;='Спенд без лідів'!$H$7,"Вимикати","Давно треба було")))))</f>
        <v/>
      </c>
      <c r="K39" s="5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9.5" hidden="false" customHeight="true" outlineLevel="0" collapsed="false">
      <c r="A40" s="1"/>
      <c r="B40" s="26"/>
      <c r="C40" s="8"/>
      <c r="D40" s="27"/>
      <c r="E40" s="36"/>
      <c r="F40" s="30" t="str">
        <f aca="false">IF($C40="","",IFERROR(INDEX('Гео-калькулятор'!$K$7:$K$13,MATCH($C40,'Гео-калькулятор'!$B$7:$B$13,0)),""))</f>
        <v/>
      </c>
      <c r="G40" s="84" t="str">
        <f aca="false">IF(OR($D40="",F40=""),"",$D40/F40)</f>
        <v/>
      </c>
      <c r="H40" s="30" t="str">
        <f aca="false">IF($D40="","",IFERROR($D40/$E40,"—"))</f>
        <v/>
      </c>
      <c r="I40" s="38" t="str">
        <f aca="false">IF(G40="","",POISSON(N($E40),G40,TRUE()))</f>
        <v/>
      </c>
      <c r="J40" s="51" t="str">
        <f aca="false">IF(I40="","",IF(AND(N($E40)&gt;0,$D40/MAX(N($E40),1)&lt;=F40),"В цілі",IF(I40&gt;='Спенд без лідів'!$H$5,"Рано судити",IF(I40&gt;='Спенд без лідів'!$H$6,"Під питанням",IF(I40&gt;='Спенд без лідів'!$H$7,"Вимикати","Давно треба було")))))</f>
        <v/>
      </c>
      <c r="K40" s="5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9.5" hidden="false" customHeight="true" outlineLevel="0" collapsed="false">
      <c r="A41" s="1"/>
      <c r="B41" s="26"/>
      <c r="C41" s="8"/>
      <c r="D41" s="27"/>
      <c r="E41" s="36"/>
      <c r="F41" s="30" t="str">
        <f aca="false">IF($C41="","",IFERROR(INDEX('Гео-калькулятор'!$K$7:$K$13,MATCH($C41,'Гео-калькулятор'!$B$7:$B$13,0)),""))</f>
        <v/>
      </c>
      <c r="G41" s="84" t="str">
        <f aca="false">IF(OR($D41="",F41=""),"",$D41/F41)</f>
        <v/>
      </c>
      <c r="H41" s="30" t="str">
        <f aca="false">IF($D41="","",IFERROR($D41/$E41,"—"))</f>
        <v/>
      </c>
      <c r="I41" s="38" t="str">
        <f aca="false">IF(G41="","",POISSON(N($E41),G41,TRUE()))</f>
        <v/>
      </c>
      <c r="J41" s="51" t="str">
        <f aca="false">IF(I41="","",IF(AND(N($E41)&gt;0,$D41/MAX(N($E41),1)&lt;=F41),"В цілі",IF(I41&gt;='Спенд без лідів'!$H$5,"Рано судити",IF(I41&gt;='Спенд без лідів'!$H$6,"Під питанням",IF(I41&gt;='Спенд без лідів'!$H$7,"Вимикати","Давно треба було")))))</f>
        <v/>
      </c>
      <c r="K41" s="5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9.5" hidden="false" customHeight="true" outlineLevel="0" collapsed="false">
      <c r="A42" s="1"/>
      <c r="B42" s="26"/>
      <c r="C42" s="8"/>
      <c r="D42" s="27"/>
      <c r="E42" s="36"/>
      <c r="F42" s="30" t="str">
        <f aca="false">IF($C42="","",IFERROR(INDEX('Гео-калькулятор'!$K$7:$K$13,MATCH($C42,'Гео-калькулятор'!$B$7:$B$13,0)),""))</f>
        <v/>
      </c>
      <c r="G42" s="84" t="str">
        <f aca="false">IF(OR($D42="",F42=""),"",$D42/F42)</f>
        <v/>
      </c>
      <c r="H42" s="30" t="str">
        <f aca="false">IF($D42="","",IFERROR($D42/$E42,"—"))</f>
        <v/>
      </c>
      <c r="I42" s="38" t="str">
        <f aca="false">IF(G42="","",POISSON(N($E42),G42,TRUE()))</f>
        <v/>
      </c>
      <c r="J42" s="51" t="str">
        <f aca="false">IF(I42="","",IF(AND(N($E42)&gt;0,$D42/MAX(N($E42),1)&lt;=F42),"В цілі",IF(I42&gt;='Спенд без лідів'!$H$5,"Рано судити",IF(I42&gt;='Спенд без лідів'!$H$6,"Під питанням",IF(I42&gt;='Спенд без лідів'!$H$7,"Вимикати","Давно треба було")))))</f>
        <v/>
      </c>
      <c r="K42" s="5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9.5" hidden="false" customHeight="true" outlineLevel="0" collapsed="false">
      <c r="A43" s="1"/>
      <c r="B43" s="26"/>
      <c r="C43" s="8"/>
      <c r="D43" s="27"/>
      <c r="E43" s="36"/>
      <c r="F43" s="30" t="str">
        <f aca="false">IF($C43="","",IFERROR(INDEX('Гео-калькулятор'!$K$7:$K$13,MATCH($C43,'Гео-калькулятор'!$B$7:$B$13,0)),""))</f>
        <v/>
      </c>
      <c r="G43" s="84" t="str">
        <f aca="false">IF(OR($D43="",F43=""),"",$D43/F43)</f>
        <v/>
      </c>
      <c r="H43" s="30" t="str">
        <f aca="false">IF($D43="","",IFERROR($D43/$E43,"—"))</f>
        <v/>
      </c>
      <c r="I43" s="38" t="str">
        <f aca="false">IF(G43="","",POISSON(N($E43),G43,TRUE()))</f>
        <v/>
      </c>
      <c r="J43" s="51" t="str">
        <f aca="false">IF(I43="","",IF(AND(N($E43)&gt;0,$D43/MAX(N($E43),1)&lt;=F43),"В цілі",IF(I43&gt;='Спенд без лідів'!$H$5,"Рано судити",IF(I43&gt;='Спенд без лідів'!$H$6,"Під питанням",IF(I43&gt;='Спенд без лідів'!$H$7,"Вимикати","Давно треба було")))))</f>
        <v/>
      </c>
      <c r="K43" s="5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9.5" hidden="false" customHeight="true" outlineLevel="0" collapsed="false">
      <c r="A44" s="1"/>
      <c r="B44" s="26"/>
      <c r="C44" s="8"/>
      <c r="D44" s="27"/>
      <c r="E44" s="36"/>
      <c r="F44" s="30" t="str">
        <f aca="false">IF($C44="","",IFERROR(INDEX('Гео-калькулятор'!$K$7:$K$13,MATCH($C44,'Гео-калькулятор'!$B$7:$B$13,0)),""))</f>
        <v/>
      </c>
      <c r="G44" s="84" t="str">
        <f aca="false">IF(OR($D44="",F44=""),"",$D44/F44)</f>
        <v/>
      </c>
      <c r="H44" s="30" t="str">
        <f aca="false">IF($D44="","",IFERROR($D44/$E44,"—"))</f>
        <v/>
      </c>
      <c r="I44" s="38" t="str">
        <f aca="false">IF(G44="","",POISSON(N($E44),G44,TRUE()))</f>
        <v/>
      </c>
      <c r="J44" s="51" t="str">
        <f aca="false">IF(I44="","",IF(AND(N($E44)&gt;0,$D44/MAX(N($E44),1)&lt;=F44),"В цілі",IF(I44&gt;='Спенд без лідів'!$H$5,"Рано судити",IF(I44&gt;='Спенд без лідів'!$H$6,"Під питанням",IF(I44&gt;='Спенд без лідів'!$H$7,"Вимикати","Давно треба було")))))</f>
        <v/>
      </c>
      <c r="K44" s="5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</sheetData>
  <mergeCells count="31">
    <mergeCell ref="B5:D5"/>
    <mergeCell ref="F5:G5"/>
    <mergeCell ref="B6:D8"/>
    <mergeCell ref="F6:G6"/>
    <mergeCell ref="F7:G7"/>
    <mergeCell ref="F8:H8"/>
    <mergeCell ref="B10:D10"/>
    <mergeCell ref="E10:K10"/>
    <mergeCell ref="B21:K21"/>
    <mergeCell ref="B22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</mergeCells>
  <conditionalFormatting sqref="D12:D18">
    <cfRule type="expression" priority="2" aboveAverage="0" equalAverage="0" bottom="0" percent="0" rank="0" text="" dxfId="13">
      <formula>$D12="Масштабувати"</formula>
    </cfRule>
    <cfRule type="expression" priority="3" aboveAverage="0" equalAverage="0" bottom="0" percent="0" rank="0" text="" dxfId="0">
      <formula>$D12="В цілі"</formula>
    </cfRule>
    <cfRule type="expression" priority="4" aboveAverage="0" equalAverage="0" bottom="0" percent="0" rank="0" text="" dxfId="8">
      <formula>$D12="Рано судити"</formula>
    </cfRule>
    <cfRule type="expression" priority="5" aboveAverage="0" equalAverage="0" bottom="0" percent="0" rank="0" text="" dxfId="1">
      <formula>$D12="Під питанням"</formula>
    </cfRule>
    <cfRule type="expression" priority="6" aboveAverage="0" equalAverage="0" bottom="0" percent="0" rank="0" text="" dxfId="2">
      <formula>$D12="Вимикати"</formula>
    </cfRule>
    <cfRule type="expression" priority="7" aboveAverage="0" equalAverage="0" bottom="0" percent="0" rank="0" text="" dxfId="15">
      <formula>$D12="Давно треба було"</formula>
    </cfRule>
  </conditionalFormatting>
  <conditionalFormatting sqref="J25:K44">
    <cfRule type="expression" priority="8" aboveAverage="0" equalAverage="0" bottom="0" percent="0" rank="0" text="" dxfId="13">
      <formula>$J25="Масштабувати"</formula>
    </cfRule>
    <cfRule type="expression" priority="9" aboveAverage="0" equalAverage="0" bottom="0" percent="0" rank="0" text="" dxfId="0">
      <formula>$J25="В цілі"</formula>
    </cfRule>
    <cfRule type="expression" priority="10" aboveAverage="0" equalAverage="0" bottom="0" percent="0" rank="0" text="" dxfId="8">
      <formula>$J25="Рано судити"</formula>
    </cfRule>
    <cfRule type="expression" priority="11" aboveAverage="0" equalAverage="0" bottom="0" percent="0" rank="0" text="" dxfId="1">
      <formula>$J25="Під питанням"</formula>
    </cfRule>
    <cfRule type="expression" priority="12" aboveAverage="0" equalAverage="0" bottom="0" percent="0" rank="0" text="" dxfId="2">
      <formula>$J25="Вимикати"</formula>
    </cfRule>
    <cfRule type="expression" priority="13" aboveAverage="0" equalAverage="0" bottom="0" percent="0" rank="0" text="" dxfId="15">
      <formula>$J25="Давно треба було"</formula>
    </cfRule>
  </conditionalFormatting>
  <dataValidations count="1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C25:C44" type="list">
      <formula1>'Гео-калькулятор'!$B$7:$B$13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AD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4" min="12" style="0" width="8"/>
    <col collapsed="false" customWidth="true" hidden="false" outlineLevel="0" max="17" min="15" style="0" width="9"/>
    <col collapsed="false" customWidth="true" hidden="false" outlineLevel="0" max="18" min="18" style="0" width="10"/>
    <col collapsed="false" customWidth="true" hidden="false" outlineLevel="0" max="19" min="19" style="0" width="17"/>
    <col collapsed="false" customWidth="true" hidden="false" outlineLevel="0" max="20" min="20" style="0" width="3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27.75" hidden="false" customHeight="true" outlineLevel="0" collapsed="false">
      <c r="A2" s="1"/>
      <c r="B2" s="22" t="s">
        <v>226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true" outlineLevel="0" collapsed="false">
      <c r="A3" s="1"/>
      <c r="B3" s="3" t="s">
        <v>227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9.5" hidden="false" customHeight="true" outlineLevel="0" collapsed="false">
      <c r="A5" s="1"/>
      <c r="B5" s="42" t="s">
        <v>228</v>
      </c>
      <c r="C5" s="42"/>
      <c r="D5" s="42"/>
      <c r="E5" s="45" t="n">
        <v>0.8</v>
      </c>
      <c r="F5" s="33" t="s">
        <v>229</v>
      </c>
      <c r="G5" s="33"/>
      <c r="H5" s="43" t="n">
        <v>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8" hidden="false" customHeight="true" outlineLevel="0" collapsed="false">
      <c r="A6" s="1"/>
      <c r="B6" s="23" t="s">
        <v>230</v>
      </c>
      <c r="C6" s="23"/>
      <c r="D6" s="23"/>
      <c r="E6" s="23"/>
      <c r="F6" s="23"/>
      <c r="G6" s="23"/>
      <c r="H6" s="23"/>
      <c r="I6" s="23"/>
      <c r="J6" s="23"/>
      <c r="K6" s="23"/>
      <c r="L6" s="24" t="s">
        <v>231</v>
      </c>
      <c r="M6" s="24"/>
      <c r="N6" s="24"/>
      <c r="O6" s="24"/>
      <c r="P6" s="24"/>
      <c r="Q6" s="24"/>
      <c r="R6" s="24"/>
      <c r="S6" s="24"/>
      <c r="T6" s="23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36" hidden="false" customHeight="true" outlineLevel="0" collapsed="false">
      <c r="A7" s="1"/>
      <c r="B7" s="25" t="s">
        <v>232</v>
      </c>
      <c r="C7" s="25" t="s">
        <v>233</v>
      </c>
      <c r="D7" s="25" t="s">
        <v>72</v>
      </c>
      <c r="E7" s="25" t="s">
        <v>234</v>
      </c>
      <c r="F7" s="25" t="s">
        <v>235</v>
      </c>
      <c r="G7" s="25" t="s">
        <v>236</v>
      </c>
      <c r="H7" s="25" t="s">
        <v>123</v>
      </c>
      <c r="I7" s="25" t="s">
        <v>124</v>
      </c>
      <c r="J7" s="25" t="s">
        <v>125</v>
      </c>
      <c r="K7" s="25" t="s">
        <v>126</v>
      </c>
      <c r="L7" s="25" t="s">
        <v>78</v>
      </c>
      <c r="M7" s="25" t="s">
        <v>128</v>
      </c>
      <c r="N7" s="25" t="s">
        <v>129</v>
      </c>
      <c r="O7" s="25" t="s">
        <v>131</v>
      </c>
      <c r="P7" s="25" t="s">
        <v>81</v>
      </c>
      <c r="Q7" s="25" t="s">
        <v>132</v>
      </c>
      <c r="R7" s="25" t="s">
        <v>237</v>
      </c>
      <c r="S7" s="25" t="s">
        <v>224</v>
      </c>
      <c r="T7" s="25" t="s">
        <v>87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8" hidden="false" customHeight="true" outlineLevel="0" collapsed="false">
      <c r="A8" s="1"/>
      <c r="B8" s="26" t="s">
        <v>238</v>
      </c>
      <c r="C8" s="35" t="n">
        <v>46298</v>
      </c>
      <c r="D8" s="8" t="s">
        <v>92</v>
      </c>
      <c r="E8" s="26" t="s">
        <v>239</v>
      </c>
      <c r="F8" s="8" t="s">
        <v>240</v>
      </c>
      <c r="G8" s="26" t="s">
        <v>241</v>
      </c>
      <c r="H8" s="27" t="n">
        <v>60</v>
      </c>
      <c r="I8" s="36" t="n">
        <v>5400</v>
      </c>
      <c r="J8" s="36" t="n">
        <v>85</v>
      </c>
      <c r="K8" s="36" t="n">
        <v>2</v>
      </c>
      <c r="L8" s="37" t="n">
        <f aca="false">IF($H8="","",IFERROR(J8/I8,""))</f>
        <v>0.0157407407407407</v>
      </c>
      <c r="M8" s="30" t="n">
        <f aca="false">IF($H8="","",IFERROR(H8/J8,""))</f>
        <v>0.705882352941177</v>
      </c>
      <c r="N8" s="30" t="n">
        <f aca="false">IF($H8="","",IFERROR(H8/I8*1000,""))</f>
        <v>11.1111111111111</v>
      </c>
      <c r="O8" s="30" t="n">
        <f aca="false">IF($H8="","",IFERROR(H8/K8,"—"))</f>
        <v>30</v>
      </c>
      <c r="P8" s="30" t="n">
        <f aca="false">IF($H8="","",IFERROR(INDEX('Гео-калькулятор'!$K$7:$K$13,MATCH($D8,'Гео-калькулятор'!$B$7:$B$13,0)),""))</f>
        <v>9.42307692307692</v>
      </c>
      <c r="Q8" s="38" t="n">
        <f aca="false">IF($H8="","",IFERROR(O8/P8,""))</f>
        <v>3.18367346938776</v>
      </c>
      <c r="R8" s="38" t="n">
        <f aca="false">IF(OR($H8="",P8=""),"",POISSON(N(K8),H8/P8,TRUE()))</f>
        <v>0.0474479137851006</v>
      </c>
      <c r="S8" s="51" t="str">
        <f aca="false">IF(R8="","",IF(AND(N(K8)&gt;=$H$5,H8/MAX(N(K8),1)&lt;=P8*$E$5),"Масштабувати",IF(AND(N(K8)&gt;0,H8/MAX(N(K8),1)&lt;=P8),"В цілі",IF(R8&gt;='Спенд без лідів'!$H$5,"Рано судити",IF(R8&gt;='Спенд без лідів'!$H$6,"Під питанням",IF(R8&gt;='Спенд без лідів'!$H$7,"Вимикати","Давно треба було"))))))</f>
        <v>Вимикати</v>
      </c>
      <c r="T8" s="26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8" hidden="false" customHeight="true" outlineLevel="0" collapsed="false">
      <c r="A9" s="1"/>
      <c r="B9" s="26"/>
      <c r="C9" s="35"/>
      <c r="D9" s="8"/>
      <c r="E9" s="26"/>
      <c r="F9" s="8"/>
      <c r="G9" s="26"/>
      <c r="H9" s="27"/>
      <c r="I9" s="36"/>
      <c r="J9" s="36"/>
      <c r="K9" s="36"/>
      <c r="L9" s="37" t="str">
        <f aca="false">IF($H9="","",IFERROR(J9/I9,""))</f>
        <v/>
      </c>
      <c r="M9" s="30" t="str">
        <f aca="false">IF($H9="","",IFERROR(H9/J9,""))</f>
        <v/>
      </c>
      <c r="N9" s="30" t="str">
        <f aca="false">IF($H9="","",IFERROR(H9/I9*1000,""))</f>
        <v/>
      </c>
      <c r="O9" s="30" t="str">
        <f aca="false">IF($H9="","",IFERROR(H9/K9,"—"))</f>
        <v/>
      </c>
      <c r="P9" s="30" t="str">
        <f aca="false">IF($H9="","",IFERROR(INDEX('Гео-калькулятор'!$K$7:$K$13,MATCH($D9,'Гео-калькулятор'!$B$7:$B$13,0)),""))</f>
        <v/>
      </c>
      <c r="Q9" s="38" t="str">
        <f aca="false">IF($H9="","",IFERROR(O9/P9,""))</f>
        <v/>
      </c>
      <c r="R9" s="38" t="str">
        <f aca="false">IF(OR($H9="",P9=""),"",POISSON(N(K9),H9/P9,TRUE()))</f>
        <v/>
      </c>
      <c r="S9" s="51" t="str">
        <f aca="false">IF(R9="","",IF(AND(N(K9)&gt;=$H$5,H9/MAX(N(K9),1)&lt;=P9*$E$5),"Масштабувати",IF(AND(N(K9)&gt;0,H9/MAX(N(K9),1)&lt;=P9),"В цілі",IF(R9&gt;='Спенд без лідів'!$H$5,"Рано судити",IF(R9&gt;='Спенд без лідів'!$H$6,"Під питанням",IF(R9&gt;='Спенд без лідів'!$H$7,"Вимикати","Давно треба було"))))))</f>
        <v/>
      </c>
      <c r="T9" s="26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8" hidden="false" customHeight="true" outlineLevel="0" collapsed="false">
      <c r="A10" s="1"/>
      <c r="B10" s="26"/>
      <c r="C10" s="35"/>
      <c r="D10" s="8"/>
      <c r="E10" s="26"/>
      <c r="F10" s="8"/>
      <c r="G10" s="26"/>
      <c r="H10" s="27"/>
      <c r="I10" s="36"/>
      <c r="J10" s="36"/>
      <c r="K10" s="36"/>
      <c r="L10" s="37" t="str">
        <f aca="false">IF($H10="","",IFERROR(J10/I10,""))</f>
        <v/>
      </c>
      <c r="M10" s="30" t="str">
        <f aca="false">IF($H10="","",IFERROR(H10/J10,""))</f>
        <v/>
      </c>
      <c r="N10" s="30" t="str">
        <f aca="false">IF($H10="","",IFERROR(H10/I10*1000,""))</f>
        <v/>
      </c>
      <c r="O10" s="30" t="str">
        <f aca="false">IF($H10="","",IFERROR(H10/K10,"—"))</f>
        <v/>
      </c>
      <c r="P10" s="30" t="str">
        <f aca="false">IF($H10="","",IFERROR(INDEX('Гео-калькулятор'!$K$7:$K$13,MATCH($D10,'Гео-калькулятор'!$B$7:$B$13,0)),""))</f>
        <v/>
      </c>
      <c r="Q10" s="38" t="str">
        <f aca="false">IF($H10="","",IFERROR(O10/P10,""))</f>
        <v/>
      </c>
      <c r="R10" s="38" t="str">
        <f aca="false">IF(OR($H10="",P10=""),"",POISSON(N(K10),H10/P10,TRUE()))</f>
        <v/>
      </c>
      <c r="S10" s="51" t="str">
        <f aca="false">IF(R10="","",IF(AND(N(K10)&gt;=$H$5,H10/MAX(N(K10),1)&lt;=P10*$E$5),"Масштабувати",IF(AND(N(K10)&gt;0,H10/MAX(N(K10),1)&lt;=P10),"В цілі",IF(R10&gt;='Спенд без лідів'!$H$5,"Рано судити",IF(R10&gt;='Спенд без лідів'!$H$6,"Під питанням",IF(R10&gt;='Спенд без лідів'!$H$7,"Вимикати","Давно треба було"))))))</f>
        <v/>
      </c>
      <c r="T10" s="2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8" hidden="false" customHeight="true" outlineLevel="0" collapsed="false">
      <c r="A11" s="1"/>
      <c r="B11" s="26"/>
      <c r="C11" s="35"/>
      <c r="D11" s="8"/>
      <c r="E11" s="26"/>
      <c r="F11" s="8"/>
      <c r="G11" s="26"/>
      <c r="H11" s="27"/>
      <c r="I11" s="36"/>
      <c r="J11" s="36"/>
      <c r="K11" s="36"/>
      <c r="L11" s="37" t="str">
        <f aca="false">IF($H11="","",IFERROR(J11/I11,""))</f>
        <v/>
      </c>
      <c r="M11" s="30" t="str">
        <f aca="false">IF($H11="","",IFERROR(H11/J11,""))</f>
        <v/>
      </c>
      <c r="N11" s="30" t="str">
        <f aca="false">IF($H11="","",IFERROR(H11/I11*1000,""))</f>
        <v/>
      </c>
      <c r="O11" s="30" t="str">
        <f aca="false">IF($H11="","",IFERROR(H11/K11,"—"))</f>
        <v/>
      </c>
      <c r="P11" s="30" t="str">
        <f aca="false">IF($H11="","",IFERROR(INDEX('Гео-калькулятор'!$K$7:$K$13,MATCH($D11,'Гео-калькулятор'!$B$7:$B$13,0)),""))</f>
        <v/>
      </c>
      <c r="Q11" s="38" t="str">
        <f aca="false">IF($H11="","",IFERROR(O11/P11,""))</f>
        <v/>
      </c>
      <c r="R11" s="38" t="str">
        <f aca="false">IF(OR($H11="",P11=""),"",POISSON(N(K11),H11/P11,TRUE()))</f>
        <v/>
      </c>
      <c r="S11" s="51" t="str">
        <f aca="false">IF(R11="","",IF(AND(N(K11)&gt;=$H$5,H11/MAX(N(K11),1)&lt;=P11*$E$5),"Масштабувати",IF(AND(N(K11)&gt;0,H11/MAX(N(K11),1)&lt;=P11),"В цілі",IF(R11&gt;='Спенд без лідів'!$H$5,"Рано судити",IF(R11&gt;='Спенд без лідів'!$H$6,"Під питанням",IF(R11&gt;='Спенд без лідів'!$H$7,"Вимикати","Давно треба було"))))))</f>
        <v/>
      </c>
      <c r="T11" s="26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8" hidden="false" customHeight="true" outlineLevel="0" collapsed="false">
      <c r="A12" s="1"/>
      <c r="B12" s="26"/>
      <c r="C12" s="35"/>
      <c r="D12" s="8"/>
      <c r="E12" s="26"/>
      <c r="F12" s="8"/>
      <c r="G12" s="26"/>
      <c r="H12" s="27"/>
      <c r="I12" s="36"/>
      <c r="J12" s="36"/>
      <c r="K12" s="36"/>
      <c r="L12" s="37" t="str">
        <f aca="false">IF($H12="","",IFERROR(J12/I12,""))</f>
        <v/>
      </c>
      <c r="M12" s="30" t="str">
        <f aca="false">IF($H12="","",IFERROR(H12/J12,""))</f>
        <v/>
      </c>
      <c r="N12" s="30" t="str">
        <f aca="false">IF($H12="","",IFERROR(H12/I12*1000,""))</f>
        <v/>
      </c>
      <c r="O12" s="30" t="str">
        <f aca="false">IF($H12="","",IFERROR(H12/K12,"—"))</f>
        <v/>
      </c>
      <c r="P12" s="30" t="str">
        <f aca="false">IF($H12="","",IFERROR(INDEX('Гео-калькулятор'!$K$7:$K$13,MATCH($D12,'Гео-калькулятор'!$B$7:$B$13,0)),""))</f>
        <v/>
      </c>
      <c r="Q12" s="38" t="str">
        <f aca="false">IF($H12="","",IFERROR(O12/P12,""))</f>
        <v/>
      </c>
      <c r="R12" s="38" t="str">
        <f aca="false">IF(OR($H12="",P12=""),"",POISSON(N(K12),H12/P12,TRUE()))</f>
        <v/>
      </c>
      <c r="S12" s="51" t="str">
        <f aca="false">IF(R12="","",IF(AND(N(K12)&gt;=$H$5,H12/MAX(N(K12),1)&lt;=P12*$E$5),"Масштабувати",IF(AND(N(K12)&gt;0,H12/MAX(N(K12),1)&lt;=P12),"В цілі",IF(R12&gt;='Спенд без лідів'!$H$5,"Рано судити",IF(R12&gt;='Спенд без лідів'!$H$6,"Під питанням",IF(R12&gt;='Спенд без лідів'!$H$7,"Вимикати","Давно треба було"))))))</f>
        <v/>
      </c>
      <c r="T12" s="2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8" hidden="false" customHeight="true" outlineLevel="0" collapsed="false">
      <c r="A13" s="1"/>
      <c r="B13" s="26"/>
      <c r="C13" s="35"/>
      <c r="D13" s="8"/>
      <c r="E13" s="26"/>
      <c r="F13" s="8"/>
      <c r="G13" s="26"/>
      <c r="H13" s="27"/>
      <c r="I13" s="36"/>
      <c r="J13" s="36"/>
      <c r="K13" s="36"/>
      <c r="L13" s="37" t="str">
        <f aca="false">IF($H13="","",IFERROR(J13/I13,""))</f>
        <v/>
      </c>
      <c r="M13" s="30" t="str">
        <f aca="false">IF($H13="","",IFERROR(H13/J13,""))</f>
        <v/>
      </c>
      <c r="N13" s="30" t="str">
        <f aca="false">IF($H13="","",IFERROR(H13/I13*1000,""))</f>
        <v/>
      </c>
      <c r="O13" s="30" t="str">
        <f aca="false">IF($H13="","",IFERROR(H13/K13,"—"))</f>
        <v/>
      </c>
      <c r="P13" s="30" t="str">
        <f aca="false">IF($H13="","",IFERROR(INDEX('Гео-калькулятор'!$K$7:$K$13,MATCH($D13,'Гео-калькулятор'!$B$7:$B$13,0)),""))</f>
        <v/>
      </c>
      <c r="Q13" s="38" t="str">
        <f aca="false">IF($H13="","",IFERROR(O13/P13,""))</f>
        <v/>
      </c>
      <c r="R13" s="38" t="str">
        <f aca="false">IF(OR($H13="",P13=""),"",POISSON(N(K13),H13/P13,TRUE()))</f>
        <v/>
      </c>
      <c r="S13" s="51" t="str">
        <f aca="false">IF(R13="","",IF(AND(N(K13)&gt;=$H$5,H13/MAX(N(K13),1)&lt;=P13*$E$5),"Масштабувати",IF(AND(N(K13)&gt;0,H13/MAX(N(K13),1)&lt;=P13),"В цілі",IF(R13&gt;='Спенд без лідів'!$H$5,"Рано судити",IF(R13&gt;='Спенд без лідів'!$H$6,"Під питанням",IF(R13&gt;='Спенд без лідів'!$H$7,"Вимикати","Давно треба було"))))))</f>
        <v/>
      </c>
      <c r="T13" s="26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8" hidden="false" customHeight="true" outlineLevel="0" collapsed="false">
      <c r="A14" s="1"/>
      <c r="B14" s="26"/>
      <c r="C14" s="35"/>
      <c r="D14" s="8"/>
      <c r="E14" s="26"/>
      <c r="F14" s="8"/>
      <c r="G14" s="26"/>
      <c r="H14" s="27"/>
      <c r="I14" s="36"/>
      <c r="J14" s="36"/>
      <c r="K14" s="36"/>
      <c r="L14" s="37" t="str">
        <f aca="false">IF($H14="","",IFERROR(J14/I14,""))</f>
        <v/>
      </c>
      <c r="M14" s="30" t="str">
        <f aca="false">IF($H14="","",IFERROR(H14/J14,""))</f>
        <v/>
      </c>
      <c r="N14" s="30" t="str">
        <f aca="false">IF($H14="","",IFERROR(H14/I14*1000,""))</f>
        <v/>
      </c>
      <c r="O14" s="30" t="str">
        <f aca="false">IF($H14="","",IFERROR(H14/K14,"—"))</f>
        <v/>
      </c>
      <c r="P14" s="30" t="str">
        <f aca="false">IF($H14="","",IFERROR(INDEX('Гео-калькулятор'!$K$7:$K$13,MATCH($D14,'Гео-калькулятор'!$B$7:$B$13,0)),""))</f>
        <v/>
      </c>
      <c r="Q14" s="38" t="str">
        <f aca="false">IF($H14="","",IFERROR(O14/P14,""))</f>
        <v/>
      </c>
      <c r="R14" s="38" t="str">
        <f aca="false">IF(OR($H14="",P14=""),"",POISSON(N(K14),H14/P14,TRUE()))</f>
        <v/>
      </c>
      <c r="S14" s="51" t="str">
        <f aca="false">IF(R14="","",IF(AND(N(K14)&gt;=$H$5,H14/MAX(N(K14),1)&lt;=P14*$E$5),"Масштабувати",IF(AND(N(K14)&gt;0,H14/MAX(N(K14),1)&lt;=P14),"В цілі",IF(R14&gt;='Спенд без лідів'!$H$5,"Рано судити",IF(R14&gt;='Спенд без лідів'!$H$6,"Під питанням",IF(R14&gt;='Спенд без лідів'!$H$7,"Вимикати","Давно треба було"))))))</f>
        <v/>
      </c>
      <c r="T14" s="2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8" hidden="false" customHeight="true" outlineLevel="0" collapsed="false">
      <c r="A15" s="1"/>
      <c r="B15" s="26"/>
      <c r="C15" s="35"/>
      <c r="D15" s="8"/>
      <c r="E15" s="26"/>
      <c r="F15" s="8"/>
      <c r="G15" s="26"/>
      <c r="H15" s="27"/>
      <c r="I15" s="36"/>
      <c r="J15" s="36"/>
      <c r="K15" s="36"/>
      <c r="L15" s="37" t="str">
        <f aca="false">IF($H15="","",IFERROR(J15/I15,""))</f>
        <v/>
      </c>
      <c r="M15" s="30" t="str">
        <f aca="false">IF($H15="","",IFERROR(H15/J15,""))</f>
        <v/>
      </c>
      <c r="N15" s="30" t="str">
        <f aca="false">IF($H15="","",IFERROR(H15/I15*1000,""))</f>
        <v/>
      </c>
      <c r="O15" s="30" t="str">
        <f aca="false">IF($H15="","",IFERROR(H15/K15,"—"))</f>
        <v/>
      </c>
      <c r="P15" s="30" t="str">
        <f aca="false">IF($H15="","",IFERROR(INDEX('Гео-калькулятор'!$K$7:$K$13,MATCH($D15,'Гео-калькулятор'!$B$7:$B$13,0)),""))</f>
        <v/>
      </c>
      <c r="Q15" s="38" t="str">
        <f aca="false">IF($H15="","",IFERROR(O15/P15,""))</f>
        <v/>
      </c>
      <c r="R15" s="38" t="str">
        <f aca="false">IF(OR($H15="",P15=""),"",POISSON(N(K15),H15/P15,TRUE()))</f>
        <v/>
      </c>
      <c r="S15" s="51" t="str">
        <f aca="false">IF(R15="","",IF(AND(N(K15)&gt;=$H$5,H15/MAX(N(K15),1)&lt;=P15*$E$5),"Масштабувати",IF(AND(N(K15)&gt;0,H15/MAX(N(K15),1)&lt;=P15),"В цілі",IF(R15&gt;='Спенд без лідів'!$H$5,"Рано судити",IF(R15&gt;='Спенд без лідів'!$H$6,"Під питанням",IF(R15&gt;='Спенд без лідів'!$H$7,"Вимикати","Давно треба було"))))))</f>
        <v/>
      </c>
      <c r="T15" s="26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8" hidden="false" customHeight="true" outlineLevel="0" collapsed="false">
      <c r="A16" s="1"/>
      <c r="B16" s="26"/>
      <c r="C16" s="35"/>
      <c r="D16" s="8"/>
      <c r="E16" s="26"/>
      <c r="F16" s="8"/>
      <c r="G16" s="26"/>
      <c r="H16" s="27"/>
      <c r="I16" s="36"/>
      <c r="J16" s="36"/>
      <c r="K16" s="36"/>
      <c r="L16" s="37" t="str">
        <f aca="false">IF($H16="","",IFERROR(J16/I16,""))</f>
        <v/>
      </c>
      <c r="M16" s="30" t="str">
        <f aca="false">IF($H16="","",IFERROR(H16/J16,""))</f>
        <v/>
      </c>
      <c r="N16" s="30" t="str">
        <f aca="false">IF($H16="","",IFERROR(H16/I16*1000,""))</f>
        <v/>
      </c>
      <c r="O16" s="30" t="str">
        <f aca="false">IF($H16="","",IFERROR(H16/K16,"—"))</f>
        <v/>
      </c>
      <c r="P16" s="30" t="str">
        <f aca="false">IF($H16="","",IFERROR(INDEX('Гео-калькулятор'!$K$7:$K$13,MATCH($D16,'Гео-калькулятор'!$B$7:$B$13,0)),""))</f>
        <v/>
      </c>
      <c r="Q16" s="38" t="str">
        <f aca="false">IF($H16="","",IFERROR(O16/P16,""))</f>
        <v/>
      </c>
      <c r="R16" s="38" t="str">
        <f aca="false">IF(OR($H16="",P16=""),"",POISSON(N(K16),H16/P16,TRUE()))</f>
        <v/>
      </c>
      <c r="S16" s="51" t="str">
        <f aca="false">IF(R16="","",IF(AND(N(K16)&gt;=$H$5,H16/MAX(N(K16),1)&lt;=P16*$E$5),"Масштабувати",IF(AND(N(K16)&gt;0,H16/MAX(N(K16),1)&lt;=P16),"В цілі",IF(R16&gt;='Спенд без лідів'!$H$5,"Рано судити",IF(R16&gt;='Спенд без лідів'!$H$6,"Під питанням",IF(R16&gt;='Спенд без лідів'!$H$7,"Вимикати","Давно треба було"))))))</f>
        <v/>
      </c>
      <c r="T16" s="2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8" hidden="false" customHeight="true" outlineLevel="0" collapsed="false">
      <c r="A17" s="1"/>
      <c r="B17" s="26"/>
      <c r="C17" s="35"/>
      <c r="D17" s="8"/>
      <c r="E17" s="26"/>
      <c r="F17" s="8"/>
      <c r="G17" s="26"/>
      <c r="H17" s="27"/>
      <c r="I17" s="36"/>
      <c r="J17" s="36"/>
      <c r="K17" s="36"/>
      <c r="L17" s="37" t="str">
        <f aca="false">IF($H17="","",IFERROR(J17/I17,""))</f>
        <v/>
      </c>
      <c r="M17" s="30" t="str">
        <f aca="false">IF($H17="","",IFERROR(H17/J17,""))</f>
        <v/>
      </c>
      <c r="N17" s="30" t="str">
        <f aca="false">IF($H17="","",IFERROR(H17/I17*1000,""))</f>
        <v/>
      </c>
      <c r="O17" s="30" t="str">
        <f aca="false">IF($H17="","",IFERROR(H17/K17,"—"))</f>
        <v/>
      </c>
      <c r="P17" s="30" t="str">
        <f aca="false">IF($H17="","",IFERROR(INDEX('Гео-калькулятор'!$K$7:$K$13,MATCH($D17,'Гео-калькулятор'!$B$7:$B$13,0)),""))</f>
        <v/>
      </c>
      <c r="Q17" s="38" t="str">
        <f aca="false">IF($H17="","",IFERROR(O17/P17,""))</f>
        <v/>
      </c>
      <c r="R17" s="38" t="str">
        <f aca="false">IF(OR($H17="",P17=""),"",POISSON(N(K17),H17/P17,TRUE()))</f>
        <v/>
      </c>
      <c r="S17" s="51" t="str">
        <f aca="false">IF(R17="","",IF(AND(N(K17)&gt;=$H$5,H17/MAX(N(K17),1)&lt;=P17*$E$5),"Масштабувати",IF(AND(N(K17)&gt;0,H17/MAX(N(K17),1)&lt;=P17),"В цілі",IF(R17&gt;='Спенд без лідів'!$H$5,"Рано судити",IF(R17&gt;='Спенд без лідів'!$H$6,"Під питанням",IF(R17&gt;='Спенд без лідів'!$H$7,"Вимикати","Давно треба було"))))))</f>
        <v/>
      </c>
      <c r="T17" s="26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8" hidden="false" customHeight="true" outlineLevel="0" collapsed="false">
      <c r="A18" s="1"/>
      <c r="B18" s="26"/>
      <c r="C18" s="35"/>
      <c r="D18" s="8"/>
      <c r="E18" s="26"/>
      <c r="F18" s="8"/>
      <c r="G18" s="26"/>
      <c r="H18" s="27"/>
      <c r="I18" s="36"/>
      <c r="J18" s="36"/>
      <c r="K18" s="36"/>
      <c r="L18" s="37" t="str">
        <f aca="false">IF($H18="","",IFERROR(J18/I18,""))</f>
        <v/>
      </c>
      <c r="M18" s="30" t="str">
        <f aca="false">IF($H18="","",IFERROR(H18/J18,""))</f>
        <v/>
      </c>
      <c r="N18" s="30" t="str">
        <f aca="false">IF($H18="","",IFERROR(H18/I18*1000,""))</f>
        <v/>
      </c>
      <c r="O18" s="30" t="str">
        <f aca="false">IF($H18="","",IFERROR(H18/K18,"—"))</f>
        <v/>
      </c>
      <c r="P18" s="30" t="str">
        <f aca="false">IF($H18="","",IFERROR(INDEX('Гео-калькулятор'!$K$7:$K$13,MATCH($D18,'Гео-калькулятор'!$B$7:$B$13,0)),""))</f>
        <v/>
      </c>
      <c r="Q18" s="38" t="str">
        <f aca="false">IF($H18="","",IFERROR(O18/P18,""))</f>
        <v/>
      </c>
      <c r="R18" s="38" t="str">
        <f aca="false">IF(OR($H18="",P18=""),"",POISSON(N(K18),H18/P18,TRUE()))</f>
        <v/>
      </c>
      <c r="S18" s="51" t="str">
        <f aca="false">IF(R18="","",IF(AND(N(K18)&gt;=$H$5,H18/MAX(N(K18),1)&lt;=P18*$E$5),"Масштабувати",IF(AND(N(K18)&gt;0,H18/MAX(N(K18),1)&lt;=P18),"В цілі",IF(R18&gt;='Спенд без лідів'!$H$5,"Рано судити",IF(R18&gt;='Спенд без лідів'!$H$6,"Під питанням",IF(R18&gt;='Спенд без лідів'!$H$7,"Вимикати","Давно треба було"))))))</f>
        <v/>
      </c>
      <c r="T18" s="2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8" hidden="false" customHeight="true" outlineLevel="0" collapsed="false">
      <c r="A19" s="1"/>
      <c r="B19" s="26"/>
      <c r="C19" s="35"/>
      <c r="D19" s="8"/>
      <c r="E19" s="26"/>
      <c r="F19" s="8"/>
      <c r="G19" s="26"/>
      <c r="H19" s="27"/>
      <c r="I19" s="36"/>
      <c r="J19" s="36"/>
      <c r="K19" s="36"/>
      <c r="L19" s="37" t="str">
        <f aca="false">IF($H19="","",IFERROR(J19/I19,""))</f>
        <v/>
      </c>
      <c r="M19" s="30" t="str">
        <f aca="false">IF($H19="","",IFERROR(H19/J19,""))</f>
        <v/>
      </c>
      <c r="N19" s="30" t="str">
        <f aca="false">IF($H19="","",IFERROR(H19/I19*1000,""))</f>
        <v/>
      </c>
      <c r="O19" s="30" t="str">
        <f aca="false">IF($H19="","",IFERROR(H19/K19,"—"))</f>
        <v/>
      </c>
      <c r="P19" s="30" t="str">
        <f aca="false">IF($H19="","",IFERROR(INDEX('Гео-калькулятор'!$K$7:$K$13,MATCH($D19,'Гео-калькулятор'!$B$7:$B$13,0)),""))</f>
        <v/>
      </c>
      <c r="Q19" s="38" t="str">
        <f aca="false">IF($H19="","",IFERROR(O19/P19,""))</f>
        <v/>
      </c>
      <c r="R19" s="38" t="str">
        <f aca="false">IF(OR($H19="",P19=""),"",POISSON(N(K19),H19/P19,TRUE()))</f>
        <v/>
      </c>
      <c r="S19" s="51" t="str">
        <f aca="false">IF(R19="","",IF(AND(N(K19)&gt;=$H$5,H19/MAX(N(K19),1)&lt;=P19*$E$5),"Масштабувати",IF(AND(N(K19)&gt;0,H19/MAX(N(K19),1)&lt;=P19),"В цілі",IF(R19&gt;='Спенд без лідів'!$H$5,"Рано судити",IF(R19&gt;='Спенд без лідів'!$H$6,"Під питанням",IF(R19&gt;='Спенд без лідів'!$H$7,"Вимикати","Давно треба було"))))))</f>
        <v/>
      </c>
      <c r="T19" s="26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8" hidden="false" customHeight="true" outlineLevel="0" collapsed="false">
      <c r="A20" s="1"/>
      <c r="B20" s="26"/>
      <c r="C20" s="35"/>
      <c r="D20" s="8"/>
      <c r="E20" s="26"/>
      <c r="F20" s="8"/>
      <c r="G20" s="26"/>
      <c r="H20" s="27"/>
      <c r="I20" s="36"/>
      <c r="J20" s="36"/>
      <c r="K20" s="36"/>
      <c r="L20" s="37" t="str">
        <f aca="false">IF($H20="","",IFERROR(J20/I20,""))</f>
        <v/>
      </c>
      <c r="M20" s="30" t="str">
        <f aca="false">IF($H20="","",IFERROR(H20/J20,""))</f>
        <v/>
      </c>
      <c r="N20" s="30" t="str">
        <f aca="false">IF($H20="","",IFERROR(H20/I20*1000,""))</f>
        <v/>
      </c>
      <c r="O20" s="30" t="str">
        <f aca="false">IF($H20="","",IFERROR(H20/K20,"—"))</f>
        <v/>
      </c>
      <c r="P20" s="30" t="str">
        <f aca="false">IF($H20="","",IFERROR(INDEX('Гео-калькулятор'!$K$7:$K$13,MATCH($D20,'Гео-калькулятор'!$B$7:$B$13,0)),""))</f>
        <v/>
      </c>
      <c r="Q20" s="38" t="str">
        <f aca="false">IF($H20="","",IFERROR(O20/P20,""))</f>
        <v/>
      </c>
      <c r="R20" s="38" t="str">
        <f aca="false">IF(OR($H20="",P20=""),"",POISSON(N(K20),H20/P20,TRUE()))</f>
        <v/>
      </c>
      <c r="S20" s="51" t="str">
        <f aca="false">IF(R20="","",IF(AND(N(K20)&gt;=$H$5,H20/MAX(N(K20),1)&lt;=P20*$E$5),"Масштабувати",IF(AND(N(K20)&gt;0,H20/MAX(N(K20),1)&lt;=P20),"В цілі",IF(R20&gt;='Спенд без лідів'!$H$5,"Рано судити",IF(R20&gt;='Спенд без лідів'!$H$6,"Під питанням",IF(R20&gt;='Спенд без лідів'!$H$7,"Вимикати","Давно треба було"))))))</f>
        <v/>
      </c>
      <c r="T20" s="2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8" hidden="false" customHeight="true" outlineLevel="0" collapsed="false">
      <c r="A21" s="1"/>
      <c r="B21" s="26"/>
      <c r="C21" s="35"/>
      <c r="D21" s="8"/>
      <c r="E21" s="26"/>
      <c r="F21" s="8"/>
      <c r="G21" s="26"/>
      <c r="H21" s="27"/>
      <c r="I21" s="36"/>
      <c r="J21" s="36"/>
      <c r="K21" s="36"/>
      <c r="L21" s="37" t="str">
        <f aca="false">IF($H21="","",IFERROR(J21/I21,""))</f>
        <v/>
      </c>
      <c r="M21" s="30" t="str">
        <f aca="false">IF($H21="","",IFERROR(H21/J21,""))</f>
        <v/>
      </c>
      <c r="N21" s="30" t="str">
        <f aca="false">IF($H21="","",IFERROR(H21/I21*1000,""))</f>
        <v/>
      </c>
      <c r="O21" s="30" t="str">
        <f aca="false">IF($H21="","",IFERROR(H21/K21,"—"))</f>
        <v/>
      </c>
      <c r="P21" s="30" t="str">
        <f aca="false">IF($H21="","",IFERROR(INDEX('Гео-калькулятор'!$K$7:$K$13,MATCH($D21,'Гео-калькулятор'!$B$7:$B$13,0)),""))</f>
        <v/>
      </c>
      <c r="Q21" s="38" t="str">
        <f aca="false">IF($H21="","",IFERROR(O21/P21,""))</f>
        <v/>
      </c>
      <c r="R21" s="38" t="str">
        <f aca="false">IF(OR($H21="",P21=""),"",POISSON(N(K21),H21/P21,TRUE()))</f>
        <v/>
      </c>
      <c r="S21" s="51" t="str">
        <f aca="false">IF(R21="","",IF(AND(N(K21)&gt;=$H$5,H21/MAX(N(K21),1)&lt;=P21*$E$5),"Масштабувати",IF(AND(N(K21)&gt;0,H21/MAX(N(K21),1)&lt;=P21),"В цілі",IF(R21&gt;='Спенд без лідів'!$H$5,"Рано судити",IF(R21&gt;='Спенд без лідів'!$H$6,"Під питанням",IF(R21&gt;='Спенд без лідів'!$H$7,"Вимикати","Давно треба було"))))))</f>
        <v/>
      </c>
      <c r="T21" s="26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8" hidden="false" customHeight="true" outlineLevel="0" collapsed="false">
      <c r="A22" s="1"/>
      <c r="B22" s="26"/>
      <c r="C22" s="35"/>
      <c r="D22" s="8"/>
      <c r="E22" s="26"/>
      <c r="F22" s="8"/>
      <c r="G22" s="26"/>
      <c r="H22" s="27"/>
      <c r="I22" s="36"/>
      <c r="J22" s="36"/>
      <c r="K22" s="36"/>
      <c r="L22" s="37" t="str">
        <f aca="false">IF($H22="","",IFERROR(J22/I22,""))</f>
        <v/>
      </c>
      <c r="M22" s="30" t="str">
        <f aca="false">IF($H22="","",IFERROR(H22/J22,""))</f>
        <v/>
      </c>
      <c r="N22" s="30" t="str">
        <f aca="false">IF($H22="","",IFERROR(H22/I22*1000,""))</f>
        <v/>
      </c>
      <c r="O22" s="30" t="str">
        <f aca="false">IF($H22="","",IFERROR(H22/K22,"—"))</f>
        <v/>
      </c>
      <c r="P22" s="30" t="str">
        <f aca="false">IF($H22="","",IFERROR(INDEX('Гео-калькулятор'!$K$7:$K$13,MATCH($D22,'Гео-калькулятор'!$B$7:$B$13,0)),""))</f>
        <v/>
      </c>
      <c r="Q22" s="38" t="str">
        <f aca="false">IF($H22="","",IFERROR(O22/P22,""))</f>
        <v/>
      </c>
      <c r="R22" s="38" t="str">
        <f aca="false">IF(OR($H22="",P22=""),"",POISSON(N(K22),H22/P22,TRUE()))</f>
        <v/>
      </c>
      <c r="S22" s="51" t="str">
        <f aca="false">IF(R22="","",IF(AND(N(K22)&gt;=$H$5,H22/MAX(N(K22),1)&lt;=P22*$E$5),"Масштабувати",IF(AND(N(K22)&gt;0,H22/MAX(N(K22),1)&lt;=P22),"В цілі",IF(R22&gt;='Спенд без лідів'!$H$5,"Рано судити",IF(R22&gt;='Спенд без лідів'!$H$6,"Під питанням",IF(R22&gt;='Спенд без лідів'!$H$7,"Вимикати","Давно треба було"))))))</f>
        <v/>
      </c>
      <c r="T22" s="2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8" hidden="false" customHeight="true" outlineLevel="0" collapsed="false">
      <c r="A23" s="1"/>
      <c r="B23" s="26"/>
      <c r="C23" s="35"/>
      <c r="D23" s="8"/>
      <c r="E23" s="26"/>
      <c r="F23" s="8"/>
      <c r="G23" s="26"/>
      <c r="H23" s="27"/>
      <c r="I23" s="36"/>
      <c r="J23" s="36"/>
      <c r="K23" s="36"/>
      <c r="L23" s="37" t="str">
        <f aca="false">IF($H23="","",IFERROR(J23/I23,""))</f>
        <v/>
      </c>
      <c r="M23" s="30" t="str">
        <f aca="false">IF($H23="","",IFERROR(H23/J23,""))</f>
        <v/>
      </c>
      <c r="N23" s="30" t="str">
        <f aca="false">IF($H23="","",IFERROR(H23/I23*1000,""))</f>
        <v/>
      </c>
      <c r="O23" s="30" t="str">
        <f aca="false">IF($H23="","",IFERROR(H23/K23,"—"))</f>
        <v/>
      </c>
      <c r="P23" s="30" t="str">
        <f aca="false">IF($H23="","",IFERROR(INDEX('Гео-калькулятор'!$K$7:$K$13,MATCH($D23,'Гео-калькулятор'!$B$7:$B$13,0)),""))</f>
        <v/>
      </c>
      <c r="Q23" s="38" t="str">
        <f aca="false">IF($H23="","",IFERROR(O23/P23,""))</f>
        <v/>
      </c>
      <c r="R23" s="38" t="str">
        <f aca="false">IF(OR($H23="",P23=""),"",POISSON(N(K23),H23/P23,TRUE()))</f>
        <v/>
      </c>
      <c r="S23" s="51" t="str">
        <f aca="false">IF(R23="","",IF(AND(N(K23)&gt;=$H$5,H23/MAX(N(K23),1)&lt;=P23*$E$5),"Масштабувати",IF(AND(N(K23)&gt;0,H23/MAX(N(K23),1)&lt;=P23),"В цілі",IF(R23&gt;='Спенд без лідів'!$H$5,"Рано судити",IF(R23&gt;='Спенд без лідів'!$H$6,"Під питанням",IF(R23&gt;='Спенд без лідів'!$H$7,"Вимикати","Давно треба було"))))))</f>
        <v/>
      </c>
      <c r="T23" s="26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8" hidden="false" customHeight="true" outlineLevel="0" collapsed="false">
      <c r="A24" s="1"/>
      <c r="B24" s="26"/>
      <c r="C24" s="35"/>
      <c r="D24" s="8"/>
      <c r="E24" s="26"/>
      <c r="F24" s="8"/>
      <c r="G24" s="26"/>
      <c r="H24" s="27"/>
      <c r="I24" s="36"/>
      <c r="J24" s="36"/>
      <c r="K24" s="36"/>
      <c r="L24" s="37" t="str">
        <f aca="false">IF($H24="","",IFERROR(J24/I24,""))</f>
        <v/>
      </c>
      <c r="M24" s="30" t="str">
        <f aca="false">IF($H24="","",IFERROR(H24/J24,""))</f>
        <v/>
      </c>
      <c r="N24" s="30" t="str">
        <f aca="false">IF($H24="","",IFERROR(H24/I24*1000,""))</f>
        <v/>
      </c>
      <c r="O24" s="30" t="str">
        <f aca="false">IF($H24="","",IFERROR(H24/K24,"—"))</f>
        <v/>
      </c>
      <c r="P24" s="30" t="str">
        <f aca="false">IF($H24="","",IFERROR(INDEX('Гео-калькулятор'!$K$7:$K$13,MATCH($D24,'Гео-калькулятор'!$B$7:$B$13,0)),""))</f>
        <v/>
      </c>
      <c r="Q24" s="38" t="str">
        <f aca="false">IF($H24="","",IFERROR(O24/P24,""))</f>
        <v/>
      </c>
      <c r="R24" s="38" t="str">
        <f aca="false">IF(OR($H24="",P24=""),"",POISSON(N(K24),H24/P24,TRUE()))</f>
        <v/>
      </c>
      <c r="S24" s="51" t="str">
        <f aca="false">IF(R24="","",IF(AND(N(K24)&gt;=$H$5,H24/MAX(N(K24),1)&lt;=P24*$E$5),"Масштабувати",IF(AND(N(K24)&gt;0,H24/MAX(N(K24),1)&lt;=P24),"В цілі",IF(R24&gt;='Спенд без лідів'!$H$5,"Рано судити",IF(R24&gt;='Спенд без лідів'!$H$6,"Під питанням",IF(R24&gt;='Спенд без лідів'!$H$7,"Вимикати","Давно треба було"))))))</f>
        <v/>
      </c>
      <c r="T24" s="2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8" hidden="false" customHeight="true" outlineLevel="0" collapsed="false">
      <c r="A25" s="1"/>
      <c r="B25" s="26"/>
      <c r="C25" s="35"/>
      <c r="D25" s="8"/>
      <c r="E25" s="26"/>
      <c r="F25" s="8"/>
      <c r="G25" s="26"/>
      <c r="H25" s="27"/>
      <c r="I25" s="36"/>
      <c r="J25" s="36"/>
      <c r="K25" s="36"/>
      <c r="L25" s="37" t="str">
        <f aca="false">IF($H25="","",IFERROR(J25/I25,""))</f>
        <v/>
      </c>
      <c r="M25" s="30" t="str">
        <f aca="false">IF($H25="","",IFERROR(H25/J25,""))</f>
        <v/>
      </c>
      <c r="N25" s="30" t="str">
        <f aca="false">IF($H25="","",IFERROR(H25/I25*1000,""))</f>
        <v/>
      </c>
      <c r="O25" s="30" t="str">
        <f aca="false">IF($H25="","",IFERROR(H25/K25,"—"))</f>
        <v/>
      </c>
      <c r="P25" s="30" t="str">
        <f aca="false">IF($H25="","",IFERROR(INDEX('Гео-калькулятор'!$K$7:$K$13,MATCH($D25,'Гео-калькулятор'!$B$7:$B$13,0)),""))</f>
        <v/>
      </c>
      <c r="Q25" s="38" t="str">
        <f aca="false">IF($H25="","",IFERROR(O25/P25,""))</f>
        <v/>
      </c>
      <c r="R25" s="38" t="str">
        <f aca="false">IF(OR($H25="",P25=""),"",POISSON(N(K25),H25/P25,TRUE()))</f>
        <v/>
      </c>
      <c r="S25" s="51" t="str">
        <f aca="false">IF(R25="","",IF(AND(N(K25)&gt;=$H$5,H25/MAX(N(K25),1)&lt;=P25*$E$5),"Масштабувати",IF(AND(N(K25)&gt;0,H25/MAX(N(K25),1)&lt;=P25),"В цілі",IF(R25&gt;='Спенд без лідів'!$H$5,"Рано судити",IF(R25&gt;='Спенд без лідів'!$H$6,"Під питанням",IF(R25&gt;='Спенд без лідів'!$H$7,"Вимикати","Давно треба було"))))))</f>
        <v/>
      </c>
      <c r="T25" s="26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8" hidden="false" customHeight="true" outlineLevel="0" collapsed="false">
      <c r="A26" s="1"/>
      <c r="B26" s="26"/>
      <c r="C26" s="35"/>
      <c r="D26" s="8"/>
      <c r="E26" s="26"/>
      <c r="F26" s="8"/>
      <c r="G26" s="26"/>
      <c r="H26" s="27"/>
      <c r="I26" s="36"/>
      <c r="J26" s="36"/>
      <c r="K26" s="36"/>
      <c r="L26" s="37" t="str">
        <f aca="false">IF($H26="","",IFERROR(J26/I26,""))</f>
        <v/>
      </c>
      <c r="M26" s="30" t="str">
        <f aca="false">IF($H26="","",IFERROR(H26/J26,""))</f>
        <v/>
      </c>
      <c r="N26" s="30" t="str">
        <f aca="false">IF($H26="","",IFERROR(H26/I26*1000,""))</f>
        <v/>
      </c>
      <c r="O26" s="30" t="str">
        <f aca="false">IF($H26="","",IFERROR(H26/K26,"—"))</f>
        <v/>
      </c>
      <c r="P26" s="30" t="str">
        <f aca="false">IF($H26="","",IFERROR(INDEX('Гео-калькулятор'!$K$7:$K$13,MATCH($D26,'Гео-калькулятор'!$B$7:$B$13,0)),""))</f>
        <v/>
      </c>
      <c r="Q26" s="38" t="str">
        <f aca="false">IF($H26="","",IFERROR(O26/P26,""))</f>
        <v/>
      </c>
      <c r="R26" s="38" t="str">
        <f aca="false">IF(OR($H26="",P26=""),"",POISSON(N(K26),H26/P26,TRUE()))</f>
        <v/>
      </c>
      <c r="S26" s="51" t="str">
        <f aca="false">IF(R26="","",IF(AND(N(K26)&gt;=$H$5,H26/MAX(N(K26),1)&lt;=P26*$E$5),"Масштабувати",IF(AND(N(K26)&gt;0,H26/MAX(N(K26),1)&lt;=P26),"В цілі",IF(R26&gt;='Спенд без лідів'!$H$5,"Рано судити",IF(R26&gt;='Спенд без лідів'!$H$6,"Під питанням",IF(R26&gt;='Спенд без лідів'!$H$7,"Вимикати","Давно треба було"))))))</f>
        <v/>
      </c>
      <c r="T26" s="2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8" hidden="false" customHeight="true" outlineLevel="0" collapsed="false">
      <c r="A27" s="1"/>
      <c r="B27" s="26"/>
      <c r="C27" s="35"/>
      <c r="D27" s="8"/>
      <c r="E27" s="26"/>
      <c r="F27" s="8"/>
      <c r="G27" s="26"/>
      <c r="H27" s="27"/>
      <c r="I27" s="36"/>
      <c r="J27" s="36"/>
      <c r="K27" s="36"/>
      <c r="L27" s="37" t="str">
        <f aca="false">IF($H27="","",IFERROR(J27/I27,""))</f>
        <v/>
      </c>
      <c r="M27" s="30" t="str">
        <f aca="false">IF($H27="","",IFERROR(H27/J27,""))</f>
        <v/>
      </c>
      <c r="N27" s="30" t="str">
        <f aca="false">IF($H27="","",IFERROR(H27/I27*1000,""))</f>
        <v/>
      </c>
      <c r="O27" s="30" t="str">
        <f aca="false">IF($H27="","",IFERROR(H27/K27,"—"))</f>
        <v/>
      </c>
      <c r="P27" s="30" t="str">
        <f aca="false">IF($H27="","",IFERROR(INDEX('Гео-калькулятор'!$K$7:$K$13,MATCH($D27,'Гео-калькулятор'!$B$7:$B$13,0)),""))</f>
        <v/>
      </c>
      <c r="Q27" s="38" t="str">
        <f aca="false">IF($H27="","",IFERROR(O27/P27,""))</f>
        <v/>
      </c>
      <c r="R27" s="38" t="str">
        <f aca="false">IF(OR($H27="",P27=""),"",POISSON(N(K27),H27/P27,TRUE()))</f>
        <v/>
      </c>
      <c r="S27" s="51" t="str">
        <f aca="false">IF(R27="","",IF(AND(N(K27)&gt;=$H$5,H27/MAX(N(K27),1)&lt;=P27*$E$5),"Масштабувати",IF(AND(N(K27)&gt;0,H27/MAX(N(K27),1)&lt;=P27),"В цілі",IF(R27&gt;='Спенд без лідів'!$H$5,"Рано судити",IF(R27&gt;='Спенд без лідів'!$H$6,"Під питанням",IF(R27&gt;='Спенд без лідів'!$H$7,"Вимикати","Давно треба було"))))))</f>
        <v/>
      </c>
      <c r="T27" s="26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8" hidden="false" customHeight="true" outlineLevel="0" collapsed="false">
      <c r="A28" s="1"/>
      <c r="B28" s="26"/>
      <c r="C28" s="35"/>
      <c r="D28" s="8"/>
      <c r="E28" s="26"/>
      <c r="F28" s="8"/>
      <c r="G28" s="26"/>
      <c r="H28" s="27"/>
      <c r="I28" s="36"/>
      <c r="J28" s="36"/>
      <c r="K28" s="36"/>
      <c r="L28" s="37" t="str">
        <f aca="false">IF($H28="","",IFERROR(J28/I28,""))</f>
        <v/>
      </c>
      <c r="M28" s="30" t="str">
        <f aca="false">IF($H28="","",IFERROR(H28/J28,""))</f>
        <v/>
      </c>
      <c r="N28" s="30" t="str">
        <f aca="false">IF($H28="","",IFERROR(H28/I28*1000,""))</f>
        <v/>
      </c>
      <c r="O28" s="30" t="str">
        <f aca="false">IF($H28="","",IFERROR(H28/K28,"—"))</f>
        <v/>
      </c>
      <c r="P28" s="30" t="str">
        <f aca="false">IF($H28="","",IFERROR(INDEX('Гео-калькулятор'!$K$7:$K$13,MATCH($D28,'Гео-калькулятор'!$B$7:$B$13,0)),""))</f>
        <v/>
      </c>
      <c r="Q28" s="38" t="str">
        <f aca="false">IF($H28="","",IFERROR(O28/P28,""))</f>
        <v/>
      </c>
      <c r="R28" s="38" t="str">
        <f aca="false">IF(OR($H28="",P28=""),"",POISSON(N(K28),H28/P28,TRUE()))</f>
        <v/>
      </c>
      <c r="S28" s="51" t="str">
        <f aca="false">IF(R28="","",IF(AND(N(K28)&gt;=$H$5,H28/MAX(N(K28),1)&lt;=P28*$E$5),"Масштабувати",IF(AND(N(K28)&gt;0,H28/MAX(N(K28),1)&lt;=P28),"В цілі",IF(R28&gt;='Спенд без лідів'!$H$5,"Рано судити",IF(R28&gt;='Спенд без лідів'!$H$6,"Під питанням",IF(R28&gt;='Спенд без лідів'!$H$7,"Вимикати","Давно треба було"))))))</f>
        <v/>
      </c>
      <c r="T28" s="2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8" hidden="false" customHeight="true" outlineLevel="0" collapsed="false">
      <c r="A29" s="1"/>
      <c r="B29" s="26"/>
      <c r="C29" s="35"/>
      <c r="D29" s="8"/>
      <c r="E29" s="26"/>
      <c r="F29" s="8"/>
      <c r="G29" s="26"/>
      <c r="H29" s="27"/>
      <c r="I29" s="36"/>
      <c r="J29" s="36"/>
      <c r="K29" s="36"/>
      <c r="L29" s="37" t="str">
        <f aca="false">IF($H29="","",IFERROR(J29/I29,""))</f>
        <v/>
      </c>
      <c r="M29" s="30" t="str">
        <f aca="false">IF($H29="","",IFERROR(H29/J29,""))</f>
        <v/>
      </c>
      <c r="N29" s="30" t="str">
        <f aca="false">IF($H29="","",IFERROR(H29/I29*1000,""))</f>
        <v/>
      </c>
      <c r="O29" s="30" t="str">
        <f aca="false">IF($H29="","",IFERROR(H29/K29,"—"))</f>
        <v/>
      </c>
      <c r="P29" s="30" t="str">
        <f aca="false">IF($H29="","",IFERROR(INDEX('Гео-калькулятор'!$K$7:$K$13,MATCH($D29,'Гео-калькулятор'!$B$7:$B$13,0)),""))</f>
        <v/>
      </c>
      <c r="Q29" s="38" t="str">
        <f aca="false">IF($H29="","",IFERROR(O29/P29,""))</f>
        <v/>
      </c>
      <c r="R29" s="38" t="str">
        <f aca="false">IF(OR($H29="",P29=""),"",POISSON(N(K29),H29/P29,TRUE()))</f>
        <v/>
      </c>
      <c r="S29" s="51" t="str">
        <f aca="false">IF(R29="","",IF(AND(N(K29)&gt;=$H$5,H29/MAX(N(K29),1)&lt;=P29*$E$5),"Масштабувати",IF(AND(N(K29)&gt;0,H29/MAX(N(K29),1)&lt;=P29),"В цілі",IF(R29&gt;='Спенд без лідів'!$H$5,"Рано судити",IF(R29&gt;='Спенд без лідів'!$H$6,"Під питанням",IF(R29&gt;='Спенд без лідів'!$H$7,"Вимикати","Давно треба було"))))))</f>
        <v/>
      </c>
      <c r="T29" s="26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8" hidden="false" customHeight="true" outlineLevel="0" collapsed="false">
      <c r="A30" s="1"/>
      <c r="B30" s="26"/>
      <c r="C30" s="35"/>
      <c r="D30" s="8"/>
      <c r="E30" s="26"/>
      <c r="F30" s="8"/>
      <c r="G30" s="26"/>
      <c r="H30" s="27"/>
      <c r="I30" s="36"/>
      <c r="J30" s="36"/>
      <c r="K30" s="36"/>
      <c r="L30" s="37" t="str">
        <f aca="false">IF($H30="","",IFERROR(J30/I30,""))</f>
        <v/>
      </c>
      <c r="M30" s="30" t="str">
        <f aca="false">IF($H30="","",IFERROR(H30/J30,""))</f>
        <v/>
      </c>
      <c r="N30" s="30" t="str">
        <f aca="false">IF($H30="","",IFERROR(H30/I30*1000,""))</f>
        <v/>
      </c>
      <c r="O30" s="30" t="str">
        <f aca="false">IF($H30="","",IFERROR(H30/K30,"—"))</f>
        <v/>
      </c>
      <c r="P30" s="30" t="str">
        <f aca="false">IF($H30="","",IFERROR(INDEX('Гео-калькулятор'!$K$7:$K$13,MATCH($D30,'Гео-калькулятор'!$B$7:$B$13,0)),""))</f>
        <v/>
      </c>
      <c r="Q30" s="38" t="str">
        <f aca="false">IF($H30="","",IFERROR(O30/P30,""))</f>
        <v/>
      </c>
      <c r="R30" s="38" t="str">
        <f aca="false">IF(OR($H30="",P30=""),"",POISSON(N(K30),H30/P30,TRUE()))</f>
        <v/>
      </c>
      <c r="S30" s="51" t="str">
        <f aca="false">IF(R30="","",IF(AND(N(K30)&gt;=$H$5,H30/MAX(N(K30),1)&lt;=P30*$E$5),"Масштабувати",IF(AND(N(K30)&gt;0,H30/MAX(N(K30),1)&lt;=P30),"В цілі",IF(R30&gt;='Спенд без лідів'!$H$5,"Рано судити",IF(R30&gt;='Спенд без лідів'!$H$6,"Під питанням",IF(R30&gt;='Спенд без лідів'!$H$7,"Вимикати","Давно треба було"))))))</f>
        <v/>
      </c>
      <c r="T30" s="2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8" hidden="false" customHeight="true" outlineLevel="0" collapsed="false">
      <c r="A31" s="1"/>
      <c r="B31" s="26"/>
      <c r="C31" s="35"/>
      <c r="D31" s="8"/>
      <c r="E31" s="26"/>
      <c r="F31" s="8"/>
      <c r="G31" s="26"/>
      <c r="H31" s="27"/>
      <c r="I31" s="36"/>
      <c r="J31" s="36"/>
      <c r="K31" s="36"/>
      <c r="L31" s="37" t="str">
        <f aca="false">IF($H31="","",IFERROR(J31/I31,""))</f>
        <v/>
      </c>
      <c r="M31" s="30" t="str">
        <f aca="false">IF($H31="","",IFERROR(H31/J31,""))</f>
        <v/>
      </c>
      <c r="N31" s="30" t="str">
        <f aca="false">IF($H31="","",IFERROR(H31/I31*1000,""))</f>
        <v/>
      </c>
      <c r="O31" s="30" t="str">
        <f aca="false">IF($H31="","",IFERROR(H31/K31,"—"))</f>
        <v/>
      </c>
      <c r="P31" s="30" t="str">
        <f aca="false">IF($H31="","",IFERROR(INDEX('Гео-калькулятор'!$K$7:$K$13,MATCH($D31,'Гео-калькулятор'!$B$7:$B$13,0)),""))</f>
        <v/>
      </c>
      <c r="Q31" s="38" t="str">
        <f aca="false">IF($H31="","",IFERROR(O31/P31,""))</f>
        <v/>
      </c>
      <c r="R31" s="38" t="str">
        <f aca="false">IF(OR($H31="",P31=""),"",POISSON(N(K31),H31/P31,TRUE()))</f>
        <v/>
      </c>
      <c r="S31" s="51" t="str">
        <f aca="false">IF(R31="","",IF(AND(N(K31)&gt;=$H$5,H31/MAX(N(K31),1)&lt;=P31*$E$5),"Масштабувати",IF(AND(N(K31)&gt;0,H31/MAX(N(K31),1)&lt;=P31),"В цілі",IF(R31&gt;='Спенд без лідів'!$H$5,"Рано судити",IF(R31&gt;='Спенд без лідів'!$H$6,"Під питанням",IF(R31&gt;='Спенд без лідів'!$H$7,"Вимикати","Давно треба було"))))))</f>
        <v/>
      </c>
      <c r="T31" s="26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8" hidden="false" customHeight="true" outlineLevel="0" collapsed="false">
      <c r="A32" s="1"/>
      <c r="B32" s="26"/>
      <c r="C32" s="35"/>
      <c r="D32" s="8"/>
      <c r="E32" s="26"/>
      <c r="F32" s="8"/>
      <c r="G32" s="26"/>
      <c r="H32" s="27"/>
      <c r="I32" s="36"/>
      <c r="J32" s="36"/>
      <c r="K32" s="36"/>
      <c r="L32" s="37" t="str">
        <f aca="false">IF($H32="","",IFERROR(J32/I32,""))</f>
        <v/>
      </c>
      <c r="M32" s="30" t="str">
        <f aca="false">IF($H32="","",IFERROR(H32/J32,""))</f>
        <v/>
      </c>
      <c r="N32" s="30" t="str">
        <f aca="false">IF($H32="","",IFERROR(H32/I32*1000,""))</f>
        <v/>
      </c>
      <c r="O32" s="30" t="str">
        <f aca="false">IF($H32="","",IFERROR(H32/K32,"—"))</f>
        <v/>
      </c>
      <c r="P32" s="30" t="str">
        <f aca="false">IF($H32="","",IFERROR(INDEX('Гео-калькулятор'!$K$7:$K$13,MATCH($D32,'Гео-калькулятор'!$B$7:$B$13,0)),""))</f>
        <v/>
      </c>
      <c r="Q32" s="38" t="str">
        <f aca="false">IF($H32="","",IFERROR(O32/P32,""))</f>
        <v/>
      </c>
      <c r="R32" s="38" t="str">
        <f aca="false">IF(OR($H32="",P32=""),"",POISSON(N(K32),H32/P32,TRUE()))</f>
        <v/>
      </c>
      <c r="S32" s="51" t="str">
        <f aca="false">IF(R32="","",IF(AND(N(K32)&gt;=$H$5,H32/MAX(N(K32),1)&lt;=P32*$E$5),"Масштабувати",IF(AND(N(K32)&gt;0,H32/MAX(N(K32),1)&lt;=P32),"В цілі",IF(R32&gt;='Спенд без лідів'!$H$5,"Рано судити",IF(R32&gt;='Спенд без лідів'!$H$6,"Під питанням",IF(R32&gt;='Спенд без лідів'!$H$7,"Вимикати","Давно треба було"))))))</f>
        <v/>
      </c>
      <c r="T32" s="2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8" hidden="false" customHeight="true" outlineLevel="0" collapsed="false">
      <c r="A33" s="1"/>
      <c r="B33" s="26"/>
      <c r="C33" s="35"/>
      <c r="D33" s="8"/>
      <c r="E33" s="26"/>
      <c r="F33" s="8"/>
      <c r="G33" s="26"/>
      <c r="H33" s="27"/>
      <c r="I33" s="36"/>
      <c r="J33" s="36"/>
      <c r="K33" s="36"/>
      <c r="L33" s="37" t="str">
        <f aca="false">IF($H33="","",IFERROR(J33/I33,""))</f>
        <v/>
      </c>
      <c r="M33" s="30" t="str">
        <f aca="false">IF($H33="","",IFERROR(H33/J33,""))</f>
        <v/>
      </c>
      <c r="N33" s="30" t="str">
        <f aca="false">IF($H33="","",IFERROR(H33/I33*1000,""))</f>
        <v/>
      </c>
      <c r="O33" s="30" t="str">
        <f aca="false">IF($H33="","",IFERROR(H33/K33,"—"))</f>
        <v/>
      </c>
      <c r="P33" s="30" t="str">
        <f aca="false">IF($H33="","",IFERROR(INDEX('Гео-калькулятор'!$K$7:$K$13,MATCH($D33,'Гео-калькулятор'!$B$7:$B$13,0)),""))</f>
        <v/>
      </c>
      <c r="Q33" s="38" t="str">
        <f aca="false">IF($H33="","",IFERROR(O33/P33,""))</f>
        <v/>
      </c>
      <c r="R33" s="38" t="str">
        <f aca="false">IF(OR($H33="",P33=""),"",POISSON(N(K33),H33/P33,TRUE()))</f>
        <v/>
      </c>
      <c r="S33" s="51" t="str">
        <f aca="false">IF(R33="","",IF(AND(N(K33)&gt;=$H$5,H33/MAX(N(K33),1)&lt;=P33*$E$5),"Масштабувати",IF(AND(N(K33)&gt;0,H33/MAX(N(K33),1)&lt;=P33),"В цілі",IF(R33&gt;='Спенд без лідів'!$H$5,"Рано судити",IF(R33&gt;='Спенд без лідів'!$H$6,"Під питанням",IF(R33&gt;='Спенд без лідів'!$H$7,"Вимикати","Давно треба було"))))))</f>
        <v/>
      </c>
      <c r="T33" s="26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8" hidden="false" customHeight="true" outlineLevel="0" collapsed="false">
      <c r="A34" s="1"/>
      <c r="B34" s="26"/>
      <c r="C34" s="35"/>
      <c r="D34" s="8"/>
      <c r="E34" s="26"/>
      <c r="F34" s="8"/>
      <c r="G34" s="26"/>
      <c r="H34" s="27"/>
      <c r="I34" s="36"/>
      <c r="J34" s="36"/>
      <c r="K34" s="36"/>
      <c r="L34" s="37" t="str">
        <f aca="false">IF($H34="","",IFERROR(J34/I34,""))</f>
        <v/>
      </c>
      <c r="M34" s="30" t="str">
        <f aca="false">IF($H34="","",IFERROR(H34/J34,""))</f>
        <v/>
      </c>
      <c r="N34" s="30" t="str">
        <f aca="false">IF($H34="","",IFERROR(H34/I34*1000,""))</f>
        <v/>
      </c>
      <c r="O34" s="30" t="str">
        <f aca="false">IF($H34="","",IFERROR(H34/K34,"—"))</f>
        <v/>
      </c>
      <c r="P34" s="30" t="str">
        <f aca="false">IF($H34="","",IFERROR(INDEX('Гео-калькулятор'!$K$7:$K$13,MATCH($D34,'Гео-калькулятор'!$B$7:$B$13,0)),""))</f>
        <v/>
      </c>
      <c r="Q34" s="38" t="str">
        <f aca="false">IF($H34="","",IFERROR(O34/P34,""))</f>
        <v/>
      </c>
      <c r="R34" s="38" t="str">
        <f aca="false">IF(OR($H34="",P34=""),"",POISSON(N(K34),H34/P34,TRUE()))</f>
        <v/>
      </c>
      <c r="S34" s="51" t="str">
        <f aca="false">IF(R34="","",IF(AND(N(K34)&gt;=$H$5,H34/MAX(N(K34),1)&lt;=P34*$E$5),"Масштабувати",IF(AND(N(K34)&gt;0,H34/MAX(N(K34),1)&lt;=P34),"В цілі",IF(R34&gt;='Спенд без лідів'!$H$5,"Рано судити",IF(R34&gt;='Спенд без лідів'!$H$6,"Під питанням",IF(R34&gt;='Спенд без лідів'!$H$7,"Вимикати","Давно треба було"))))))</f>
        <v/>
      </c>
      <c r="T34" s="2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8" hidden="false" customHeight="true" outlineLevel="0" collapsed="false">
      <c r="A35" s="1"/>
      <c r="B35" s="26"/>
      <c r="C35" s="35"/>
      <c r="D35" s="8"/>
      <c r="E35" s="26"/>
      <c r="F35" s="8"/>
      <c r="G35" s="26"/>
      <c r="H35" s="27"/>
      <c r="I35" s="36"/>
      <c r="J35" s="36"/>
      <c r="K35" s="36"/>
      <c r="L35" s="37" t="str">
        <f aca="false">IF($H35="","",IFERROR(J35/I35,""))</f>
        <v/>
      </c>
      <c r="M35" s="30" t="str">
        <f aca="false">IF($H35="","",IFERROR(H35/J35,""))</f>
        <v/>
      </c>
      <c r="N35" s="30" t="str">
        <f aca="false">IF($H35="","",IFERROR(H35/I35*1000,""))</f>
        <v/>
      </c>
      <c r="O35" s="30" t="str">
        <f aca="false">IF($H35="","",IFERROR(H35/K35,"—"))</f>
        <v/>
      </c>
      <c r="P35" s="30" t="str">
        <f aca="false">IF($H35="","",IFERROR(INDEX('Гео-калькулятор'!$K$7:$K$13,MATCH($D35,'Гео-калькулятор'!$B$7:$B$13,0)),""))</f>
        <v/>
      </c>
      <c r="Q35" s="38" t="str">
        <f aca="false">IF($H35="","",IFERROR(O35/P35,""))</f>
        <v/>
      </c>
      <c r="R35" s="38" t="str">
        <f aca="false">IF(OR($H35="",P35=""),"",POISSON(N(K35),H35/P35,TRUE()))</f>
        <v/>
      </c>
      <c r="S35" s="51" t="str">
        <f aca="false">IF(R35="","",IF(AND(N(K35)&gt;=$H$5,H35/MAX(N(K35),1)&lt;=P35*$E$5),"Масштабувати",IF(AND(N(K35)&gt;0,H35/MAX(N(K35),1)&lt;=P35),"В цілі",IF(R35&gt;='Спенд без лідів'!$H$5,"Рано судити",IF(R35&gt;='Спенд без лідів'!$H$6,"Під питанням",IF(R35&gt;='Спенд без лідів'!$H$7,"Вимикати","Давно треба було"))))))</f>
        <v/>
      </c>
      <c r="T35" s="26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8" hidden="false" customHeight="true" outlineLevel="0" collapsed="false">
      <c r="A36" s="1"/>
      <c r="B36" s="26"/>
      <c r="C36" s="35"/>
      <c r="D36" s="8"/>
      <c r="E36" s="26"/>
      <c r="F36" s="8"/>
      <c r="G36" s="26"/>
      <c r="H36" s="27"/>
      <c r="I36" s="36"/>
      <c r="J36" s="36"/>
      <c r="K36" s="36"/>
      <c r="L36" s="37" t="str">
        <f aca="false">IF($H36="","",IFERROR(J36/I36,""))</f>
        <v/>
      </c>
      <c r="M36" s="30" t="str">
        <f aca="false">IF($H36="","",IFERROR(H36/J36,""))</f>
        <v/>
      </c>
      <c r="N36" s="30" t="str">
        <f aca="false">IF($H36="","",IFERROR(H36/I36*1000,""))</f>
        <v/>
      </c>
      <c r="O36" s="30" t="str">
        <f aca="false">IF($H36="","",IFERROR(H36/K36,"—"))</f>
        <v/>
      </c>
      <c r="P36" s="30" t="str">
        <f aca="false">IF($H36="","",IFERROR(INDEX('Гео-калькулятор'!$K$7:$K$13,MATCH($D36,'Гео-калькулятор'!$B$7:$B$13,0)),""))</f>
        <v/>
      </c>
      <c r="Q36" s="38" t="str">
        <f aca="false">IF($H36="","",IFERROR(O36/P36,""))</f>
        <v/>
      </c>
      <c r="R36" s="38" t="str">
        <f aca="false">IF(OR($H36="",P36=""),"",POISSON(N(K36),H36/P36,TRUE()))</f>
        <v/>
      </c>
      <c r="S36" s="51" t="str">
        <f aca="false">IF(R36="","",IF(AND(N(K36)&gt;=$H$5,H36/MAX(N(K36),1)&lt;=P36*$E$5),"Масштабувати",IF(AND(N(K36)&gt;0,H36/MAX(N(K36),1)&lt;=P36),"В цілі",IF(R36&gt;='Спенд без лідів'!$H$5,"Рано судити",IF(R36&gt;='Спенд без лідів'!$H$6,"Під питанням",IF(R36&gt;='Спенд без лідів'!$H$7,"Вимикати","Давно треба було"))))))</f>
        <v/>
      </c>
      <c r="T36" s="2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8" hidden="false" customHeight="true" outlineLevel="0" collapsed="false">
      <c r="A37" s="1"/>
      <c r="B37" s="26"/>
      <c r="C37" s="35"/>
      <c r="D37" s="8"/>
      <c r="E37" s="26"/>
      <c r="F37" s="8"/>
      <c r="G37" s="26"/>
      <c r="H37" s="27"/>
      <c r="I37" s="36"/>
      <c r="J37" s="36"/>
      <c r="K37" s="36"/>
      <c r="L37" s="37" t="str">
        <f aca="false">IF($H37="","",IFERROR(J37/I37,""))</f>
        <v/>
      </c>
      <c r="M37" s="30" t="str">
        <f aca="false">IF($H37="","",IFERROR(H37/J37,""))</f>
        <v/>
      </c>
      <c r="N37" s="30" t="str">
        <f aca="false">IF($H37="","",IFERROR(H37/I37*1000,""))</f>
        <v/>
      </c>
      <c r="O37" s="30" t="str">
        <f aca="false">IF($H37="","",IFERROR(H37/K37,"—"))</f>
        <v/>
      </c>
      <c r="P37" s="30" t="str">
        <f aca="false">IF($H37="","",IFERROR(INDEX('Гео-калькулятор'!$K$7:$K$13,MATCH($D37,'Гео-калькулятор'!$B$7:$B$13,0)),""))</f>
        <v/>
      </c>
      <c r="Q37" s="38" t="str">
        <f aca="false">IF($H37="","",IFERROR(O37/P37,""))</f>
        <v/>
      </c>
      <c r="R37" s="38" t="str">
        <f aca="false">IF(OR($H37="",P37=""),"",POISSON(N(K37),H37/P37,TRUE()))</f>
        <v/>
      </c>
      <c r="S37" s="51" t="str">
        <f aca="false">IF(R37="","",IF(AND(N(K37)&gt;=$H$5,H37/MAX(N(K37),1)&lt;=P37*$E$5),"Масштабувати",IF(AND(N(K37)&gt;0,H37/MAX(N(K37),1)&lt;=P37),"В цілі",IF(R37&gt;='Спенд без лідів'!$H$5,"Рано судити",IF(R37&gt;='Спенд без лідів'!$H$6,"Під питанням",IF(R37&gt;='Спенд без лідів'!$H$7,"Вимикати","Давно треба було"))))))</f>
        <v/>
      </c>
      <c r="T37" s="26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8" hidden="false" customHeight="true" outlineLevel="0" collapsed="false">
      <c r="A38" s="1"/>
      <c r="B38" s="26"/>
      <c r="C38" s="35"/>
      <c r="D38" s="8"/>
      <c r="E38" s="26"/>
      <c r="F38" s="8"/>
      <c r="G38" s="26"/>
      <c r="H38" s="27"/>
      <c r="I38" s="36"/>
      <c r="J38" s="36"/>
      <c r="K38" s="36"/>
      <c r="L38" s="37" t="str">
        <f aca="false">IF($H38="","",IFERROR(J38/I38,""))</f>
        <v/>
      </c>
      <c r="M38" s="30" t="str">
        <f aca="false">IF($H38="","",IFERROR(H38/J38,""))</f>
        <v/>
      </c>
      <c r="N38" s="30" t="str">
        <f aca="false">IF($H38="","",IFERROR(H38/I38*1000,""))</f>
        <v/>
      </c>
      <c r="O38" s="30" t="str">
        <f aca="false">IF($H38="","",IFERROR(H38/K38,"—"))</f>
        <v/>
      </c>
      <c r="P38" s="30" t="str">
        <f aca="false">IF($H38="","",IFERROR(INDEX('Гео-калькулятор'!$K$7:$K$13,MATCH($D38,'Гео-калькулятор'!$B$7:$B$13,0)),""))</f>
        <v/>
      </c>
      <c r="Q38" s="38" t="str">
        <f aca="false">IF($H38="","",IFERROR(O38/P38,""))</f>
        <v/>
      </c>
      <c r="R38" s="38" t="str">
        <f aca="false">IF(OR($H38="",P38=""),"",POISSON(N(K38),H38/P38,TRUE()))</f>
        <v/>
      </c>
      <c r="S38" s="51" t="str">
        <f aca="false">IF(R38="","",IF(AND(N(K38)&gt;=$H$5,H38/MAX(N(K38),1)&lt;=P38*$E$5),"Масштабувати",IF(AND(N(K38)&gt;0,H38/MAX(N(K38),1)&lt;=P38),"В цілі",IF(R38&gt;='Спенд без лідів'!$H$5,"Рано судити",IF(R38&gt;='Спенд без лідів'!$H$6,"Під питанням",IF(R38&gt;='Спенд без лідів'!$H$7,"Вимикати","Давно треба було"))))))</f>
        <v/>
      </c>
      <c r="T38" s="2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8" hidden="false" customHeight="true" outlineLevel="0" collapsed="false">
      <c r="A39" s="1"/>
      <c r="B39" s="26"/>
      <c r="C39" s="35"/>
      <c r="D39" s="8"/>
      <c r="E39" s="26"/>
      <c r="F39" s="8"/>
      <c r="G39" s="26"/>
      <c r="H39" s="27"/>
      <c r="I39" s="36"/>
      <c r="J39" s="36"/>
      <c r="K39" s="36"/>
      <c r="L39" s="37" t="str">
        <f aca="false">IF($H39="","",IFERROR(J39/I39,""))</f>
        <v/>
      </c>
      <c r="M39" s="30" t="str">
        <f aca="false">IF($H39="","",IFERROR(H39/J39,""))</f>
        <v/>
      </c>
      <c r="N39" s="30" t="str">
        <f aca="false">IF($H39="","",IFERROR(H39/I39*1000,""))</f>
        <v/>
      </c>
      <c r="O39" s="30" t="str">
        <f aca="false">IF($H39="","",IFERROR(H39/K39,"—"))</f>
        <v/>
      </c>
      <c r="P39" s="30" t="str">
        <f aca="false">IF($H39="","",IFERROR(INDEX('Гео-калькулятор'!$K$7:$K$13,MATCH($D39,'Гео-калькулятор'!$B$7:$B$13,0)),""))</f>
        <v/>
      </c>
      <c r="Q39" s="38" t="str">
        <f aca="false">IF($H39="","",IFERROR(O39/P39,""))</f>
        <v/>
      </c>
      <c r="R39" s="38" t="str">
        <f aca="false">IF(OR($H39="",P39=""),"",POISSON(N(K39),H39/P39,TRUE()))</f>
        <v/>
      </c>
      <c r="S39" s="51" t="str">
        <f aca="false">IF(R39="","",IF(AND(N(K39)&gt;=$H$5,H39/MAX(N(K39),1)&lt;=P39*$E$5),"Масштабувати",IF(AND(N(K39)&gt;0,H39/MAX(N(K39),1)&lt;=P39),"В цілі",IF(R39&gt;='Спенд без лідів'!$H$5,"Рано судити",IF(R39&gt;='Спенд без лідів'!$H$6,"Під питанням",IF(R39&gt;='Спенд без лідів'!$H$7,"Вимикати","Давно треба було"))))))</f>
        <v/>
      </c>
      <c r="T39" s="26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8" hidden="false" customHeight="true" outlineLevel="0" collapsed="false">
      <c r="A40" s="1"/>
      <c r="B40" s="26"/>
      <c r="C40" s="35"/>
      <c r="D40" s="8"/>
      <c r="E40" s="26"/>
      <c r="F40" s="8"/>
      <c r="G40" s="26"/>
      <c r="H40" s="27"/>
      <c r="I40" s="36"/>
      <c r="J40" s="36"/>
      <c r="K40" s="36"/>
      <c r="L40" s="37" t="str">
        <f aca="false">IF($H40="","",IFERROR(J40/I40,""))</f>
        <v/>
      </c>
      <c r="M40" s="30" t="str">
        <f aca="false">IF($H40="","",IFERROR(H40/J40,""))</f>
        <v/>
      </c>
      <c r="N40" s="30" t="str">
        <f aca="false">IF($H40="","",IFERROR(H40/I40*1000,""))</f>
        <v/>
      </c>
      <c r="O40" s="30" t="str">
        <f aca="false">IF($H40="","",IFERROR(H40/K40,"—"))</f>
        <v/>
      </c>
      <c r="P40" s="30" t="str">
        <f aca="false">IF($H40="","",IFERROR(INDEX('Гео-калькулятор'!$K$7:$K$13,MATCH($D40,'Гео-калькулятор'!$B$7:$B$13,0)),""))</f>
        <v/>
      </c>
      <c r="Q40" s="38" t="str">
        <f aca="false">IF($H40="","",IFERROR(O40/P40,""))</f>
        <v/>
      </c>
      <c r="R40" s="38" t="str">
        <f aca="false">IF(OR($H40="",P40=""),"",POISSON(N(K40),H40/P40,TRUE()))</f>
        <v/>
      </c>
      <c r="S40" s="51" t="str">
        <f aca="false">IF(R40="","",IF(AND(N(K40)&gt;=$H$5,H40/MAX(N(K40),1)&lt;=P40*$E$5),"Масштабувати",IF(AND(N(K40)&gt;0,H40/MAX(N(K40),1)&lt;=P40),"В цілі",IF(R40&gt;='Спенд без лідів'!$H$5,"Рано судити",IF(R40&gt;='Спенд без лідів'!$H$6,"Під питанням",IF(R40&gt;='Спенд без лідів'!$H$7,"Вимикати","Давно треба було"))))))</f>
        <v/>
      </c>
      <c r="T40" s="2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8" hidden="false" customHeight="true" outlineLevel="0" collapsed="false">
      <c r="A41" s="1"/>
      <c r="B41" s="26"/>
      <c r="C41" s="35"/>
      <c r="D41" s="8"/>
      <c r="E41" s="26"/>
      <c r="F41" s="8"/>
      <c r="G41" s="26"/>
      <c r="H41" s="27"/>
      <c r="I41" s="36"/>
      <c r="J41" s="36"/>
      <c r="K41" s="36"/>
      <c r="L41" s="37" t="str">
        <f aca="false">IF($H41="","",IFERROR(J41/I41,""))</f>
        <v/>
      </c>
      <c r="M41" s="30" t="str">
        <f aca="false">IF($H41="","",IFERROR(H41/J41,""))</f>
        <v/>
      </c>
      <c r="N41" s="30" t="str">
        <f aca="false">IF($H41="","",IFERROR(H41/I41*1000,""))</f>
        <v/>
      </c>
      <c r="O41" s="30" t="str">
        <f aca="false">IF($H41="","",IFERROR(H41/K41,"—"))</f>
        <v/>
      </c>
      <c r="P41" s="30" t="str">
        <f aca="false">IF($H41="","",IFERROR(INDEX('Гео-калькулятор'!$K$7:$K$13,MATCH($D41,'Гео-калькулятор'!$B$7:$B$13,0)),""))</f>
        <v/>
      </c>
      <c r="Q41" s="38" t="str">
        <f aca="false">IF($H41="","",IFERROR(O41/P41,""))</f>
        <v/>
      </c>
      <c r="R41" s="38" t="str">
        <f aca="false">IF(OR($H41="",P41=""),"",POISSON(N(K41),H41/P41,TRUE()))</f>
        <v/>
      </c>
      <c r="S41" s="51" t="str">
        <f aca="false">IF(R41="","",IF(AND(N(K41)&gt;=$H$5,H41/MAX(N(K41),1)&lt;=P41*$E$5),"Масштабувати",IF(AND(N(K41)&gt;0,H41/MAX(N(K41),1)&lt;=P41),"В цілі",IF(R41&gt;='Спенд без лідів'!$H$5,"Рано судити",IF(R41&gt;='Спенд без лідів'!$H$6,"Під питанням",IF(R41&gt;='Спенд без лідів'!$H$7,"Вимикати","Давно треба було"))))))</f>
        <v/>
      </c>
      <c r="T41" s="26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8" hidden="false" customHeight="true" outlineLevel="0" collapsed="false">
      <c r="A42" s="1"/>
      <c r="B42" s="26"/>
      <c r="C42" s="35"/>
      <c r="D42" s="8"/>
      <c r="E42" s="26"/>
      <c r="F42" s="8"/>
      <c r="G42" s="26"/>
      <c r="H42" s="27"/>
      <c r="I42" s="36"/>
      <c r="J42" s="36"/>
      <c r="K42" s="36"/>
      <c r="L42" s="37" t="str">
        <f aca="false">IF($H42="","",IFERROR(J42/I42,""))</f>
        <v/>
      </c>
      <c r="M42" s="30" t="str">
        <f aca="false">IF($H42="","",IFERROR(H42/J42,""))</f>
        <v/>
      </c>
      <c r="N42" s="30" t="str">
        <f aca="false">IF($H42="","",IFERROR(H42/I42*1000,""))</f>
        <v/>
      </c>
      <c r="O42" s="30" t="str">
        <f aca="false">IF($H42="","",IFERROR(H42/K42,"—"))</f>
        <v/>
      </c>
      <c r="P42" s="30" t="str">
        <f aca="false">IF($H42="","",IFERROR(INDEX('Гео-калькулятор'!$K$7:$K$13,MATCH($D42,'Гео-калькулятор'!$B$7:$B$13,0)),""))</f>
        <v/>
      </c>
      <c r="Q42" s="38" t="str">
        <f aca="false">IF($H42="","",IFERROR(O42/P42,""))</f>
        <v/>
      </c>
      <c r="R42" s="38" t="str">
        <f aca="false">IF(OR($H42="",P42=""),"",POISSON(N(K42),H42/P42,TRUE()))</f>
        <v/>
      </c>
      <c r="S42" s="51" t="str">
        <f aca="false">IF(R42="","",IF(AND(N(K42)&gt;=$H$5,H42/MAX(N(K42),1)&lt;=P42*$E$5),"Масштабувати",IF(AND(N(K42)&gt;0,H42/MAX(N(K42),1)&lt;=P42),"В цілі",IF(R42&gt;='Спенд без лідів'!$H$5,"Рано судити",IF(R42&gt;='Спенд без лідів'!$H$6,"Під питанням",IF(R42&gt;='Спенд без лідів'!$H$7,"Вимикати","Давно треба було"))))))</f>
        <v/>
      </c>
      <c r="T42" s="2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8" hidden="false" customHeight="true" outlineLevel="0" collapsed="false">
      <c r="A43" s="1"/>
      <c r="B43" s="26"/>
      <c r="C43" s="35"/>
      <c r="D43" s="8"/>
      <c r="E43" s="26"/>
      <c r="F43" s="8"/>
      <c r="G43" s="26"/>
      <c r="H43" s="27"/>
      <c r="I43" s="36"/>
      <c r="J43" s="36"/>
      <c r="K43" s="36"/>
      <c r="L43" s="37" t="str">
        <f aca="false">IF($H43="","",IFERROR(J43/I43,""))</f>
        <v/>
      </c>
      <c r="M43" s="30" t="str">
        <f aca="false">IF($H43="","",IFERROR(H43/J43,""))</f>
        <v/>
      </c>
      <c r="N43" s="30" t="str">
        <f aca="false">IF($H43="","",IFERROR(H43/I43*1000,""))</f>
        <v/>
      </c>
      <c r="O43" s="30" t="str">
        <f aca="false">IF($H43="","",IFERROR(H43/K43,"—"))</f>
        <v/>
      </c>
      <c r="P43" s="30" t="str">
        <f aca="false">IF($H43="","",IFERROR(INDEX('Гео-калькулятор'!$K$7:$K$13,MATCH($D43,'Гео-калькулятор'!$B$7:$B$13,0)),""))</f>
        <v/>
      </c>
      <c r="Q43" s="38" t="str">
        <f aca="false">IF($H43="","",IFERROR(O43/P43,""))</f>
        <v/>
      </c>
      <c r="R43" s="38" t="str">
        <f aca="false">IF(OR($H43="",P43=""),"",POISSON(N(K43),H43/P43,TRUE()))</f>
        <v/>
      </c>
      <c r="S43" s="51" t="str">
        <f aca="false">IF(R43="","",IF(AND(N(K43)&gt;=$H$5,H43/MAX(N(K43),1)&lt;=P43*$E$5),"Масштабувати",IF(AND(N(K43)&gt;0,H43/MAX(N(K43),1)&lt;=P43),"В цілі",IF(R43&gt;='Спенд без лідів'!$H$5,"Рано судити",IF(R43&gt;='Спенд без лідів'!$H$6,"Під питанням",IF(R43&gt;='Спенд без лідів'!$H$7,"Вимикати","Давно треба було"))))))</f>
        <v/>
      </c>
      <c r="T43" s="26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8" hidden="false" customHeight="true" outlineLevel="0" collapsed="false">
      <c r="A44" s="1"/>
      <c r="B44" s="26"/>
      <c r="C44" s="35"/>
      <c r="D44" s="8"/>
      <c r="E44" s="26"/>
      <c r="F44" s="8"/>
      <c r="G44" s="26"/>
      <c r="H44" s="27"/>
      <c r="I44" s="36"/>
      <c r="J44" s="36"/>
      <c r="K44" s="36"/>
      <c r="L44" s="37" t="str">
        <f aca="false">IF($H44="","",IFERROR(J44/I44,""))</f>
        <v/>
      </c>
      <c r="M44" s="30" t="str">
        <f aca="false">IF($H44="","",IFERROR(H44/J44,""))</f>
        <v/>
      </c>
      <c r="N44" s="30" t="str">
        <f aca="false">IF($H44="","",IFERROR(H44/I44*1000,""))</f>
        <v/>
      </c>
      <c r="O44" s="30" t="str">
        <f aca="false">IF($H44="","",IFERROR(H44/K44,"—"))</f>
        <v/>
      </c>
      <c r="P44" s="30" t="str">
        <f aca="false">IF($H44="","",IFERROR(INDEX('Гео-калькулятор'!$K$7:$K$13,MATCH($D44,'Гео-калькулятор'!$B$7:$B$13,0)),""))</f>
        <v/>
      </c>
      <c r="Q44" s="38" t="str">
        <f aca="false">IF($H44="","",IFERROR(O44/P44,""))</f>
        <v/>
      </c>
      <c r="R44" s="38" t="str">
        <f aca="false">IF(OR($H44="",P44=""),"",POISSON(N(K44),H44/P44,TRUE()))</f>
        <v/>
      </c>
      <c r="S44" s="51" t="str">
        <f aca="false">IF(R44="","",IF(AND(N(K44)&gt;=$H$5,H44/MAX(N(K44),1)&lt;=P44*$E$5),"Масштабувати",IF(AND(N(K44)&gt;0,H44/MAX(N(K44),1)&lt;=P44),"В цілі",IF(R44&gt;='Спенд без лідів'!$H$5,"Рано судити",IF(R44&gt;='Спенд без лідів'!$H$6,"Під питанням",IF(R44&gt;='Спенд без лідів'!$H$7,"Вимикати","Давно треба було"))))))</f>
        <v/>
      </c>
      <c r="T44" s="2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8" hidden="false" customHeight="true" outlineLevel="0" collapsed="false">
      <c r="A45" s="1"/>
      <c r="B45" s="26"/>
      <c r="C45" s="35"/>
      <c r="D45" s="8"/>
      <c r="E45" s="26"/>
      <c r="F45" s="8"/>
      <c r="G45" s="26"/>
      <c r="H45" s="27"/>
      <c r="I45" s="36"/>
      <c r="J45" s="36"/>
      <c r="K45" s="36"/>
      <c r="L45" s="37" t="str">
        <f aca="false">IF($H45="","",IFERROR(J45/I45,""))</f>
        <v/>
      </c>
      <c r="M45" s="30" t="str">
        <f aca="false">IF($H45="","",IFERROR(H45/J45,""))</f>
        <v/>
      </c>
      <c r="N45" s="30" t="str">
        <f aca="false">IF($H45="","",IFERROR(H45/I45*1000,""))</f>
        <v/>
      </c>
      <c r="O45" s="30" t="str">
        <f aca="false">IF($H45="","",IFERROR(H45/K45,"—"))</f>
        <v/>
      </c>
      <c r="P45" s="30" t="str">
        <f aca="false">IF($H45="","",IFERROR(INDEX('Гео-калькулятор'!$K$7:$K$13,MATCH($D45,'Гео-калькулятор'!$B$7:$B$13,0)),""))</f>
        <v/>
      </c>
      <c r="Q45" s="38" t="str">
        <f aca="false">IF($H45="","",IFERROR(O45/P45,""))</f>
        <v/>
      </c>
      <c r="R45" s="38" t="str">
        <f aca="false">IF(OR($H45="",P45=""),"",POISSON(N(K45),H45/P45,TRUE()))</f>
        <v/>
      </c>
      <c r="S45" s="51" t="str">
        <f aca="false">IF(R45="","",IF(AND(N(K45)&gt;=$H$5,H45/MAX(N(K45),1)&lt;=P45*$E$5),"Масштабувати",IF(AND(N(K45)&gt;0,H45/MAX(N(K45),1)&lt;=P45),"В цілі",IF(R45&gt;='Спенд без лідів'!$H$5,"Рано судити",IF(R45&gt;='Спенд без лідів'!$H$6,"Під питанням",IF(R45&gt;='Спенд без лідів'!$H$7,"Вимикати","Давно треба було"))))))</f>
        <v/>
      </c>
      <c r="T45" s="26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8" hidden="false" customHeight="true" outlineLevel="0" collapsed="false">
      <c r="A46" s="1"/>
      <c r="B46" s="26"/>
      <c r="C46" s="35"/>
      <c r="D46" s="8"/>
      <c r="E46" s="26"/>
      <c r="F46" s="8"/>
      <c r="G46" s="26"/>
      <c r="H46" s="27"/>
      <c r="I46" s="36"/>
      <c r="J46" s="36"/>
      <c r="K46" s="36"/>
      <c r="L46" s="37" t="str">
        <f aca="false">IF($H46="","",IFERROR(J46/I46,""))</f>
        <v/>
      </c>
      <c r="M46" s="30" t="str">
        <f aca="false">IF($H46="","",IFERROR(H46/J46,""))</f>
        <v/>
      </c>
      <c r="N46" s="30" t="str">
        <f aca="false">IF($H46="","",IFERROR(H46/I46*1000,""))</f>
        <v/>
      </c>
      <c r="O46" s="30" t="str">
        <f aca="false">IF($H46="","",IFERROR(H46/K46,"—"))</f>
        <v/>
      </c>
      <c r="P46" s="30" t="str">
        <f aca="false">IF($H46="","",IFERROR(INDEX('Гео-калькулятор'!$K$7:$K$13,MATCH($D46,'Гео-калькулятор'!$B$7:$B$13,0)),""))</f>
        <v/>
      </c>
      <c r="Q46" s="38" t="str">
        <f aca="false">IF($H46="","",IFERROR(O46/P46,""))</f>
        <v/>
      </c>
      <c r="R46" s="38" t="str">
        <f aca="false">IF(OR($H46="",P46=""),"",POISSON(N(K46),H46/P46,TRUE()))</f>
        <v/>
      </c>
      <c r="S46" s="51" t="str">
        <f aca="false">IF(R46="","",IF(AND(N(K46)&gt;=$H$5,H46/MAX(N(K46),1)&lt;=P46*$E$5),"Масштабувати",IF(AND(N(K46)&gt;0,H46/MAX(N(K46),1)&lt;=P46),"В цілі",IF(R46&gt;='Спенд без лідів'!$H$5,"Рано судити",IF(R46&gt;='Спенд без лідів'!$H$6,"Під питанням",IF(R46&gt;='Спенд без лідів'!$H$7,"Вимикати","Давно треба було"))))))</f>
        <v/>
      </c>
      <c r="T46" s="26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8" hidden="false" customHeight="true" outlineLevel="0" collapsed="false">
      <c r="A47" s="1"/>
      <c r="B47" s="26"/>
      <c r="C47" s="35"/>
      <c r="D47" s="8"/>
      <c r="E47" s="26"/>
      <c r="F47" s="8"/>
      <c r="G47" s="26"/>
      <c r="H47" s="27"/>
      <c r="I47" s="36"/>
      <c r="J47" s="36"/>
      <c r="K47" s="36"/>
      <c r="L47" s="37" t="str">
        <f aca="false">IF($H47="","",IFERROR(J47/I47,""))</f>
        <v/>
      </c>
      <c r="M47" s="30" t="str">
        <f aca="false">IF($H47="","",IFERROR(H47/J47,""))</f>
        <v/>
      </c>
      <c r="N47" s="30" t="str">
        <f aca="false">IF($H47="","",IFERROR(H47/I47*1000,""))</f>
        <v/>
      </c>
      <c r="O47" s="30" t="str">
        <f aca="false">IF($H47="","",IFERROR(H47/K47,"—"))</f>
        <v/>
      </c>
      <c r="P47" s="30" t="str">
        <f aca="false">IF($H47="","",IFERROR(INDEX('Гео-калькулятор'!$K$7:$K$13,MATCH($D47,'Гео-калькулятор'!$B$7:$B$13,0)),""))</f>
        <v/>
      </c>
      <c r="Q47" s="38" t="str">
        <f aca="false">IF($H47="","",IFERROR(O47/P47,""))</f>
        <v/>
      </c>
      <c r="R47" s="38" t="str">
        <f aca="false">IF(OR($H47="",P47=""),"",POISSON(N(K47),H47/P47,TRUE()))</f>
        <v/>
      </c>
      <c r="S47" s="51" t="str">
        <f aca="false">IF(R47="","",IF(AND(N(K47)&gt;=$H$5,H47/MAX(N(K47),1)&lt;=P47*$E$5),"Масштабувати",IF(AND(N(K47)&gt;0,H47/MAX(N(K47),1)&lt;=P47),"В цілі",IF(R47&gt;='Спенд без лідів'!$H$5,"Рано судити",IF(R47&gt;='Спенд без лідів'!$H$6,"Під питанням",IF(R47&gt;='Спенд без лідів'!$H$7,"Вимикати","Давно треба було"))))))</f>
        <v/>
      </c>
      <c r="T47" s="26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8" hidden="false" customHeight="true" outlineLevel="0" collapsed="false">
      <c r="A48" s="1"/>
      <c r="B48" s="26"/>
      <c r="C48" s="35"/>
      <c r="D48" s="8"/>
      <c r="E48" s="26"/>
      <c r="F48" s="8"/>
      <c r="G48" s="26"/>
      <c r="H48" s="27"/>
      <c r="I48" s="36"/>
      <c r="J48" s="36"/>
      <c r="K48" s="36"/>
      <c r="L48" s="37" t="str">
        <f aca="false">IF($H48="","",IFERROR(J48/I48,""))</f>
        <v/>
      </c>
      <c r="M48" s="30" t="str">
        <f aca="false">IF($H48="","",IFERROR(H48/J48,""))</f>
        <v/>
      </c>
      <c r="N48" s="30" t="str">
        <f aca="false">IF($H48="","",IFERROR(H48/I48*1000,""))</f>
        <v/>
      </c>
      <c r="O48" s="30" t="str">
        <f aca="false">IF($H48="","",IFERROR(H48/K48,"—"))</f>
        <v/>
      </c>
      <c r="P48" s="30" t="str">
        <f aca="false">IF($H48="","",IFERROR(INDEX('Гео-калькулятор'!$K$7:$K$13,MATCH($D48,'Гео-калькулятор'!$B$7:$B$13,0)),""))</f>
        <v/>
      </c>
      <c r="Q48" s="38" t="str">
        <f aca="false">IF($H48="","",IFERROR(O48/P48,""))</f>
        <v/>
      </c>
      <c r="R48" s="38" t="str">
        <f aca="false">IF(OR($H48="",P48=""),"",POISSON(N(K48),H48/P48,TRUE()))</f>
        <v/>
      </c>
      <c r="S48" s="51" t="str">
        <f aca="false">IF(R48="","",IF(AND(N(K48)&gt;=$H$5,H48/MAX(N(K48),1)&lt;=P48*$E$5),"Масштабувати",IF(AND(N(K48)&gt;0,H48/MAX(N(K48),1)&lt;=P48),"В цілі",IF(R48&gt;='Спенд без лідів'!$H$5,"Рано судити",IF(R48&gt;='Спенд без лідів'!$H$6,"Під питанням",IF(R48&gt;='Спенд без лідів'!$H$7,"Вимикати","Давно треба було"))))))</f>
        <v/>
      </c>
      <c r="T48" s="2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8" hidden="false" customHeight="true" outlineLevel="0" collapsed="false">
      <c r="A49" s="1"/>
      <c r="B49" s="26"/>
      <c r="C49" s="35"/>
      <c r="D49" s="8"/>
      <c r="E49" s="26"/>
      <c r="F49" s="8"/>
      <c r="G49" s="26"/>
      <c r="H49" s="27"/>
      <c r="I49" s="36"/>
      <c r="J49" s="36"/>
      <c r="K49" s="36"/>
      <c r="L49" s="37" t="str">
        <f aca="false">IF($H49="","",IFERROR(J49/I49,""))</f>
        <v/>
      </c>
      <c r="M49" s="30" t="str">
        <f aca="false">IF($H49="","",IFERROR(H49/J49,""))</f>
        <v/>
      </c>
      <c r="N49" s="30" t="str">
        <f aca="false">IF($H49="","",IFERROR(H49/I49*1000,""))</f>
        <v/>
      </c>
      <c r="O49" s="30" t="str">
        <f aca="false">IF($H49="","",IFERROR(H49/K49,"—"))</f>
        <v/>
      </c>
      <c r="P49" s="30" t="str">
        <f aca="false">IF($H49="","",IFERROR(INDEX('Гео-калькулятор'!$K$7:$K$13,MATCH($D49,'Гео-калькулятор'!$B$7:$B$13,0)),""))</f>
        <v/>
      </c>
      <c r="Q49" s="38" t="str">
        <f aca="false">IF($H49="","",IFERROR(O49/P49,""))</f>
        <v/>
      </c>
      <c r="R49" s="38" t="str">
        <f aca="false">IF(OR($H49="",P49=""),"",POISSON(N(K49),H49/P49,TRUE()))</f>
        <v/>
      </c>
      <c r="S49" s="51" t="str">
        <f aca="false">IF(R49="","",IF(AND(N(K49)&gt;=$H$5,H49/MAX(N(K49),1)&lt;=P49*$E$5),"Масштабувати",IF(AND(N(K49)&gt;0,H49/MAX(N(K49),1)&lt;=P49),"В цілі",IF(R49&gt;='Спенд без лідів'!$H$5,"Рано судити",IF(R49&gt;='Спенд без лідів'!$H$6,"Під питанням",IF(R49&gt;='Спенд без лідів'!$H$7,"Вимикати","Давно треба було"))))))</f>
        <v/>
      </c>
      <c r="T49" s="26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8" hidden="false" customHeight="true" outlineLevel="0" collapsed="false">
      <c r="A50" s="1"/>
      <c r="B50" s="26"/>
      <c r="C50" s="35"/>
      <c r="D50" s="8"/>
      <c r="E50" s="26"/>
      <c r="F50" s="8"/>
      <c r="G50" s="26"/>
      <c r="H50" s="27"/>
      <c r="I50" s="36"/>
      <c r="J50" s="36"/>
      <c r="K50" s="36"/>
      <c r="L50" s="37" t="str">
        <f aca="false">IF($H50="","",IFERROR(J50/I50,""))</f>
        <v/>
      </c>
      <c r="M50" s="30" t="str">
        <f aca="false">IF($H50="","",IFERROR(H50/J50,""))</f>
        <v/>
      </c>
      <c r="N50" s="30" t="str">
        <f aca="false">IF($H50="","",IFERROR(H50/I50*1000,""))</f>
        <v/>
      </c>
      <c r="O50" s="30" t="str">
        <f aca="false">IF($H50="","",IFERROR(H50/K50,"—"))</f>
        <v/>
      </c>
      <c r="P50" s="30" t="str">
        <f aca="false">IF($H50="","",IFERROR(INDEX('Гео-калькулятор'!$K$7:$K$13,MATCH($D50,'Гео-калькулятор'!$B$7:$B$13,0)),""))</f>
        <v/>
      </c>
      <c r="Q50" s="38" t="str">
        <f aca="false">IF($H50="","",IFERROR(O50/P50,""))</f>
        <v/>
      </c>
      <c r="R50" s="38" t="str">
        <f aca="false">IF(OR($H50="",P50=""),"",POISSON(N(K50),H50/P50,TRUE()))</f>
        <v/>
      </c>
      <c r="S50" s="51" t="str">
        <f aca="false">IF(R50="","",IF(AND(N(K50)&gt;=$H$5,H50/MAX(N(K50),1)&lt;=P50*$E$5),"Масштабувати",IF(AND(N(K50)&gt;0,H50/MAX(N(K50),1)&lt;=P50),"В цілі",IF(R50&gt;='Спенд без лідів'!$H$5,"Рано судити",IF(R50&gt;='Спенд без лідів'!$H$6,"Під питанням",IF(R50&gt;='Спенд без лідів'!$H$7,"Вимикати","Давно треба було"))))))</f>
        <v/>
      </c>
      <c r="T50" s="2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8" hidden="false" customHeight="true" outlineLevel="0" collapsed="false">
      <c r="A51" s="1"/>
      <c r="B51" s="26"/>
      <c r="C51" s="35"/>
      <c r="D51" s="8"/>
      <c r="E51" s="26"/>
      <c r="F51" s="8"/>
      <c r="G51" s="26"/>
      <c r="H51" s="27"/>
      <c r="I51" s="36"/>
      <c r="J51" s="36"/>
      <c r="K51" s="36"/>
      <c r="L51" s="37" t="str">
        <f aca="false">IF($H51="","",IFERROR(J51/I51,""))</f>
        <v/>
      </c>
      <c r="M51" s="30" t="str">
        <f aca="false">IF($H51="","",IFERROR(H51/J51,""))</f>
        <v/>
      </c>
      <c r="N51" s="30" t="str">
        <f aca="false">IF($H51="","",IFERROR(H51/I51*1000,""))</f>
        <v/>
      </c>
      <c r="O51" s="30" t="str">
        <f aca="false">IF($H51="","",IFERROR(H51/K51,"—"))</f>
        <v/>
      </c>
      <c r="P51" s="30" t="str">
        <f aca="false">IF($H51="","",IFERROR(INDEX('Гео-калькулятор'!$K$7:$K$13,MATCH($D51,'Гео-калькулятор'!$B$7:$B$13,0)),""))</f>
        <v/>
      </c>
      <c r="Q51" s="38" t="str">
        <f aca="false">IF($H51="","",IFERROR(O51/P51,""))</f>
        <v/>
      </c>
      <c r="R51" s="38" t="str">
        <f aca="false">IF(OR($H51="",P51=""),"",POISSON(N(K51),H51/P51,TRUE()))</f>
        <v/>
      </c>
      <c r="S51" s="51" t="str">
        <f aca="false">IF(R51="","",IF(AND(N(K51)&gt;=$H$5,H51/MAX(N(K51),1)&lt;=P51*$E$5),"Масштабувати",IF(AND(N(K51)&gt;0,H51/MAX(N(K51),1)&lt;=P51),"В цілі",IF(R51&gt;='Спенд без лідів'!$H$5,"Рано судити",IF(R51&gt;='Спенд без лідів'!$H$6,"Під питанням",IF(R51&gt;='Спенд без лідів'!$H$7,"Вимикати","Давно треба було"))))))</f>
        <v/>
      </c>
      <c r="T51" s="26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8" hidden="false" customHeight="true" outlineLevel="0" collapsed="false">
      <c r="A52" s="1"/>
      <c r="B52" s="26"/>
      <c r="C52" s="35"/>
      <c r="D52" s="8"/>
      <c r="E52" s="26"/>
      <c r="F52" s="8"/>
      <c r="G52" s="26"/>
      <c r="H52" s="27"/>
      <c r="I52" s="36"/>
      <c r="J52" s="36"/>
      <c r="K52" s="36"/>
      <c r="L52" s="37" t="str">
        <f aca="false">IF($H52="","",IFERROR(J52/I52,""))</f>
        <v/>
      </c>
      <c r="M52" s="30" t="str">
        <f aca="false">IF($H52="","",IFERROR(H52/J52,""))</f>
        <v/>
      </c>
      <c r="N52" s="30" t="str">
        <f aca="false">IF($H52="","",IFERROR(H52/I52*1000,""))</f>
        <v/>
      </c>
      <c r="O52" s="30" t="str">
        <f aca="false">IF($H52="","",IFERROR(H52/K52,"—"))</f>
        <v/>
      </c>
      <c r="P52" s="30" t="str">
        <f aca="false">IF($H52="","",IFERROR(INDEX('Гео-калькулятор'!$K$7:$K$13,MATCH($D52,'Гео-калькулятор'!$B$7:$B$13,0)),""))</f>
        <v/>
      </c>
      <c r="Q52" s="38" t="str">
        <f aca="false">IF($H52="","",IFERROR(O52/P52,""))</f>
        <v/>
      </c>
      <c r="R52" s="38" t="str">
        <f aca="false">IF(OR($H52="",P52=""),"",POISSON(N(K52),H52/P52,TRUE()))</f>
        <v/>
      </c>
      <c r="S52" s="51" t="str">
        <f aca="false">IF(R52="","",IF(AND(N(K52)&gt;=$H$5,H52/MAX(N(K52),1)&lt;=P52*$E$5),"Масштабувати",IF(AND(N(K52)&gt;0,H52/MAX(N(K52),1)&lt;=P52),"В цілі",IF(R52&gt;='Спенд без лідів'!$H$5,"Рано судити",IF(R52&gt;='Спенд без лідів'!$H$6,"Під питанням",IF(R52&gt;='Спенд без лідів'!$H$7,"Вимикати","Давно треба було"))))))</f>
        <v/>
      </c>
      <c r="T52" s="2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8" hidden="false" customHeight="true" outlineLevel="0" collapsed="false">
      <c r="A53" s="1"/>
      <c r="B53" s="26"/>
      <c r="C53" s="35"/>
      <c r="D53" s="8"/>
      <c r="E53" s="26"/>
      <c r="F53" s="8"/>
      <c r="G53" s="26"/>
      <c r="H53" s="27"/>
      <c r="I53" s="36"/>
      <c r="J53" s="36"/>
      <c r="K53" s="36"/>
      <c r="L53" s="37" t="str">
        <f aca="false">IF($H53="","",IFERROR(J53/I53,""))</f>
        <v/>
      </c>
      <c r="M53" s="30" t="str">
        <f aca="false">IF($H53="","",IFERROR(H53/J53,""))</f>
        <v/>
      </c>
      <c r="N53" s="30" t="str">
        <f aca="false">IF($H53="","",IFERROR(H53/I53*1000,""))</f>
        <v/>
      </c>
      <c r="O53" s="30" t="str">
        <f aca="false">IF($H53="","",IFERROR(H53/K53,"—"))</f>
        <v/>
      </c>
      <c r="P53" s="30" t="str">
        <f aca="false">IF($H53="","",IFERROR(INDEX('Гео-калькулятор'!$K$7:$K$13,MATCH($D53,'Гео-калькулятор'!$B$7:$B$13,0)),""))</f>
        <v/>
      </c>
      <c r="Q53" s="38" t="str">
        <f aca="false">IF($H53="","",IFERROR(O53/P53,""))</f>
        <v/>
      </c>
      <c r="R53" s="38" t="str">
        <f aca="false">IF(OR($H53="",P53=""),"",POISSON(N(K53),H53/P53,TRUE()))</f>
        <v/>
      </c>
      <c r="S53" s="51" t="str">
        <f aca="false">IF(R53="","",IF(AND(N(K53)&gt;=$H$5,H53/MAX(N(K53),1)&lt;=P53*$E$5),"Масштабувати",IF(AND(N(K53)&gt;0,H53/MAX(N(K53),1)&lt;=P53),"В цілі",IF(R53&gt;='Спенд без лідів'!$H$5,"Рано судити",IF(R53&gt;='Спенд без лідів'!$H$6,"Під питанням",IF(R53&gt;='Спенд без лідів'!$H$7,"Вимикати","Давно треба було"))))))</f>
        <v/>
      </c>
      <c r="T53" s="26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8" hidden="false" customHeight="true" outlineLevel="0" collapsed="false">
      <c r="A54" s="1"/>
      <c r="B54" s="26"/>
      <c r="C54" s="35"/>
      <c r="D54" s="8"/>
      <c r="E54" s="26"/>
      <c r="F54" s="8"/>
      <c r="G54" s="26"/>
      <c r="H54" s="27"/>
      <c r="I54" s="36"/>
      <c r="J54" s="36"/>
      <c r="K54" s="36"/>
      <c r="L54" s="37" t="str">
        <f aca="false">IF($H54="","",IFERROR(J54/I54,""))</f>
        <v/>
      </c>
      <c r="M54" s="30" t="str">
        <f aca="false">IF($H54="","",IFERROR(H54/J54,""))</f>
        <v/>
      </c>
      <c r="N54" s="30" t="str">
        <f aca="false">IF($H54="","",IFERROR(H54/I54*1000,""))</f>
        <v/>
      </c>
      <c r="O54" s="30" t="str">
        <f aca="false">IF($H54="","",IFERROR(H54/K54,"—"))</f>
        <v/>
      </c>
      <c r="P54" s="30" t="str">
        <f aca="false">IF($H54="","",IFERROR(INDEX('Гео-калькулятор'!$K$7:$K$13,MATCH($D54,'Гео-калькулятор'!$B$7:$B$13,0)),""))</f>
        <v/>
      </c>
      <c r="Q54" s="38" t="str">
        <f aca="false">IF($H54="","",IFERROR(O54/P54,""))</f>
        <v/>
      </c>
      <c r="R54" s="38" t="str">
        <f aca="false">IF(OR($H54="",P54=""),"",POISSON(N(K54),H54/P54,TRUE()))</f>
        <v/>
      </c>
      <c r="S54" s="51" t="str">
        <f aca="false">IF(R54="","",IF(AND(N(K54)&gt;=$H$5,H54/MAX(N(K54),1)&lt;=P54*$E$5),"Масштабувати",IF(AND(N(K54)&gt;0,H54/MAX(N(K54),1)&lt;=P54),"В цілі",IF(R54&gt;='Спенд без лідів'!$H$5,"Рано судити",IF(R54&gt;='Спенд без лідів'!$H$6,"Під питанням",IF(R54&gt;='Спенд без лідів'!$H$7,"Вимикати","Давно треба було"))))))</f>
        <v/>
      </c>
      <c r="T54" s="2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8" hidden="false" customHeight="true" outlineLevel="0" collapsed="false">
      <c r="A55" s="1"/>
      <c r="B55" s="26"/>
      <c r="C55" s="35"/>
      <c r="D55" s="8"/>
      <c r="E55" s="26"/>
      <c r="F55" s="8"/>
      <c r="G55" s="26"/>
      <c r="H55" s="27"/>
      <c r="I55" s="36"/>
      <c r="J55" s="36"/>
      <c r="K55" s="36"/>
      <c r="L55" s="37" t="str">
        <f aca="false">IF($H55="","",IFERROR(J55/I55,""))</f>
        <v/>
      </c>
      <c r="M55" s="30" t="str">
        <f aca="false">IF($H55="","",IFERROR(H55/J55,""))</f>
        <v/>
      </c>
      <c r="N55" s="30" t="str">
        <f aca="false">IF($H55="","",IFERROR(H55/I55*1000,""))</f>
        <v/>
      </c>
      <c r="O55" s="30" t="str">
        <f aca="false">IF($H55="","",IFERROR(H55/K55,"—"))</f>
        <v/>
      </c>
      <c r="P55" s="30" t="str">
        <f aca="false">IF($H55="","",IFERROR(INDEX('Гео-калькулятор'!$K$7:$K$13,MATCH($D55,'Гео-калькулятор'!$B$7:$B$13,0)),""))</f>
        <v/>
      </c>
      <c r="Q55" s="38" t="str">
        <f aca="false">IF($H55="","",IFERROR(O55/P55,""))</f>
        <v/>
      </c>
      <c r="R55" s="38" t="str">
        <f aca="false">IF(OR($H55="",P55=""),"",POISSON(N(K55),H55/P55,TRUE()))</f>
        <v/>
      </c>
      <c r="S55" s="51" t="str">
        <f aca="false">IF(R55="","",IF(AND(N(K55)&gt;=$H$5,H55/MAX(N(K55),1)&lt;=P55*$E$5),"Масштабувати",IF(AND(N(K55)&gt;0,H55/MAX(N(K55),1)&lt;=P55),"В цілі",IF(R55&gt;='Спенд без лідів'!$H$5,"Рано судити",IF(R55&gt;='Спенд без лідів'!$H$6,"Під питанням",IF(R55&gt;='Спенд без лідів'!$H$7,"Вимикати","Давно треба було"))))))</f>
        <v/>
      </c>
      <c r="T55" s="26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8" hidden="false" customHeight="true" outlineLevel="0" collapsed="false">
      <c r="A56" s="1"/>
      <c r="B56" s="26"/>
      <c r="C56" s="35"/>
      <c r="D56" s="8"/>
      <c r="E56" s="26"/>
      <c r="F56" s="8"/>
      <c r="G56" s="26"/>
      <c r="H56" s="27"/>
      <c r="I56" s="36"/>
      <c r="J56" s="36"/>
      <c r="K56" s="36"/>
      <c r="L56" s="37" t="str">
        <f aca="false">IF($H56="","",IFERROR(J56/I56,""))</f>
        <v/>
      </c>
      <c r="M56" s="30" t="str">
        <f aca="false">IF($H56="","",IFERROR(H56/J56,""))</f>
        <v/>
      </c>
      <c r="N56" s="30" t="str">
        <f aca="false">IF($H56="","",IFERROR(H56/I56*1000,""))</f>
        <v/>
      </c>
      <c r="O56" s="30" t="str">
        <f aca="false">IF($H56="","",IFERROR(H56/K56,"—"))</f>
        <v/>
      </c>
      <c r="P56" s="30" t="str">
        <f aca="false">IF($H56="","",IFERROR(INDEX('Гео-калькулятор'!$K$7:$K$13,MATCH($D56,'Гео-калькулятор'!$B$7:$B$13,0)),""))</f>
        <v/>
      </c>
      <c r="Q56" s="38" t="str">
        <f aca="false">IF($H56="","",IFERROR(O56/P56,""))</f>
        <v/>
      </c>
      <c r="R56" s="38" t="str">
        <f aca="false">IF(OR($H56="",P56=""),"",POISSON(N(K56),H56/P56,TRUE()))</f>
        <v/>
      </c>
      <c r="S56" s="51" t="str">
        <f aca="false">IF(R56="","",IF(AND(N(K56)&gt;=$H$5,H56/MAX(N(K56),1)&lt;=P56*$E$5),"Масштабувати",IF(AND(N(K56)&gt;0,H56/MAX(N(K56),1)&lt;=P56),"В цілі",IF(R56&gt;='Спенд без лідів'!$H$5,"Рано судити",IF(R56&gt;='Спенд без лідів'!$H$6,"Під питанням",IF(R56&gt;='Спенд без лідів'!$H$7,"Вимикати","Давно треба було"))))))</f>
        <v/>
      </c>
      <c r="T56" s="2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8" hidden="false" customHeight="true" outlineLevel="0" collapsed="false">
      <c r="A57" s="1"/>
      <c r="B57" s="26"/>
      <c r="C57" s="35"/>
      <c r="D57" s="8"/>
      <c r="E57" s="26"/>
      <c r="F57" s="8"/>
      <c r="G57" s="26"/>
      <c r="H57" s="27"/>
      <c r="I57" s="36"/>
      <c r="J57" s="36"/>
      <c r="K57" s="36"/>
      <c r="L57" s="37" t="str">
        <f aca="false">IF($H57="","",IFERROR(J57/I57,""))</f>
        <v/>
      </c>
      <c r="M57" s="30" t="str">
        <f aca="false">IF($H57="","",IFERROR(H57/J57,""))</f>
        <v/>
      </c>
      <c r="N57" s="30" t="str">
        <f aca="false">IF($H57="","",IFERROR(H57/I57*1000,""))</f>
        <v/>
      </c>
      <c r="O57" s="30" t="str">
        <f aca="false">IF($H57="","",IFERROR(H57/K57,"—"))</f>
        <v/>
      </c>
      <c r="P57" s="30" t="str">
        <f aca="false">IF($H57="","",IFERROR(INDEX('Гео-калькулятор'!$K$7:$K$13,MATCH($D57,'Гео-калькулятор'!$B$7:$B$13,0)),""))</f>
        <v/>
      </c>
      <c r="Q57" s="38" t="str">
        <f aca="false">IF($H57="","",IFERROR(O57/P57,""))</f>
        <v/>
      </c>
      <c r="R57" s="38" t="str">
        <f aca="false">IF(OR($H57="",P57=""),"",POISSON(N(K57),H57/P57,TRUE()))</f>
        <v/>
      </c>
      <c r="S57" s="51" t="str">
        <f aca="false">IF(R57="","",IF(AND(N(K57)&gt;=$H$5,H57/MAX(N(K57),1)&lt;=P57*$E$5),"Масштабувати",IF(AND(N(K57)&gt;0,H57/MAX(N(K57),1)&lt;=P57),"В цілі",IF(R57&gt;='Спенд без лідів'!$H$5,"Рано судити",IF(R57&gt;='Спенд без лідів'!$H$6,"Під питанням",IF(R57&gt;='Спенд без лідів'!$H$7,"Вимикати","Давно треба було"))))))</f>
        <v/>
      </c>
      <c r="T57" s="26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8" hidden="false" customHeight="true" outlineLevel="0" collapsed="false">
      <c r="A58" s="1"/>
      <c r="B58" s="26"/>
      <c r="C58" s="35"/>
      <c r="D58" s="8"/>
      <c r="E58" s="26"/>
      <c r="F58" s="8"/>
      <c r="G58" s="26"/>
      <c r="H58" s="27"/>
      <c r="I58" s="36"/>
      <c r="J58" s="36"/>
      <c r="K58" s="36"/>
      <c r="L58" s="37" t="str">
        <f aca="false">IF($H58="","",IFERROR(J58/I58,""))</f>
        <v/>
      </c>
      <c r="M58" s="30" t="str">
        <f aca="false">IF($H58="","",IFERROR(H58/J58,""))</f>
        <v/>
      </c>
      <c r="N58" s="30" t="str">
        <f aca="false">IF($H58="","",IFERROR(H58/I58*1000,""))</f>
        <v/>
      </c>
      <c r="O58" s="30" t="str">
        <f aca="false">IF($H58="","",IFERROR(H58/K58,"—"))</f>
        <v/>
      </c>
      <c r="P58" s="30" t="str">
        <f aca="false">IF($H58="","",IFERROR(INDEX('Гео-калькулятор'!$K$7:$K$13,MATCH($D58,'Гео-калькулятор'!$B$7:$B$13,0)),""))</f>
        <v/>
      </c>
      <c r="Q58" s="38" t="str">
        <f aca="false">IF($H58="","",IFERROR(O58/P58,""))</f>
        <v/>
      </c>
      <c r="R58" s="38" t="str">
        <f aca="false">IF(OR($H58="",P58=""),"",POISSON(N(K58),H58/P58,TRUE()))</f>
        <v/>
      </c>
      <c r="S58" s="51" t="str">
        <f aca="false">IF(R58="","",IF(AND(N(K58)&gt;=$H$5,H58/MAX(N(K58),1)&lt;=P58*$E$5),"Масштабувати",IF(AND(N(K58)&gt;0,H58/MAX(N(K58),1)&lt;=P58),"В цілі",IF(R58&gt;='Спенд без лідів'!$H$5,"Рано судити",IF(R58&gt;='Спенд без лідів'!$H$6,"Під питанням",IF(R58&gt;='Спенд без лідів'!$H$7,"Вимикати","Давно треба було"))))))</f>
        <v/>
      </c>
      <c r="T58" s="2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8" hidden="false" customHeight="true" outlineLevel="0" collapsed="false">
      <c r="A59" s="1"/>
      <c r="B59" s="26"/>
      <c r="C59" s="35"/>
      <c r="D59" s="8"/>
      <c r="E59" s="26"/>
      <c r="F59" s="8"/>
      <c r="G59" s="26"/>
      <c r="H59" s="27"/>
      <c r="I59" s="36"/>
      <c r="J59" s="36"/>
      <c r="K59" s="36"/>
      <c r="L59" s="37" t="str">
        <f aca="false">IF($H59="","",IFERROR(J59/I59,""))</f>
        <v/>
      </c>
      <c r="M59" s="30" t="str">
        <f aca="false">IF($H59="","",IFERROR(H59/J59,""))</f>
        <v/>
      </c>
      <c r="N59" s="30" t="str">
        <f aca="false">IF($H59="","",IFERROR(H59/I59*1000,""))</f>
        <v/>
      </c>
      <c r="O59" s="30" t="str">
        <f aca="false">IF($H59="","",IFERROR(H59/K59,"—"))</f>
        <v/>
      </c>
      <c r="P59" s="30" t="str">
        <f aca="false">IF($H59="","",IFERROR(INDEX('Гео-калькулятор'!$K$7:$K$13,MATCH($D59,'Гео-калькулятор'!$B$7:$B$13,0)),""))</f>
        <v/>
      </c>
      <c r="Q59" s="38" t="str">
        <f aca="false">IF($H59="","",IFERROR(O59/P59,""))</f>
        <v/>
      </c>
      <c r="R59" s="38" t="str">
        <f aca="false">IF(OR($H59="",P59=""),"",POISSON(N(K59),H59/P59,TRUE()))</f>
        <v/>
      </c>
      <c r="S59" s="51" t="str">
        <f aca="false">IF(R59="","",IF(AND(N(K59)&gt;=$H$5,H59/MAX(N(K59),1)&lt;=P59*$E$5),"Масштабувати",IF(AND(N(K59)&gt;0,H59/MAX(N(K59),1)&lt;=P59),"В цілі",IF(R59&gt;='Спенд без лідів'!$H$5,"Рано судити",IF(R59&gt;='Спенд без лідів'!$H$6,"Під питанням",IF(R59&gt;='Спенд без лідів'!$H$7,"Вимикати","Давно треба було"))))))</f>
        <v/>
      </c>
      <c r="T59" s="26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8" hidden="false" customHeight="true" outlineLevel="0" collapsed="false">
      <c r="A60" s="1"/>
      <c r="B60" s="26"/>
      <c r="C60" s="35"/>
      <c r="D60" s="8"/>
      <c r="E60" s="26"/>
      <c r="F60" s="8"/>
      <c r="G60" s="26"/>
      <c r="H60" s="27"/>
      <c r="I60" s="36"/>
      <c r="J60" s="36"/>
      <c r="K60" s="36"/>
      <c r="L60" s="37" t="str">
        <f aca="false">IF($H60="","",IFERROR(J60/I60,""))</f>
        <v/>
      </c>
      <c r="M60" s="30" t="str">
        <f aca="false">IF($H60="","",IFERROR(H60/J60,""))</f>
        <v/>
      </c>
      <c r="N60" s="30" t="str">
        <f aca="false">IF($H60="","",IFERROR(H60/I60*1000,""))</f>
        <v/>
      </c>
      <c r="O60" s="30" t="str">
        <f aca="false">IF($H60="","",IFERROR(H60/K60,"—"))</f>
        <v/>
      </c>
      <c r="P60" s="30" t="str">
        <f aca="false">IF($H60="","",IFERROR(INDEX('Гео-калькулятор'!$K$7:$K$13,MATCH($D60,'Гео-калькулятор'!$B$7:$B$13,0)),""))</f>
        <v/>
      </c>
      <c r="Q60" s="38" t="str">
        <f aca="false">IF($H60="","",IFERROR(O60/P60,""))</f>
        <v/>
      </c>
      <c r="R60" s="38" t="str">
        <f aca="false">IF(OR($H60="",P60=""),"",POISSON(N(K60),H60/P60,TRUE()))</f>
        <v/>
      </c>
      <c r="S60" s="51" t="str">
        <f aca="false">IF(R60="","",IF(AND(N(K60)&gt;=$H$5,H60/MAX(N(K60),1)&lt;=P60*$E$5),"Масштабувати",IF(AND(N(K60)&gt;0,H60/MAX(N(K60),1)&lt;=P60),"В цілі",IF(R60&gt;='Спенд без лідів'!$H$5,"Рано судити",IF(R60&gt;='Спенд без лідів'!$H$6,"Під питанням",IF(R60&gt;='Спенд без лідів'!$H$7,"Вимикати","Давно треба було"))))))</f>
        <v/>
      </c>
      <c r="T60" s="2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8" hidden="false" customHeight="true" outlineLevel="0" collapsed="false">
      <c r="A61" s="1"/>
      <c r="B61" s="26"/>
      <c r="C61" s="35"/>
      <c r="D61" s="8"/>
      <c r="E61" s="26"/>
      <c r="F61" s="8"/>
      <c r="G61" s="26"/>
      <c r="H61" s="27"/>
      <c r="I61" s="36"/>
      <c r="J61" s="36"/>
      <c r="K61" s="36"/>
      <c r="L61" s="37" t="str">
        <f aca="false">IF($H61="","",IFERROR(J61/I61,""))</f>
        <v/>
      </c>
      <c r="M61" s="30" t="str">
        <f aca="false">IF($H61="","",IFERROR(H61/J61,""))</f>
        <v/>
      </c>
      <c r="N61" s="30" t="str">
        <f aca="false">IF($H61="","",IFERROR(H61/I61*1000,""))</f>
        <v/>
      </c>
      <c r="O61" s="30" t="str">
        <f aca="false">IF($H61="","",IFERROR(H61/K61,"—"))</f>
        <v/>
      </c>
      <c r="P61" s="30" t="str">
        <f aca="false">IF($H61="","",IFERROR(INDEX('Гео-калькулятор'!$K$7:$K$13,MATCH($D61,'Гео-калькулятор'!$B$7:$B$13,0)),""))</f>
        <v/>
      </c>
      <c r="Q61" s="38" t="str">
        <f aca="false">IF($H61="","",IFERROR(O61/P61,""))</f>
        <v/>
      </c>
      <c r="R61" s="38" t="str">
        <f aca="false">IF(OR($H61="",P61=""),"",POISSON(N(K61),H61/P61,TRUE()))</f>
        <v/>
      </c>
      <c r="S61" s="51" t="str">
        <f aca="false">IF(R61="","",IF(AND(N(K61)&gt;=$H$5,H61/MAX(N(K61),1)&lt;=P61*$E$5),"Масштабувати",IF(AND(N(K61)&gt;0,H61/MAX(N(K61),1)&lt;=P61),"В цілі",IF(R61&gt;='Спенд без лідів'!$H$5,"Рано судити",IF(R61&gt;='Спенд без лідів'!$H$6,"Під питанням",IF(R61&gt;='Спенд без лідів'!$H$7,"Вимикати","Давно треба було"))))))</f>
        <v/>
      </c>
      <c r="T61" s="26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8" hidden="false" customHeight="true" outlineLevel="0" collapsed="false">
      <c r="A62" s="1"/>
      <c r="B62" s="26"/>
      <c r="C62" s="35"/>
      <c r="D62" s="8"/>
      <c r="E62" s="26"/>
      <c r="F62" s="8"/>
      <c r="G62" s="26"/>
      <c r="H62" s="27"/>
      <c r="I62" s="36"/>
      <c r="J62" s="36"/>
      <c r="K62" s="36"/>
      <c r="L62" s="37" t="str">
        <f aca="false">IF($H62="","",IFERROR(J62/I62,""))</f>
        <v/>
      </c>
      <c r="M62" s="30" t="str">
        <f aca="false">IF($H62="","",IFERROR(H62/J62,""))</f>
        <v/>
      </c>
      <c r="N62" s="30" t="str">
        <f aca="false">IF($H62="","",IFERROR(H62/I62*1000,""))</f>
        <v/>
      </c>
      <c r="O62" s="30" t="str">
        <f aca="false">IF($H62="","",IFERROR(H62/K62,"—"))</f>
        <v/>
      </c>
      <c r="P62" s="30" t="str">
        <f aca="false">IF($H62="","",IFERROR(INDEX('Гео-калькулятор'!$K$7:$K$13,MATCH($D62,'Гео-калькулятор'!$B$7:$B$13,0)),""))</f>
        <v/>
      </c>
      <c r="Q62" s="38" t="str">
        <f aca="false">IF($H62="","",IFERROR(O62/P62,""))</f>
        <v/>
      </c>
      <c r="R62" s="38" t="str">
        <f aca="false">IF(OR($H62="",P62=""),"",POISSON(N(K62),H62/P62,TRUE()))</f>
        <v/>
      </c>
      <c r="S62" s="51" t="str">
        <f aca="false">IF(R62="","",IF(AND(N(K62)&gt;=$H$5,H62/MAX(N(K62),1)&lt;=P62*$E$5),"Масштабувати",IF(AND(N(K62)&gt;0,H62/MAX(N(K62),1)&lt;=P62),"В цілі",IF(R62&gt;='Спенд без лідів'!$H$5,"Рано судити",IF(R62&gt;='Спенд без лідів'!$H$6,"Під питанням",IF(R62&gt;='Спенд без лідів'!$H$7,"Вимикати","Давно треба було"))))))</f>
        <v/>
      </c>
      <c r="T62" s="2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8" hidden="false" customHeight="true" outlineLevel="0" collapsed="false">
      <c r="A63" s="1"/>
      <c r="B63" s="26"/>
      <c r="C63" s="35"/>
      <c r="D63" s="8"/>
      <c r="E63" s="26"/>
      <c r="F63" s="8"/>
      <c r="G63" s="26"/>
      <c r="H63" s="27"/>
      <c r="I63" s="36"/>
      <c r="J63" s="36"/>
      <c r="K63" s="36"/>
      <c r="L63" s="37" t="str">
        <f aca="false">IF($H63="","",IFERROR(J63/I63,""))</f>
        <v/>
      </c>
      <c r="M63" s="30" t="str">
        <f aca="false">IF($H63="","",IFERROR(H63/J63,""))</f>
        <v/>
      </c>
      <c r="N63" s="30" t="str">
        <f aca="false">IF($H63="","",IFERROR(H63/I63*1000,""))</f>
        <v/>
      </c>
      <c r="O63" s="30" t="str">
        <f aca="false">IF($H63="","",IFERROR(H63/K63,"—"))</f>
        <v/>
      </c>
      <c r="P63" s="30" t="str">
        <f aca="false">IF($H63="","",IFERROR(INDEX('Гео-калькулятор'!$K$7:$K$13,MATCH($D63,'Гео-калькулятор'!$B$7:$B$13,0)),""))</f>
        <v/>
      </c>
      <c r="Q63" s="38" t="str">
        <f aca="false">IF($H63="","",IFERROR(O63/P63,""))</f>
        <v/>
      </c>
      <c r="R63" s="38" t="str">
        <f aca="false">IF(OR($H63="",P63=""),"",POISSON(N(K63),H63/P63,TRUE()))</f>
        <v/>
      </c>
      <c r="S63" s="51" t="str">
        <f aca="false">IF(R63="","",IF(AND(N(K63)&gt;=$H$5,H63/MAX(N(K63),1)&lt;=P63*$E$5),"Масштабувати",IF(AND(N(K63)&gt;0,H63/MAX(N(K63),1)&lt;=P63),"В цілі",IF(R63&gt;='Спенд без лідів'!$H$5,"Рано судити",IF(R63&gt;='Спенд без лідів'!$H$6,"Під питанням",IF(R63&gt;='Спенд без лідів'!$H$7,"Вимикати","Давно треба було"))))))</f>
        <v/>
      </c>
      <c r="T63" s="26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8" hidden="false" customHeight="true" outlineLevel="0" collapsed="false">
      <c r="A64" s="1"/>
      <c r="B64" s="26"/>
      <c r="C64" s="35"/>
      <c r="D64" s="8"/>
      <c r="E64" s="26"/>
      <c r="F64" s="8"/>
      <c r="G64" s="26"/>
      <c r="H64" s="27"/>
      <c r="I64" s="36"/>
      <c r="J64" s="36"/>
      <c r="K64" s="36"/>
      <c r="L64" s="37" t="str">
        <f aca="false">IF($H64="","",IFERROR(J64/I64,""))</f>
        <v/>
      </c>
      <c r="M64" s="30" t="str">
        <f aca="false">IF($H64="","",IFERROR(H64/J64,""))</f>
        <v/>
      </c>
      <c r="N64" s="30" t="str">
        <f aca="false">IF($H64="","",IFERROR(H64/I64*1000,""))</f>
        <v/>
      </c>
      <c r="O64" s="30" t="str">
        <f aca="false">IF($H64="","",IFERROR(H64/K64,"—"))</f>
        <v/>
      </c>
      <c r="P64" s="30" t="str">
        <f aca="false">IF($H64="","",IFERROR(INDEX('Гео-калькулятор'!$K$7:$K$13,MATCH($D64,'Гео-калькулятор'!$B$7:$B$13,0)),""))</f>
        <v/>
      </c>
      <c r="Q64" s="38" t="str">
        <f aca="false">IF($H64="","",IFERROR(O64/P64,""))</f>
        <v/>
      </c>
      <c r="R64" s="38" t="str">
        <f aca="false">IF(OR($H64="",P64=""),"",POISSON(N(K64),H64/P64,TRUE()))</f>
        <v/>
      </c>
      <c r="S64" s="51" t="str">
        <f aca="false">IF(R64="","",IF(AND(N(K64)&gt;=$H$5,H64/MAX(N(K64),1)&lt;=P64*$E$5),"Масштабувати",IF(AND(N(K64)&gt;0,H64/MAX(N(K64),1)&lt;=P64),"В цілі",IF(R64&gt;='Спенд без лідів'!$H$5,"Рано судити",IF(R64&gt;='Спенд без лідів'!$H$6,"Під питанням",IF(R64&gt;='Спенд без лідів'!$H$7,"Вимикати","Давно треба було"))))))</f>
        <v/>
      </c>
      <c r="T64" s="2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8" hidden="false" customHeight="true" outlineLevel="0" collapsed="false">
      <c r="A65" s="1"/>
      <c r="B65" s="26"/>
      <c r="C65" s="35"/>
      <c r="D65" s="8"/>
      <c r="E65" s="26"/>
      <c r="F65" s="8"/>
      <c r="G65" s="26"/>
      <c r="H65" s="27"/>
      <c r="I65" s="36"/>
      <c r="J65" s="36"/>
      <c r="K65" s="36"/>
      <c r="L65" s="37" t="str">
        <f aca="false">IF($H65="","",IFERROR(J65/I65,""))</f>
        <v/>
      </c>
      <c r="M65" s="30" t="str">
        <f aca="false">IF($H65="","",IFERROR(H65/J65,""))</f>
        <v/>
      </c>
      <c r="N65" s="30" t="str">
        <f aca="false">IF($H65="","",IFERROR(H65/I65*1000,""))</f>
        <v/>
      </c>
      <c r="O65" s="30" t="str">
        <f aca="false">IF($H65="","",IFERROR(H65/K65,"—"))</f>
        <v/>
      </c>
      <c r="P65" s="30" t="str">
        <f aca="false">IF($H65="","",IFERROR(INDEX('Гео-калькулятор'!$K$7:$K$13,MATCH($D65,'Гео-калькулятор'!$B$7:$B$13,0)),""))</f>
        <v/>
      </c>
      <c r="Q65" s="38" t="str">
        <f aca="false">IF($H65="","",IFERROR(O65/P65,""))</f>
        <v/>
      </c>
      <c r="R65" s="38" t="str">
        <f aca="false">IF(OR($H65="",P65=""),"",POISSON(N(K65),H65/P65,TRUE()))</f>
        <v/>
      </c>
      <c r="S65" s="51" t="str">
        <f aca="false">IF(R65="","",IF(AND(N(K65)&gt;=$H$5,H65/MAX(N(K65),1)&lt;=P65*$E$5),"Масштабувати",IF(AND(N(K65)&gt;0,H65/MAX(N(K65),1)&lt;=P65),"В цілі",IF(R65&gt;='Спенд без лідів'!$H$5,"Рано судити",IF(R65&gt;='Спенд без лідів'!$H$6,"Під питанням",IF(R65&gt;='Спенд без лідів'!$H$7,"Вимикати","Давно треба було"))))))</f>
        <v/>
      </c>
      <c r="T65" s="26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8" hidden="false" customHeight="true" outlineLevel="0" collapsed="false">
      <c r="A66" s="1"/>
      <c r="B66" s="26"/>
      <c r="C66" s="35"/>
      <c r="D66" s="8"/>
      <c r="E66" s="26"/>
      <c r="F66" s="8"/>
      <c r="G66" s="26"/>
      <c r="H66" s="27"/>
      <c r="I66" s="36"/>
      <c r="J66" s="36"/>
      <c r="K66" s="36"/>
      <c r="L66" s="37" t="str">
        <f aca="false">IF($H66="","",IFERROR(J66/I66,""))</f>
        <v/>
      </c>
      <c r="M66" s="30" t="str">
        <f aca="false">IF($H66="","",IFERROR(H66/J66,""))</f>
        <v/>
      </c>
      <c r="N66" s="30" t="str">
        <f aca="false">IF($H66="","",IFERROR(H66/I66*1000,""))</f>
        <v/>
      </c>
      <c r="O66" s="30" t="str">
        <f aca="false">IF($H66="","",IFERROR(H66/K66,"—"))</f>
        <v/>
      </c>
      <c r="P66" s="30" t="str">
        <f aca="false">IF($H66="","",IFERROR(INDEX('Гео-калькулятор'!$K$7:$K$13,MATCH($D66,'Гео-калькулятор'!$B$7:$B$13,0)),""))</f>
        <v/>
      </c>
      <c r="Q66" s="38" t="str">
        <f aca="false">IF($H66="","",IFERROR(O66/P66,""))</f>
        <v/>
      </c>
      <c r="R66" s="38" t="str">
        <f aca="false">IF(OR($H66="",P66=""),"",POISSON(N(K66),H66/P66,TRUE()))</f>
        <v/>
      </c>
      <c r="S66" s="51" t="str">
        <f aca="false">IF(R66="","",IF(AND(N(K66)&gt;=$H$5,H66/MAX(N(K66),1)&lt;=P66*$E$5),"Масштабувати",IF(AND(N(K66)&gt;0,H66/MAX(N(K66),1)&lt;=P66),"В цілі",IF(R66&gt;='Спенд без лідів'!$H$5,"Рано судити",IF(R66&gt;='Спенд без лідів'!$H$6,"Під питанням",IF(R66&gt;='Спенд без лідів'!$H$7,"Вимикати","Давно треба було"))))))</f>
        <v/>
      </c>
      <c r="T66" s="2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8" hidden="false" customHeight="true" outlineLevel="0" collapsed="false">
      <c r="A67" s="1"/>
      <c r="B67" s="26"/>
      <c r="C67" s="35"/>
      <c r="D67" s="8"/>
      <c r="E67" s="26"/>
      <c r="F67" s="8"/>
      <c r="G67" s="26"/>
      <c r="H67" s="27"/>
      <c r="I67" s="36"/>
      <c r="J67" s="36"/>
      <c r="K67" s="36"/>
      <c r="L67" s="37" t="str">
        <f aca="false">IF($H67="","",IFERROR(J67/I67,""))</f>
        <v/>
      </c>
      <c r="M67" s="30" t="str">
        <f aca="false">IF($H67="","",IFERROR(H67/J67,""))</f>
        <v/>
      </c>
      <c r="N67" s="30" t="str">
        <f aca="false">IF($H67="","",IFERROR(H67/I67*1000,""))</f>
        <v/>
      </c>
      <c r="O67" s="30" t="str">
        <f aca="false">IF($H67="","",IFERROR(H67/K67,"—"))</f>
        <v/>
      </c>
      <c r="P67" s="30" t="str">
        <f aca="false">IF($H67="","",IFERROR(INDEX('Гео-калькулятор'!$K$7:$K$13,MATCH($D67,'Гео-калькулятор'!$B$7:$B$13,0)),""))</f>
        <v/>
      </c>
      <c r="Q67" s="38" t="str">
        <f aca="false">IF($H67="","",IFERROR(O67/P67,""))</f>
        <v/>
      </c>
      <c r="R67" s="38" t="str">
        <f aca="false">IF(OR($H67="",P67=""),"",POISSON(N(K67),H67/P67,TRUE()))</f>
        <v/>
      </c>
      <c r="S67" s="51" t="str">
        <f aca="false">IF(R67="","",IF(AND(N(K67)&gt;=$H$5,H67/MAX(N(K67),1)&lt;=P67*$E$5),"Масштабувати",IF(AND(N(K67)&gt;0,H67/MAX(N(K67),1)&lt;=P67),"В цілі",IF(R67&gt;='Спенд без лідів'!$H$5,"Рано судити",IF(R67&gt;='Спенд без лідів'!$H$6,"Під питанням",IF(R67&gt;='Спенд без лідів'!$H$7,"Вимикати","Давно треба було"))))))</f>
        <v/>
      </c>
      <c r="T67" s="26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8" hidden="false" customHeight="true" outlineLevel="0" collapsed="false">
      <c r="A68" s="1"/>
      <c r="B68" s="26"/>
      <c r="C68" s="35"/>
      <c r="D68" s="8"/>
      <c r="E68" s="26"/>
      <c r="F68" s="8"/>
      <c r="G68" s="26"/>
      <c r="H68" s="27"/>
      <c r="I68" s="36"/>
      <c r="J68" s="36"/>
      <c r="K68" s="36"/>
      <c r="L68" s="37" t="str">
        <f aca="false">IF($H68="","",IFERROR(J68/I68,""))</f>
        <v/>
      </c>
      <c r="M68" s="30" t="str">
        <f aca="false">IF($H68="","",IFERROR(H68/J68,""))</f>
        <v/>
      </c>
      <c r="N68" s="30" t="str">
        <f aca="false">IF($H68="","",IFERROR(H68/I68*1000,""))</f>
        <v/>
      </c>
      <c r="O68" s="30" t="str">
        <f aca="false">IF($H68="","",IFERROR(H68/K68,"—"))</f>
        <v/>
      </c>
      <c r="P68" s="30" t="str">
        <f aca="false">IF($H68="","",IFERROR(INDEX('Гео-калькулятор'!$K$7:$K$13,MATCH($D68,'Гео-калькулятор'!$B$7:$B$13,0)),""))</f>
        <v/>
      </c>
      <c r="Q68" s="38" t="str">
        <f aca="false">IF($H68="","",IFERROR(O68/P68,""))</f>
        <v/>
      </c>
      <c r="R68" s="38" t="str">
        <f aca="false">IF(OR($H68="",P68=""),"",POISSON(N(K68),H68/P68,TRUE()))</f>
        <v/>
      </c>
      <c r="S68" s="51" t="str">
        <f aca="false">IF(R68="","",IF(AND(N(K68)&gt;=$H$5,H68/MAX(N(K68),1)&lt;=P68*$E$5),"Масштабувати",IF(AND(N(K68)&gt;0,H68/MAX(N(K68),1)&lt;=P68),"В цілі",IF(R68&gt;='Спенд без лідів'!$H$5,"Рано судити",IF(R68&gt;='Спенд без лідів'!$H$6,"Під питанням",IF(R68&gt;='Спенд без лідів'!$H$7,"Вимикати","Давно треба було"))))))</f>
        <v/>
      </c>
      <c r="T68" s="26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8" hidden="false" customHeight="true" outlineLevel="0" collapsed="false">
      <c r="A69" s="1"/>
      <c r="B69" s="26"/>
      <c r="C69" s="35"/>
      <c r="D69" s="8"/>
      <c r="E69" s="26"/>
      <c r="F69" s="8"/>
      <c r="G69" s="26"/>
      <c r="H69" s="27"/>
      <c r="I69" s="36"/>
      <c r="J69" s="36"/>
      <c r="K69" s="36"/>
      <c r="L69" s="37" t="str">
        <f aca="false">IF($H69="","",IFERROR(J69/I69,""))</f>
        <v/>
      </c>
      <c r="M69" s="30" t="str">
        <f aca="false">IF($H69="","",IFERROR(H69/J69,""))</f>
        <v/>
      </c>
      <c r="N69" s="30" t="str">
        <f aca="false">IF($H69="","",IFERROR(H69/I69*1000,""))</f>
        <v/>
      </c>
      <c r="O69" s="30" t="str">
        <f aca="false">IF($H69="","",IFERROR(H69/K69,"—"))</f>
        <v/>
      </c>
      <c r="P69" s="30" t="str">
        <f aca="false">IF($H69="","",IFERROR(INDEX('Гео-калькулятор'!$K$7:$K$13,MATCH($D69,'Гео-калькулятор'!$B$7:$B$13,0)),""))</f>
        <v/>
      </c>
      <c r="Q69" s="38" t="str">
        <f aca="false">IF($H69="","",IFERROR(O69/P69,""))</f>
        <v/>
      </c>
      <c r="R69" s="38" t="str">
        <f aca="false">IF(OR($H69="",P69=""),"",POISSON(N(K69),H69/P69,TRUE()))</f>
        <v/>
      </c>
      <c r="S69" s="51" t="str">
        <f aca="false">IF(R69="","",IF(AND(N(K69)&gt;=$H$5,H69/MAX(N(K69),1)&lt;=P69*$E$5),"Масштабувати",IF(AND(N(K69)&gt;0,H69/MAX(N(K69),1)&lt;=P69),"В цілі",IF(R69&gt;='Спенд без лідів'!$H$5,"Рано судити",IF(R69&gt;='Спенд без лідів'!$H$6,"Під питанням",IF(R69&gt;='Спенд без лідів'!$H$7,"Вимикати","Давно треба було"))))))</f>
        <v/>
      </c>
      <c r="T69" s="26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8" hidden="false" customHeight="true" outlineLevel="0" collapsed="false">
      <c r="A70" s="1"/>
      <c r="B70" s="26"/>
      <c r="C70" s="35"/>
      <c r="D70" s="8"/>
      <c r="E70" s="26"/>
      <c r="F70" s="8"/>
      <c r="G70" s="26"/>
      <c r="H70" s="27"/>
      <c r="I70" s="36"/>
      <c r="J70" s="36"/>
      <c r="K70" s="36"/>
      <c r="L70" s="37" t="str">
        <f aca="false">IF($H70="","",IFERROR(J70/I70,""))</f>
        <v/>
      </c>
      <c r="M70" s="30" t="str">
        <f aca="false">IF($H70="","",IFERROR(H70/J70,""))</f>
        <v/>
      </c>
      <c r="N70" s="30" t="str">
        <f aca="false">IF($H70="","",IFERROR(H70/I70*1000,""))</f>
        <v/>
      </c>
      <c r="O70" s="30" t="str">
        <f aca="false">IF($H70="","",IFERROR(H70/K70,"—"))</f>
        <v/>
      </c>
      <c r="P70" s="30" t="str">
        <f aca="false">IF($H70="","",IFERROR(INDEX('Гео-калькулятор'!$K$7:$K$13,MATCH($D70,'Гео-калькулятор'!$B$7:$B$13,0)),""))</f>
        <v/>
      </c>
      <c r="Q70" s="38" t="str">
        <f aca="false">IF($H70="","",IFERROR(O70/P70,""))</f>
        <v/>
      </c>
      <c r="R70" s="38" t="str">
        <f aca="false">IF(OR($H70="",P70=""),"",POISSON(N(K70),H70/P70,TRUE()))</f>
        <v/>
      </c>
      <c r="S70" s="51" t="str">
        <f aca="false">IF(R70="","",IF(AND(N(K70)&gt;=$H$5,H70/MAX(N(K70),1)&lt;=P70*$E$5),"Масштабувати",IF(AND(N(K70)&gt;0,H70/MAX(N(K70),1)&lt;=P70),"В цілі",IF(R70&gt;='Спенд без лідів'!$H$5,"Рано судити",IF(R70&gt;='Спенд без лідів'!$H$6,"Під питанням",IF(R70&gt;='Спенд без лідів'!$H$7,"Вимикати","Давно треба було"))))))</f>
        <v/>
      </c>
      <c r="T70" s="26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8" hidden="false" customHeight="true" outlineLevel="0" collapsed="false">
      <c r="A71" s="1"/>
      <c r="B71" s="26"/>
      <c r="C71" s="35"/>
      <c r="D71" s="8"/>
      <c r="E71" s="26"/>
      <c r="F71" s="8"/>
      <c r="G71" s="26"/>
      <c r="H71" s="27"/>
      <c r="I71" s="36"/>
      <c r="J71" s="36"/>
      <c r="K71" s="36"/>
      <c r="L71" s="37" t="str">
        <f aca="false">IF($H71="","",IFERROR(J71/I71,""))</f>
        <v/>
      </c>
      <c r="M71" s="30" t="str">
        <f aca="false">IF($H71="","",IFERROR(H71/J71,""))</f>
        <v/>
      </c>
      <c r="N71" s="30" t="str">
        <f aca="false">IF($H71="","",IFERROR(H71/I71*1000,""))</f>
        <v/>
      </c>
      <c r="O71" s="30" t="str">
        <f aca="false">IF($H71="","",IFERROR(H71/K71,"—"))</f>
        <v/>
      </c>
      <c r="P71" s="30" t="str">
        <f aca="false">IF($H71="","",IFERROR(INDEX('Гео-калькулятор'!$K$7:$K$13,MATCH($D71,'Гео-калькулятор'!$B$7:$B$13,0)),""))</f>
        <v/>
      </c>
      <c r="Q71" s="38" t="str">
        <f aca="false">IF($H71="","",IFERROR(O71/P71,""))</f>
        <v/>
      </c>
      <c r="R71" s="38" t="str">
        <f aca="false">IF(OR($H71="",P71=""),"",POISSON(N(K71),H71/P71,TRUE()))</f>
        <v/>
      </c>
      <c r="S71" s="51" t="str">
        <f aca="false">IF(R71="","",IF(AND(N(K71)&gt;=$H$5,H71/MAX(N(K71),1)&lt;=P71*$E$5),"Масштабувати",IF(AND(N(K71)&gt;0,H71/MAX(N(K71),1)&lt;=P71),"В цілі",IF(R71&gt;='Спенд без лідів'!$H$5,"Рано судити",IF(R71&gt;='Спенд без лідів'!$H$6,"Під питанням",IF(R71&gt;='Спенд без лідів'!$H$7,"Вимикати","Давно треба було"))))))</f>
        <v/>
      </c>
      <c r="T71" s="26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8" hidden="false" customHeight="true" outlineLevel="0" collapsed="false">
      <c r="A72" s="1"/>
      <c r="B72" s="26"/>
      <c r="C72" s="35"/>
      <c r="D72" s="8"/>
      <c r="E72" s="26"/>
      <c r="F72" s="8"/>
      <c r="G72" s="26"/>
      <c r="H72" s="27"/>
      <c r="I72" s="36"/>
      <c r="J72" s="36"/>
      <c r="K72" s="36"/>
      <c r="L72" s="37" t="str">
        <f aca="false">IF($H72="","",IFERROR(J72/I72,""))</f>
        <v/>
      </c>
      <c r="M72" s="30" t="str">
        <f aca="false">IF($H72="","",IFERROR(H72/J72,""))</f>
        <v/>
      </c>
      <c r="N72" s="30" t="str">
        <f aca="false">IF($H72="","",IFERROR(H72/I72*1000,""))</f>
        <v/>
      </c>
      <c r="O72" s="30" t="str">
        <f aca="false">IF($H72="","",IFERROR(H72/K72,"—"))</f>
        <v/>
      </c>
      <c r="P72" s="30" t="str">
        <f aca="false">IF($H72="","",IFERROR(INDEX('Гео-калькулятор'!$K$7:$K$13,MATCH($D72,'Гео-калькулятор'!$B$7:$B$13,0)),""))</f>
        <v/>
      </c>
      <c r="Q72" s="38" t="str">
        <f aca="false">IF($H72="","",IFERROR(O72/P72,""))</f>
        <v/>
      </c>
      <c r="R72" s="38" t="str">
        <f aca="false">IF(OR($H72="",P72=""),"",POISSON(N(K72),H72/P72,TRUE()))</f>
        <v/>
      </c>
      <c r="S72" s="51" t="str">
        <f aca="false">IF(R72="","",IF(AND(N(K72)&gt;=$H$5,H72/MAX(N(K72),1)&lt;=P72*$E$5),"Масштабувати",IF(AND(N(K72)&gt;0,H72/MAX(N(K72),1)&lt;=P72),"В цілі",IF(R72&gt;='Спенд без лідів'!$H$5,"Рано судити",IF(R72&gt;='Спенд без лідів'!$H$6,"Під питанням",IF(R72&gt;='Спенд без лідів'!$H$7,"Вимикати","Давно треба було"))))))</f>
        <v/>
      </c>
      <c r="T72" s="26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8" hidden="false" customHeight="true" outlineLevel="0" collapsed="false">
      <c r="A73" s="1"/>
      <c r="B73" s="26"/>
      <c r="C73" s="35"/>
      <c r="D73" s="8"/>
      <c r="E73" s="26"/>
      <c r="F73" s="8"/>
      <c r="G73" s="26"/>
      <c r="H73" s="27"/>
      <c r="I73" s="36"/>
      <c r="J73" s="36"/>
      <c r="K73" s="36"/>
      <c r="L73" s="37" t="str">
        <f aca="false">IF($H73="","",IFERROR(J73/I73,""))</f>
        <v/>
      </c>
      <c r="M73" s="30" t="str">
        <f aca="false">IF($H73="","",IFERROR(H73/J73,""))</f>
        <v/>
      </c>
      <c r="N73" s="30" t="str">
        <f aca="false">IF($H73="","",IFERROR(H73/I73*1000,""))</f>
        <v/>
      </c>
      <c r="O73" s="30" t="str">
        <f aca="false">IF($H73="","",IFERROR(H73/K73,"—"))</f>
        <v/>
      </c>
      <c r="P73" s="30" t="str">
        <f aca="false">IF($H73="","",IFERROR(INDEX('Гео-калькулятор'!$K$7:$K$13,MATCH($D73,'Гео-калькулятор'!$B$7:$B$13,0)),""))</f>
        <v/>
      </c>
      <c r="Q73" s="38" t="str">
        <f aca="false">IF($H73="","",IFERROR(O73/P73,""))</f>
        <v/>
      </c>
      <c r="R73" s="38" t="str">
        <f aca="false">IF(OR($H73="",P73=""),"",POISSON(N(K73),H73/P73,TRUE()))</f>
        <v/>
      </c>
      <c r="S73" s="51" t="str">
        <f aca="false">IF(R73="","",IF(AND(N(K73)&gt;=$H$5,H73/MAX(N(K73),1)&lt;=P73*$E$5),"Масштабувати",IF(AND(N(K73)&gt;0,H73/MAX(N(K73),1)&lt;=P73),"В цілі",IF(R73&gt;='Спенд без лідів'!$H$5,"Рано судити",IF(R73&gt;='Спенд без лідів'!$H$6,"Під питанням",IF(R73&gt;='Спенд без лідів'!$H$7,"Вимикати","Давно треба було"))))))</f>
        <v/>
      </c>
      <c r="T73" s="26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8" hidden="false" customHeight="true" outlineLevel="0" collapsed="false">
      <c r="A74" s="1"/>
      <c r="B74" s="26"/>
      <c r="C74" s="35"/>
      <c r="D74" s="8"/>
      <c r="E74" s="26"/>
      <c r="F74" s="8"/>
      <c r="G74" s="26"/>
      <c r="H74" s="27"/>
      <c r="I74" s="36"/>
      <c r="J74" s="36"/>
      <c r="K74" s="36"/>
      <c r="L74" s="37" t="str">
        <f aca="false">IF($H74="","",IFERROR(J74/I74,""))</f>
        <v/>
      </c>
      <c r="M74" s="30" t="str">
        <f aca="false">IF($H74="","",IFERROR(H74/J74,""))</f>
        <v/>
      </c>
      <c r="N74" s="30" t="str">
        <f aca="false">IF($H74="","",IFERROR(H74/I74*1000,""))</f>
        <v/>
      </c>
      <c r="O74" s="30" t="str">
        <f aca="false">IF($H74="","",IFERROR(H74/K74,"—"))</f>
        <v/>
      </c>
      <c r="P74" s="30" t="str">
        <f aca="false">IF($H74="","",IFERROR(INDEX('Гео-калькулятор'!$K$7:$K$13,MATCH($D74,'Гео-калькулятор'!$B$7:$B$13,0)),""))</f>
        <v/>
      </c>
      <c r="Q74" s="38" t="str">
        <f aca="false">IF($H74="","",IFERROR(O74/P74,""))</f>
        <v/>
      </c>
      <c r="R74" s="38" t="str">
        <f aca="false">IF(OR($H74="",P74=""),"",POISSON(N(K74),H74/P74,TRUE()))</f>
        <v/>
      </c>
      <c r="S74" s="51" t="str">
        <f aca="false">IF(R74="","",IF(AND(N(K74)&gt;=$H$5,H74/MAX(N(K74),1)&lt;=P74*$E$5),"Масштабувати",IF(AND(N(K74)&gt;0,H74/MAX(N(K74),1)&lt;=P74),"В цілі",IF(R74&gt;='Спенд без лідів'!$H$5,"Рано судити",IF(R74&gt;='Спенд без лідів'!$H$6,"Під питанням",IF(R74&gt;='Спенд без лідів'!$H$7,"Вимикати","Давно треба було"))))))</f>
        <v/>
      </c>
      <c r="T74" s="26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8" hidden="false" customHeight="true" outlineLevel="0" collapsed="false">
      <c r="A75" s="1"/>
      <c r="B75" s="26"/>
      <c r="C75" s="35"/>
      <c r="D75" s="8"/>
      <c r="E75" s="26"/>
      <c r="F75" s="8"/>
      <c r="G75" s="26"/>
      <c r="H75" s="27"/>
      <c r="I75" s="36"/>
      <c r="J75" s="36"/>
      <c r="K75" s="36"/>
      <c r="L75" s="37" t="str">
        <f aca="false">IF($H75="","",IFERROR(J75/I75,""))</f>
        <v/>
      </c>
      <c r="M75" s="30" t="str">
        <f aca="false">IF($H75="","",IFERROR(H75/J75,""))</f>
        <v/>
      </c>
      <c r="N75" s="30" t="str">
        <f aca="false">IF($H75="","",IFERROR(H75/I75*1000,""))</f>
        <v/>
      </c>
      <c r="O75" s="30" t="str">
        <f aca="false">IF($H75="","",IFERROR(H75/K75,"—"))</f>
        <v/>
      </c>
      <c r="P75" s="30" t="str">
        <f aca="false">IF($H75="","",IFERROR(INDEX('Гео-калькулятор'!$K$7:$K$13,MATCH($D75,'Гео-калькулятор'!$B$7:$B$13,0)),""))</f>
        <v/>
      </c>
      <c r="Q75" s="38" t="str">
        <f aca="false">IF($H75="","",IFERROR(O75/P75,""))</f>
        <v/>
      </c>
      <c r="R75" s="38" t="str">
        <f aca="false">IF(OR($H75="",P75=""),"",POISSON(N(K75),H75/P75,TRUE()))</f>
        <v/>
      </c>
      <c r="S75" s="51" t="str">
        <f aca="false">IF(R75="","",IF(AND(N(K75)&gt;=$H$5,H75/MAX(N(K75),1)&lt;=P75*$E$5),"Масштабувати",IF(AND(N(K75)&gt;0,H75/MAX(N(K75),1)&lt;=P75),"В цілі",IF(R75&gt;='Спенд без лідів'!$H$5,"Рано судити",IF(R75&gt;='Спенд без лідів'!$H$6,"Під питанням",IF(R75&gt;='Спенд без лідів'!$H$7,"Вимикати","Давно треба було"))))))</f>
        <v/>
      </c>
      <c r="T75" s="26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8" hidden="false" customHeight="true" outlineLevel="0" collapsed="false">
      <c r="A76" s="1"/>
      <c r="B76" s="26"/>
      <c r="C76" s="35"/>
      <c r="D76" s="8"/>
      <c r="E76" s="26"/>
      <c r="F76" s="8"/>
      <c r="G76" s="26"/>
      <c r="H76" s="27"/>
      <c r="I76" s="36"/>
      <c r="J76" s="36"/>
      <c r="K76" s="36"/>
      <c r="L76" s="37" t="str">
        <f aca="false">IF($H76="","",IFERROR(J76/I76,""))</f>
        <v/>
      </c>
      <c r="M76" s="30" t="str">
        <f aca="false">IF($H76="","",IFERROR(H76/J76,""))</f>
        <v/>
      </c>
      <c r="N76" s="30" t="str">
        <f aca="false">IF($H76="","",IFERROR(H76/I76*1000,""))</f>
        <v/>
      </c>
      <c r="O76" s="30" t="str">
        <f aca="false">IF($H76="","",IFERROR(H76/K76,"—"))</f>
        <v/>
      </c>
      <c r="P76" s="30" t="str">
        <f aca="false">IF($H76="","",IFERROR(INDEX('Гео-калькулятор'!$K$7:$K$13,MATCH($D76,'Гео-калькулятор'!$B$7:$B$13,0)),""))</f>
        <v/>
      </c>
      <c r="Q76" s="38" t="str">
        <f aca="false">IF($H76="","",IFERROR(O76/P76,""))</f>
        <v/>
      </c>
      <c r="R76" s="38" t="str">
        <f aca="false">IF(OR($H76="",P76=""),"",POISSON(N(K76),H76/P76,TRUE()))</f>
        <v/>
      </c>
      <c r="S76" s="51" t="str">
        <f aca="false">IF(R76="","",IF(AND(N(K76)&gt;=$H$5,H76/MAX(N(K76),1)&lt;=P76*$E$5),"Масштабувати",IF(AND(N(K76)&gt;0,H76/MAX(N(K76),1)&lt;=P76),"В цілі",IF(R76&gt;='Спенд без лідів'!$H$5,"Рано судити",IF(R76&gt;='Спенд без лідів'!$H$6,"Під питанням",IF(R76&gt;='Спенд без лідів'!$H$7,"Вимикати","Давно треба було"))))))</f>
        <v/>
      </c>
      <c r="T76" s="26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8" hidden="false" customHeight="true" outlineLevel="0" collapsed="false">
      <c r="A77" s="1"/>
      <c r="B77" s="26"/>
      <c r="C77" s="35"/>
      <c r="D77" s="8"/>
      <c r="E77" s="26"/>
      <c r="F77" s="8"/>
      <c r="G77" s="26"/>
      <c r="H77" s="27"/>
      <c r="I77" s="36"/>
      <c r="J77" s="36"/>
      <c r="K77" s="36"/>
      <c r="L77" s="37" t="str">
        <f aca="false">IF($H77="","",IFERROR(J77/I77,""))</f>
        <v/>
      </c>
      <c r="M77" s="30" t="str">
        <f aca="false">IF($H77="","",IFERROR(H77/J77,""))</f>
        <v/>
      </c>
      <c r="N77" s="30" t="str">
        <f aca="false">IF($H77="","",IFERROR(H77/I77*1000,""))</f>
        <v/>
      </c>
      <c r="O77" s="30" t="str">
        <f aca="false">IF($H77="","",IFERROR(H77/K77,"—"))</f>
        <v/>
      </c>
      <c r="P77" s="30" t="str">
        <f aca="false">IF($H77="","",IFERROR(INDEX('Гео-калькулятор'!$K$7:$K$13,MATCH($D77,'Гео-калькулятор'!$B$7:$B$13,0)),""))</f>
        <v/>
      </c>
      <c r="Q77" s="38" t="str">
        <f aca="false">IF($H77="","",IFERROR(O77/P77,""))</f>
        <v/>
      </c>
      <c r="R77" s="38" t="str">
        <f aca="false">IF(OR($H77="",P77=""),"",POISSON(N(K77),H77/P77,TRUE()))</f>
        <v/>
      </c>
      <c r="S77" s="51" t="str">
        <f aca="false">IF(R77="","",IF(AND(N(K77)&gt;=$H$5,H77/MAX(N(K77),1)&lt;=P77*$E$5),"Масштабувати",IF(AND(N(K77)&gt;0,H77/MAX(N(K77),1)&lt;=P77),"В цілі",IF(R77&gt;='Спенд без лідів'!$H$5,"Рано судити",IF(R77&gt;='Спенд без лідів'!$H$6,"Під питанням",IF(R77&gt;='Спенд без лідів'!$H$7,"Вимикати","Давно треба було"))))))</f>
        <v/>
      </c>
      <c r="T77" s="26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8" hidden="false" customHeight="true" outlineLevel="0" collapsed="false">
      <c r="A78" s="1"/>
      <c r="B78" s="26"/>
      <c r="C78" s="35"/>
      <c r="D78" s="8"/>
      <c r="E78" s="26"/>
      <c r="F78" s="8"/>
      <c r="G78" s="26"/>
      <c r="H78" s="27"/>
      <c r="I78" s="36"/>
      <c r="J78" s="36"/>
      <c r="K78" s="36"/>
      <c r="L78" s="37" t="str">
        <f aca="false">IF($H78="","",IFERROR(J78/I78,""))</f>
        <v/>
      </c>
      <c r="M78" s="30" t="str">
        <f aca="false">IF($H78="","",IFERROR(H78/J78,""))</f>
        <v/>
      </c>
      <c r="N78" s="30" t="str">
        <f aca="false">IF($H78="","",IFERROR(H78/I78*1000,""))</f>
        <v/>
      </c>
      <c r="O78" s="30" t="str">
        <f aca="false">IF($H78="","",IFERROR(H78/K78,"—"))</f>
        <v/>
      </c>
      <c r="P78" s="30" t="str">
        <f aca="false">IF($H78="","",IFERROR(INDEX('Гео-калькулятор'!$K$7:$K$13,MATCH($D78,'Гео-калькулятор'!$B$7:$B$13,0)),""))</f>
        <v/>
      </c>
      <c r="Q78" s="38" t="str">
        <f aca="false">IF($H78="","",IFERROR(O78/P78,""))</f>
        <v/>
      </c>
      <c r="R78" s="38" t="str">
        <f aca="false">IF(OR($H78="",P78=""),"",POISSON(N(K78),H78/P78,TRUE()))</f>
        <v/>
      </c>
      <c r="S78" s="51" t="str">
        <f aca="false">IF(R78="","",IF(AND(N(K78)&gt;=$H$5,H78/MAX(N(K78),1)&lt;=P78*$E$5),"Масштабувати",IF(AND(N(K78)&gt;0,H78/MAX(N(K78),1)&lt;=P78),"В цілі",IF(R78&gt;='Спенд без лідів'!$H$5,"Рано судити",IF(R78&gt;='Спенд без лідів'!$H$6,"Під питанням",IF(R78&gt;='Спенд без лідів'!$H$7,"Вимикати","Давно треба було"))))))</f>
        <v/>
      </c>
      <c r="T78" s="26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8" hidden="false" customHeight="true" outlineLevel="0" collapsed="false">
      <c r="A79" s="1"/>
      <c r="B79" s="26"/>
      <c r="C79" s="35"/>
      <c r="D79" s="8"/>
      <c r="E79" s="26"/>
      <c r="F79" s="8"/>
      <c r="G79" s="26"/>
      <c r="H79" s="27"/>
      <c r="I79" s="36"/>
      <c r="J79" s="36"/>
      <c r="K79" s="36"/>
      <c r="L79" s="37" t="str">
        <f aca="false">IF($H79="","",IFERROR(J79/I79,""))</f>
        <v/>
      </c>
      <c r="M79" s="30" t="str">
        <f aca="false">IF($H79="","",IFERROR(H79/J79,""))</f>
        <v/>
      </c>
      <c r="N79" s="30" t="str">
        <f aca="false">IF($H79="","",IFERROR(H79/I79*1000,""))</f>
        <v/>
      </c>
      <c r="O79" s="30" t="str">
        <f aca="false">IF($H79="","",IFERROR(H79/K79,"—"))</f>
        <v/>
      </c>
      <c r="P79" s="30" t="str">
        <f aca="false">IF($H79="","",IFERROR(INDEX('Гео-калькулятор'!$K$7:$K$13,MATCH($D79,'Гео-калькулятор'!$B$7:$B$13,0)),""))</f>
        <v/>
      </c>
      <c r="Q79" s="38" t="str">
        <f aca="false">IF($H79="","",IFERROR(O79/P79,""))</f>
        <v/>
      </c>
      <c r="R79" s="38" t="str">
        <f aca="false">IF(OR($H79="",P79=""),"",POISSON(N(K79),H79/P79,TRUE()))</f>
        <v/>
      </c>
      <c r="S79" s="51" t="str">
        <f aca="false">IF(R79="","",IF(AND(N(K79)&gt;=$H$5,H79/MAX(N(K79),1)&lt;=P79*$E$5),"Масштабувати",IF(AND(N(K79)&gt;0,H79/MAX(N(K79),1)&lt;=P79),"В цілі",IF(R79&gt;='Спенд без лідів'!$H$5,"Рано судити",IF(R79&gt;='Спенд без лідів'!$H$6,"Під питанням",IF(R79&gt;='Спенд без лідів'!$H$7,"Вимикати","Давно треба було"))))))</f>
        <v/>
      </c>
      <c r="T79" s="26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8" hidden="false" customHeight="true" outlineLevel="0" collapsed="false">
      <c r="A80" s="1"/>
      <c r="B80" s="26"/>
      <c r="C80" s="35"/>
      <c r="D80" s="8"/>
      <c r="E80" s="26"/>
      <c r="F80" s="8"/>
      <c r="G80" s="26"/>
      <c r="H80" s="27"/>
      <c r="I80" s="36"/>
      <c r="J80" s="36"/>
      <c r="K80" s="36"/>
      <c r="L80" s="37" t="str">
        <f aca="false">IF($H80="","",IFERROR(J80/I80,""))</f>
        <v/>
      </c>
      <c r="M80" s="30" t="str">
        <f aca="false">IF($H80="","",IFERROR(H80/J80,""))</f>
        <v/>
      </c>
      <c r="N80" s="30" t="str">
        <f aca="false">IF($H80="","",IFERROR(H80/I80*1000,""))</f>
        <v/>
      </c>
      <c r="O80" s="30" t="str">
        <f aca="false">IF($H80="","",IFERROR(H80/K80,"—"))</f>
        <v/>
      </c>
      <c r="P80" s="30" t="str">
        <f aca="false">IF($H80="","",IFERROR(INDEX('Гео-калькулятор'!$K$7:$K$13,MATCH($D80,'Гео-калькулятор'!$B$7:$B$13,0)),""))</f>
        <v/>
      </c>
      <c r="Q80" s="38" t="str">
        <f aca="false">IF($H80="","",IFERROR(O80/P80,""))</f>
        <v/>
      </c>
      <c r="R80" s="38" t="str">
        <f aca="false">IF(OR($H80="",P80=""),"",POISSON(N(K80),H80/P80,TRUE()))</f>
        <v/>
      </c>
      <c r="S80" s="51" t="str">
        <f aca="false">IF(R80="","",IF(AND(N(K80)&gt;=$H$5,H80/MAX(N(K80),1)&lt;=P80*$E$5),"Масштабувати",IF(AND(N(K80)&gt;0,H80/MAX(N(K80),1)&lt;=P80),"В цілі",IF(R80&gt;='Спенд без лідів'!$H$5,"Рано судити",IF(R80&gt;='Спенд без лідів'!$H$6,"Під питанням",IF(R80&gt;='Спенд без лідів'!$H$7,"Вимикати","Давно треба було"))))))</f>
        <v/>
      </c>
      <c r="T80" s="26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8" hidden="false" customHeight="true" outlineLevel="0" collapsed="false">
      <c r="A81" s="1"/>
      <c r="B81" s="26"/>
      <c r="C81" s="35"/>
      <c r="D81" s="8"/>
      <c r="E81" s="26"/>
      <c r="F81" s="8"/>
      <c r="G81" s="26"/>
      <c r="H81" s="27"/>
      <c r="I81" s="36"/>
      <c r="J81" s="36"/>
      <c r="K81" s="36"/>
      <c r="L81" s="37" t="str">
        <f aca="false">IF($H81="","",IFERROR(J81/I81,""))</f>
        <v/>
      </c>
      <c r="M81" s="30" t="str">
        <f aca="false">IF($H81="","",IFERROR(H81/J81,""))</f>
        <v/>
      </c>
      <c r="N81" s="30" t="str">
        <f aca="false">IF($H81="","",IFERROR(H81/I81*1000,""))</f>
        <v/>
      </c>
      <c r="O81" s="30" t="str">
        <f aca="false">IF($H81="","",IFERROR(H81/K81,"—"))</f>
        <v/>
      </c>
      <c r="P81" s="30" t="str">
        <f aca="false">IF($H81="","",IFERROR(INDEX('Гео-калькулятор'!$K$7:$K$13,MATCH($D81,'Гео-калькулятор'!$B$7:$B$13,0)),""))</f>
        <v/>
      </c>
      <c r="Q81" s="38" t="str">
        <f aca="false">IF($H81="","",IFERROR(O81/P81,""))</f>
        <v/>
      </c>
      <c r="R81" s="38" t="str">
        <f aca="false">IF(OR($H81="",P81=""),"",POISSON(N(K81),H81/P81,TRUE()))</f>
        <v/>
      </c>
      <c r="S81" s="51" t="str">
        <f aca="false">IF(R81="","",IF(AND(N(K81)&gt;=$H$5,H81/MAX(N(K81),1)&lt;=P81*$E$5),"Масштабувати",IF(AND(N(K81)&gt;0,H81/MAX(N(K81),1)&lt;=P81),"В цілі",IF(R81&gt;='Спенд без лідів'!$H$5,"Рано судити",IF(R81&gt;='Спенд без лідів'!$H$6,"Під питанням",IF(R81&gt;='Спенд без лідів'!$H$7,"Вимикати","Давно треба було"))))))</f>
        <v/>
      </c>
      <c r="T81" s="26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8" hidden="false" customHeight="true" outlineLevel="0" collapsed="false">
      <c r="A82" s="1"/>
      <c r="B82" s="26"/>
      <c r="C82" s="35"/>
      <c r="D82" s="8"/>
      <c r="E82" s="26"/>
      <c r="F82" s="8"/>
      <c r="G82" s="26"/>
      <c r="H82" s="27"/>
      <c r="I82" s="36"/>
      <c r="J82" s="36"/>
      <c r="K82" s="36"/>
      <c r="L82" s="37" t="str">
        <f aca="false">IF($H82="","",IFERROR(J82/I82,""))</f>
        <v/>
      </c>
      <c r="M82" s="30" t="str">
        <f aca="false">IF($H82="","",IFERROR(H82/J82,""))</f>
        <v/>
      </c>
      <c r="N82" s="30" t="str">
        <f aca="false">IF($H82="","",IFERROR(H82/I82*1000,""))</f>
        <v/>
      </c>
      <c r="O82" s="30" t="str">
        <f aca="false">IF($H82="","",IFERROR(H82/K82,"—"))</f>
        <v/>
      </c>
      <c r="P82" s="30" t="str">
        <f aca="false">IF($H82="","",IFERROR(INDEX('Гео-калькулятор'!$K$7:$K$13,MATCH($D82,'Гео-калькулятор'!$B$7:$B$13,0)),""))</f>
        <v/>
      </c>
      <c r="Q82" s="38" t="str">
        <f aca="false">IF($H82="","",IFERROR(O82/P82,""))</f>
        <v/>
      </c>
      <c r="R82" s="38" t="str">
        <f aca="false">IF(OR($H82="",P82=""),"",POISSON(N(K82),H82/P82,TRUE()))</f>
        <v/>
      </c>
      <c r="S82" s="51" t="str">
        <f aca="false">IF(R82="","",IF(AND(N(K82)&gt;=$H$5,H82/MAX(N(K82),1)&lt;=P82*$E$5),"Масштабувати",IF(AND(N(K82)&gt;0,H82/MAX(N(K82),1)&lt;=P82),"В цілі",IF(R82&gt;='Спенд без лідів'!$H$5,"Рано судити",IF(R82&gt;='Спенд без лідів'!$H$6,"Під питанням",IF(R82&gt;='Спенд без лідів'!$H$7,"Вимикати","Давно треба було"))))))</f>
        <v/>
      </c>
      <c r="T82" s="26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8" hidden="false" customHeight="true" outlineLevel="0" collapsed="false">
      <c r="A83" s="1"/>
      <c r="B83" s="26"/>
      <c r="C83" s="35"/>
      <c r="D83" s="8"/>
      <c r="E83" s="26"/>
      <c r="F83" s="8"/>
      <c r="G83" s="26"/>
      <c r="H83" s="27"/>
      <c r="I83" s="36"/>
      <c r="J83" s="36"/>
      <c r="K83" s="36"/>
      <c r="L83" s="37" t="str">
        <f aca="false">IF($H83="","",IFERROR(J83/I83,""))</f>
        <v/>
      </c>
      <c r="M83" s="30" t="str">
        <f aca="false">IF($H83="","",IFERROR(H83/J83,""))</f>
        <v/>
      </c>
      <c r="N83" s="30" t="str">
        <f aca="false">IF($H83="","",IFERROR(H83/I83*1000,""))</f>
        <v/>
      </c>
      <c r="O83" s="30" t="str">
        <f aca="false">IF($H83="","",IFERROR(H83/K83,"—"))</f>
        <v/>
      </c>
      <c r="P83" s="30" t="str">
        <f aca="false">IF($H83="","",IFERROR(INDEX('Гео-калькулятор'!$K$7:$K$13,MATCH($D83,'Гео-калькулятор'!$B$7:$B$13,0)),""))</f>
        <v/>
      </c>
      <c r="Q83" s="38" t="str">
        <f aca="false">IF($H83="","",IFERROR(O83/P83,""))</f>
        <v/>
      </c>
      <c r="R83" s="38" t="str">
        <f aca="false">IF(OR($H83="",P83=""),"",POISSON(N(K83),H83/P83,TRUE()))</f>
        <v/>
      </c>
      <c r="S83" s="51" t="str">
        <f aca="false">IF(R83="","",IF(AND(N(K83)&gt;=$H$5,H83/MAX(N(K83),1)&lt;=P83*$E$5),"Масштабувати",IF(AND(N(K83)&gt;0,H83/MAX(N(K83),1)&lt;=P83),"В цілі",IF(R83&gt;='Спенд без лідів'!$H$5,"Рано судити",IF(R83&gt;='Спенд без лідів'!$H$6,"Під питанням",IF(R83&gt;='Спенд без лідів'!$H$7,"Вимикати","Давно треба було"))))))</f>
        <v/>
      </c>
      <c r="T83" s="26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8" hidden="false" customHeight="true" outlineLevel="0" collapsed="false">
      <c r="A84" s="1"/>
      <c r="B84" s="26"/>
      <c r="C84" s="35"/>
      <c r="D84" s="8"/>
      <c r="E84" s="26"/>
      <c r="F84" s="8"/>
      <c r="G84" s="26"/>
      <c r="H84" s="27"/>
      <c r="I84" s="36"/>
      <c r="J84" s="36"/>
      <c r="K84" s="36"/>
      <c r="L84" s="37" t="str">
        <f aca="false">IF($H84="","",IFERROR(J84/I84,""))</f>
        <v/>
      </c>
      <c r="M84" s="30" t="str">
        <f aca="false">IF($H84="","",IFERROR(H84/J84,""))</f>
        <v/>
      </c>
      <c r="N84" s="30" t="str">
        <f aca="false">IF($H84="","",IFERROR(H84/I84*1000,""))</f>
        <v/>
      </c>
      <c r="O84" s="30" t="str">
        <f aca="false">IF($H84="","",IFERROR(H84/K84,"—"))</f>
        <v/>
      </c>
      <c r="P84" s="30" t="str">
        <f aca="false">IF($H84="","",IFERROR(INDEX('Гео-калькулятор'!$K$7:$K$13,MATCH($D84,'Гео-калькулятор'!$B$7:$B$13,0)),""))</f>
        <v/>
      </c>
      <c r="Q84" s="38" t="str">
        <f aca="false">IF($H84="","",IFERROR(O84/P84,""))</f>
        <v/>
      </c>
      <c r="R84" s="38" t="str">
        <f aca="false">IF(OR($H84="",P84=""),"",POISSON(N(K84),H84/P84,TRUE()))</f>
        <v/>
      </c>
      <c r="S84" s="51" t="str">
        <f aca="false">IF(R84="","",IF(AND(N(K84)&gt;=$H$5,H84/MAX(N(K84),1)&lt;=P84*$E$5),"Масштабувати",IF(AND(N(K84)&gt;0,H84/MAX(N(K84),1)&lt;=P84),"В цілі",IF(R84&gt;='Спенд без лідів'!$H$5,"Рано судити",IF(R84&gt;='Спенд без лідів'!$H$6,"Під питанням",IF(R84&gt;='Спенд без лідів'!$H$7,"Вимикати","Давно треба було"))))))</f>
        <v/>
      </c>
      <c r="T84" s="26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8" hidden="false" customHeight="true" outlineLevel="0" collapsed="false">
      <c r="A85" s="1"/>
      <c r="B85" s="26"/>
      <c r="C85" s="35"/>
      <c r="D85" s="8"/>
      <c r="E85" s="26"/>
      <c r="F85" s="8"/>
      <c r="G85" s="26"/>
      <c r="H85" s="27"/>
      <c r="I85" s="36"/>
      <c r="J85" s="36"/>
      <c r="K85" s="36"/>
      <c r="L85" s="37" t="str">
        <f aca="false">IF($H85="","",IFERROR(J85/I85,""))</f>
        <v/>
      </c>
      <c r="M85" s="30" t="str">
        <f aca="false">IF($H85="","",IFERROR(H85/J85,""))</f>
        <v/>
      </c>
      <c r="N85" s="30" t="str">
        <f aca="false">IF($H85="","",IFERROR(H85/I85*1000,""))</f>
        <v/>
      </c>
      <c r="O85" s="30" t="str">
        <f aca="false">IF($H85="","",IFERROR(H85/K85,"—"))</f>
        <v/>
      </c>
      <c r="P85" s="30" t="str">
        <f aca="false">IF($H85="","",IFERROR(INDEX('Гео-калькулятор'!$K$7:$K$13,MATCH($D85,'Гео-калькулятор'!$B$7:$B$13,0)),""))</f>
        <v/>
      </c>
      <c r="Q85" s="38" t="str">
        <f aca="false">IF($H85="","",IFERROR(O85/P85,""))</f>
        <v/>
      </c>
      <c r="R85" s="38" t="str">
        <f aca="false">IF(OR($H85="",P85=""),"",POISSON(N(K85),H85/P85,TRUE()))</f>
        <v/>
      </c>
      <c r="S85" s="51" t="str">
        <f aca="false">IF(R85="","",IF(AND(N(K85)&gt;=$H$5,H85/MAX(N(K85),1)&lt;=P85*$E$5),"Масштабувати",IF(AND(N(K85)&gt;0,H85/MAX(N(K85),1)&lt;=P85),"В цілі",IF(R85&gt;='Спенд без лідів'!$H$5,"Рано судити",IF(R85&gt;='Спенд без лідів'!$H$6,"Під питанням",IF(R85&gt;='Спенд без лідів'!$H$7,"Вимикати","Давно треба було"))))))</f>
        <v/>
      </c>
      <c r="T85" s="26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8" hidden="false" customHeight="true" outlineLevel="0" collapsed="false">
      <c r="A86" s="1"/>
      <c r="B86" s="26"/>
      <c r="C86" s="35"/>
      <c r="D86" s="8"/>
      <c r="E86" s="26"/>
      <c r="F86" s="8"/>
      <c r="G86" s="26"/>
      <c r="H86" s="27"/>
      <c r="I86" s="36"/>
      <c r="J86" s="36"/>
      <c r="K86" s="36"/>
      <c r="L86" s="37" t="str">
        <f aca="false">IF($H86="","",IFERROR(J86/I86,""))</f>
        <v/>
      </c>
      <c r="M86" s="30" t="str">
        <f aca="false">IF($H86="","",IFERROR(H86/J86,""))</f>
        <v/>
      </c>
      <c r="N86" s="30" t="str">
        <f aca="false">IF($H86="","",IFERROR(H86/I86*1000,""))</f>
        <v/>
      </c>
      <c r="O86" s="30" t="str">
        <f aca="false">IF($H86="","",IFERROR(H86/K86,"—"))</f>
        <v/>
      </c>
      <c r="P86" s="30" t="str">
        <f aca="false">IF($H86="","",IFERROR(INDEX('Гео-калькулятор'!$K$7:$K$13,MATCH($D86,'Гео-калькулятор'!$B$7:$B$13,0)),""))</f>
        <v/>
      </c>
      <c r="Q86" s="38" t="str">
        <f aca="false">IF($H86="","",IFERROR(O86/P86,""))</f>
        <v/>
      </c>
      <c r="R86" s="38" t="str">
        <f aca="false">IF(OR($H86="",P86=""),"",POISSON(N(K86),H86/P86,TRUE()))</f>
        <v/>
      </c>
      <c r="S86" s="51" t="str">
        <f aca="false">IF(R86="","",IF(AND(N(K86)&gt;=$H$5,H86/MAX(N(K86),1)&lt;=P86*$E$5),"Масштабувати",IF(AND(N(K86)&gt;0,H86/MAX(N(K86),1)&lt;=P86),"В цілі",IF(R86&gt;='Спенд без лідів'!$H$5,"Рано судити",IF(R86&gt;='Спенд без лідів'!$H$6,"Під питанням",IF(R86&gt;='Спенд без лідів'!$H$7,"Вимикати","Давно треба було"))))))</f>
        <v/>
      </c>
      <c r="T86" s="26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8" hidden="false" customHeight="true" outlineLevel="0" collapsed="false">
      <c r="A87" s="1"/>
      <c r="B87" s="26"/>
      <c r="C87" s="35"/>
      <c r="D87" s="8"/>
      <c r="E87" s="26"/>
      <c r="F87" s="8"/>
      <c r="G87" s="26"/>
      <c r="H87" s="27"/>
      <c r="I87" s="36"/>
      <c r="J87" s="36"/>
      <c r="K87" s="36"/>
      <c r="L87" s="37" t="str">
        <f aca="false">IF($H87="","",IFERROR(J87/I87,""))</f>
        <v/>
      </c>
      <c r="M87" s="30" t="str">
        <f aca="false">IF($H87="","",IFERROR(H87/J87,""))</f>
        <v/>
      </c>
      <c r="N87" s="30" t="str">
        <f aca="false">IF($H87="","",IFERROR(H87/I87*1000,""))</f>
        <v/>
      </c>
      <c r="O87" s="30" t="str">
        <f aca="false">IF($H87="","",IFERROR(H87/K87,"—"))</f>
        <v/>
      </c>
      <c r="P87" s="30" t="str">
        <f aca="false">IF($H87="","",IFERROR(INDEX('Гео-калькулятор'!$K$7:$K$13,MATCH($D87,'Гео-калькулятор'!$B$7:$B$13,0)),""))</f>
        <v/>
      </c>
      <c r="Q87" s="38" t="str">
        <f aca="false">IF($H87="","",IFERROR(O87/P87,""))</f>
        <v/>
      </c>
      <c r="R87" s="38" t="str">
        <f aca="false">IF(OR($H87="",P87=""),"",POISSON(N(K87),H87/P87,TRUE()))</f>
        <v/>
      </c>
      <c r="S87" s="51" t="str">
        <f aca="false">IF(R87="","",IF(AND(N(K87)&gt;=$H$5,H87/MAX(N(K87),1)&lt;=P87*$E$5),"Масштабувати",IF(AND(N(K87)&gt;0,H87/MAX(N(K87),1)&lt;=P87),"В цілі",IF(R87&gt;='Спенд без лідів'!$H$5,"Рано судити",IF(R87&gt;='Спенд без лідів'!$H$6,"Під питанням",IF(R87&gt;='Спенд без лідів'!$H$7,"Вимикати","Давно треба було"))))))</f>
        <v/>
      </c>
      <c r="T87" s="26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8" hidden="false" customHeight="true" outlineLevel="0" collapsed="false">
      <c r="A88" s="1"/>
      <c r="B88" s="26"/>
      <c r="C88" s="35"/>
      <c r="D88" s="8"/>
      <c r="E88" s="26"/>
      <c r="F88" s="8"/>
      <c r="G88" s="26"/>
      <c r="H88" s="27"/>
      <c r="I88" s="36"/>
      <c r="J88" s="36"/>
      <c r="K88" s="36"/>
      <c r="L88" s="37" t="str">
        <f aca="false">IF($H88="","",IFERROR(J88/I88,""))</f>
        <v/>
      </c>
      <c r="M88" s="30" t="str">
        <f aca="false">IF($H88="","",IFERROR(H88/J88,""))</f>
        <v/>
      </c>
      <c r="N88" s="30" t="str">
        <f aca="false">IF($H88="","",IFERROR(H88/I88*1000,""))</f>
        <v/>
      </c>
      <c r="O88" s="30" t="str">
        <f aca="false">IF($H88="","",IFERROR(H88/K88,"—"))</f>
        <v/>
      </c>
      <c r="P88" s="30" t="str">
        <f aca="false">IF($H88="","",IFERROR(INDEX('Гео-калькулятор'!$K$7:$K$13,MATCH($D88,'Гео-калькулятор'!$B$7:$B$13,0)),""))</f>
        <v/>
      </c>
      <c r="Q88" s="38" t="str">
        <f aca="false">IF($H88="","",IFERROR(O88/P88,""))</f>
        <v/>
      </c>
      <c r="R88" s="38" t="str">
        <f aca="false">IF(OR($H88="",P88=""),"",POISSON(N(K88),H88/P88,TRUE()))</f>
        <v/>
      </c>
      <c r="S88" s="51" t="str">
        <f aca="false">IF(R88="","",IF(AND(N(K88)&gt;=$H$5,H88/MAX(N(K88),1)&lt;=P88*$E$5),"Масштабувати",IF(AND(N(K88)&gt;0,H88/MAX(N(K88),1)&lt;=P88),"В цілі",IF(R88&gt;='Спенд без лідів'!$H$5,"Рано судити",IF(R88&gt;='Спенд без лідів'!$H$6,"Під питанням",IF(R88&gt;='Спенд без лідів'!$H$7,"Вимикати","Давно треба було"))))))</f>
        <v/>
      </c>
      <c r="T88" s="26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8" hidden="false" customHeight="true" outlineLevel="0" collapsed="false">
      <c r="A89" s="1"/>
      <c r="B89" s="26"/>
      <c r="C89" s="35"/>
      <c r="D89" s="8"/>
      <c r="E89" s="26"/>
      <c r="F89" s="8"/>
      <c r="G89" s="26"/>
      <c r="H89" s="27"/>
      <c r="I89" s="36"/>
      <c r="J89" s="36"/>
      <c r="K89" s="36"/>
      <c r="L89" s="37" t="str">
        <f aca="false">IF($H89="","",IFERROR(J89/I89,""))</f>
        <v/>
      </c>
      <c r="M89" s="30" t="str">
        <f aca="false">IF($H89="","",IFERROR(H89/J89,""))</f>
        <v/>
      </c>
      <c r="N89" s="30" t="str">
        <f aca="false">IF($H89="","",IFERROR(H89/I89*1000,""))</f>
        <v/>
      </c>
      <c r="O89" s="30" t="str">
        <f aca="false">IF($H89="","",IFERROR(H89/K89,"—"))</f>
        <v/>
      </c>
      <c r="P89" s="30" t="str">
        <f aca="false">IF($H89="","",IFERROR(INDEX('Гео-калькулятор'!$K$7:$K$13,MATCH($D89,'Гео-калькулятор'!$B$7:$B$13,0)),""))</f>
        <v/>
      </c>
      <c r="Q89" s="38" t="str">
        <f aca="false">IF($H89="","",IFERROR(O89/P89,""))</f>
        <v/>
      </c>
      <c r="R89" s="38" t="str">
        <f aca="false">IF(OR($H89="",P89=""),"",POISSON(N(K89),H89/P89,TRUE()))</f>
        <v/>
      </c>
      <c r="S89" s="51" t="str">
        <f aca="false">IF(R89="","",IF(AND(N(K89)&gt;=$H$5,H89/MAX(N(K89),1)&lt;=P89*$E$5),"Масштабувати",IF(AND(N(K89)&gt;0,H89/MAX(N(K89),1)&lt;=P89),"В цілі",IF(R89&gt;='Спенд без лідів'!$H$5,"Рано судити",IF(R89&gt;='Спенд без лідів'!$H$6,"Під питанням",IF(R89&gt;='Спенд без лідів'!$H$7,"Вимикати","Давно треба було"))))))</f>
        <v/>
      </c>
      <c r="T89" s="26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8" hidden="false" customHeight="true" outlineLevel="0" collapsed="false">
      <c r="A90" s="1"/>
      <c r="B90" s="26"/>
      <c r="C90" s="35"/>
      <c r="D90" s="8"/>
      <c r="E90" s="26"/>
      <c r="F90" s="8"/>
      <c r="G90" s="26"/>
      <c r="H90" s="27"/>
      <c r="I90" s="36"/>
      <c r="J90" s="36"/>
      <c r="K90" s="36"/>
      <c r="L90" s="37" t="str">
        <f aca="false">IF($H90="","",IFERROR(J90/I90,""))</f>
        <v/>
      </c>
      <c r="M90" s="30" t="str">
        <f aca="false">IF($H90="","",IFERROR(H90/J90,""))</f>
        <v/>
      </c>
      <c r="N90" s="30" t="str">
        <f aca="false">IF($H90="","",IFERROR(H90/I90*1000,""))</f>
        <v/>
      </c>
      <c r="O90" s="30" t="str">
        <f aca="false">IF($H90="","",IFERROR(H90/K90,"—"))</f>
        <v/>
      </c>
      <c r="P90" s="30" t="str">
        <f aca="false">IF($H90="","",IFERROR(INDEX('Гео-калькулятор'!$K$7:$K$13,MATCH($D90,'Гео-калькулятор'!$B$7:$B$13,0)),""))</f>
        <v/>
      </c>
      <c r="Q90" s="38" t="str">
        <f aca="false">IF($H90="","",IFERROR(O90/P90,""))</f>
        <v/>
      </c>
      <c r="R90" s="38" t="str">
        <f aca="false">IF(OR($H90="",P90=""),"",POISSON(N(K90),H90/P90,TRUE()))</f>
        <v/>
      </c>
      <c r="S90" s="51" t="str">
        <f aca="false">IF(R90="","",IF(AND(N(K90)&gt;=$H$5,H90/MAX(N(K90),1)&lt;=P90*$E$5),"Масштабувати",IF(AND(N(K90)&gt;0,H90/MAX(N(K90),1)&lt;=P90),"В цілі",IF(R90&gt;='Спенд без лідів'!$H$5,"Рано судити",IF(R90&gt;='Спенд без лідів'!$H$6,"Під питанням",IF(R90&gt;='Спенд без лідів'!$H$7,"Вимикати","Давно треба було"))))))</f>
        <v/>
      </c>
      <c r="T90" s="26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8" hidden="false" customHeight="true" outlineLevel="0" collapsed="false">
      <c r="A91" s="1"/>
      <c r="B91" s="26"/>
      <c r="C91" s="35"/>
      <c r="D91" s="8"/>
      <c r="E91" s="26"/>
      <c r="F91" s="8"/>
      <c r="G91" s="26"/>
      <c r="H91" s="27"/>
      <c r="I91" s="36"/>
      <c r="J91" s="36"/>
      <c r="K91" s="36"/>
      <c r="L91" s="37" t="str">
        <f aca="false">IF($H91="","",IFERROR(J91/I91,""))</f>
        <v/>
      </c>
      <c r="M91" s="30" t="str">
        <f aca="false">IF($H91="","",IFERROR(H91/J91,""))</f>
        <v/>
      </c>
      <c r="N91" s="30" t="str">
        <f aca="false">IF($H91="","",IFERROR(H91/I91*1000,""))</f>
        <v/>
      </c>
      <c r="O91" s="30" t="str">
        <f aca="false">IF($H91="","",IFERROR(H91/K91,"—"))</f>
        <v/>
      </c>
      <c r="P91" s="30" t="str">
        <f aca="false">IF($H91="","",IFERROR(INDEX('Гео-калькулятор'!$K$7:$K$13,MATCH($D91,'Гео-калькулятор'!$B$7:$B$13,0)),""))</f>
        <v/>
      </c>
      <c r="Q91" s="38" t="str">
        <f aca="false">IF($H91="","",IFERROR(O91/P91,""))</f>
        <v/>
      </c>
      <c r="R91" s="38" t="str">
        <f aca="false">IF(OR($H91="",P91=""),"",POISSON(N(K91),H91/P91,TRUE()))</f>
        <v/>
      </c>
      <c r="S91" s="51" t="str">
        <f aca="false">IF(R91="","",IF(AND(N(K91)&gt;=$H$5,H91/MAX(N(K91),1)&lt;=P91*$E$5),"Масштабувати",IF(AND(N(K91)&gt;0,H91/MAX(N(K91),1)&lt;=P91),"В цілі",IF(R91&gt;='Спенд без лідів'!$H$5,"Рано судити",IF(R91&gt;='Спенд без лідів'!$H$6,"Під питанням",IF(R91&gt;='Спенд без лідів'!$H$7,"Вимикати","Давно треба було"))))))</f>
        <v/>
      </c>
      <c r="T91" s="26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8" hidden="false" customHeight="true" outlineLevel="0" collapsed="false">
      <c r="A92" s="1"/>
      <c r="B92" s="26"/>
      <c r="C92" s="35"/>
      <c r="D92" s="8"/>
      <c r="E92" s="26"/>
      <c r="F92" s="8"/>
      <c r="G92" s="26"/>
      <c r="H92" s="27"/>
      <c r="I92" s="36"/>
      <c r="J92" s="36"/>
      <c r="K92" s="36"/>
      <c r="L92" s="37" t="str">
        <f aca="false">IF($H92="","",IFERROR(J92/I92,""))</f>
        <v/>
      </c>
      <c r="M92" s="30" t="str">
        <f aca="false">IF($H92="","",IFERROR(H92/J92,""))</f>
        <v/>
      </c>
      <c r="N92" s="30" t="str">
        <f aca="false">IF($H92="","",IFERROR(H92/I92*1000,""))</f>
        <v/>
      </c>
      <c r="O92" s="30" t="str">
        <f aca="false">IF($H92="","",IFERROR(H92/K92,"—"))</f>
        <v/>
      </c>
      <c r="P92" s="30" t="str">
        <f aca="false">IF($H92="","",IFERROR(INDEX('Гео-калькулятор'!$K$7:$K$13,MATCH($D92,'Гео-калькулятор'!$B$7:$B$13,0)),""))</f>
        <v/>
      </c>
      <c r="Q92" s="38" t="str">
        <f aca="false">IF($H92="","",IFERROR(O92/P92,""))</f>
        <v/>
      </c>
      <c r="R92" s="38" t="str">
        <f aca="false">IF(OR($H92="",P92=""),"",POISSON(N(K92),H92/P92,TRUE()))</f>
        <v/>
      </c>
      <c r="S92" s="51" t="str">
        <f aca="false">IF(R92="","",IF(AND(N(K92)&gt;=$H$5,H92/MAX(N(K92),1)&lt;=P92*$E$5),"Масштабувати",IF(AND(N(K92)&gt;0,H92/MAX(N(K92),1)&lt;=P92),"В цілі",IF(R92&gt;='Спенд без лідів'!$H$5,"Рано судити",IF(R92&gt;='Спенд без лідів'!$H$6,"Під питанням",IF(R92&gt;='Спенд без лідів'!$H$7,"Вимикати","Давно треба було"))))))</f>
        <v/>
      </c>
      <c r="T92" s="26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8" hidden="false" customHeight="true" outlineLevel="0" collapsed="false">
      <c r="A93" s="1"/>
      <c r="B93" s="26"/>
      <c r="C93" s="35"/>
      <c r="D93" s="8"/>
      <c r="E93" s="26"/>
      <c r="F93" s="8"/>
      <c r="G93" s="26"/>
      <c r="H93" s="27"/>
      <c r="I93" s="36"/>
      <c r="J93" s="36"/>
      <c r="K93" s="36"/>
      <c r="L93" s="37" t="str">
        <f aca="false">IF($H93="","",IFERROR(J93/I93,""))</f>
        <v/>
      </c>
      <c r="M93" s="30" t="str">
        <f aca="false">IF($H93="","",IFERROR(H93/J93,""))</f>
        <v/>
      </c>
      <c r="N93" s="30" t="str">
        <f aca="false">IF($H93="","",IFERROR(H93/I93*1000,""))</f>
        <v/>
      </c>
      <c r="O93" s="30" t="str">
        <f aca="false">IF($H93="","",IFERROR(H93/K93,"—"))</f>
        <v/>
      </c>
      <c r="P93" s="30" t="str">
        <f aca="false">IF($H93="","",IFERROR(INDEX('Гео-калькулятор'!$K$7:$K$13,MATCH($D93,'Гео-калькулятор'!$B$7:$B$13,0)),""))</f>
        <v/>
      </c>
      <c r="Q93" s="38" t="str">
        <f aca="false">IF($H93="","",IFERROR(O93/P93,""))</f>
        <v/>
      </c>
      <c r="R93" s="38" t="str">
        <f aca="false">IF(OR($H93="",P93=""),"",POISSON(N(K93),H93/P93,TRUE()))</f>
        <v/>
      </c>
      <c r="S93" s="51" t="str">
        <f aca="false">IF(R93="","",IF(AND(N(K93)&gt;=$H$5,H93/MAX(N(K93),1)&lt;=P93*$E$5),"Масштабувати",IF(AND(N(K93)&gt;0,H93/MAX(N(K93),1)&lt;=P93),"В цілі",IF(R93&gt;='Спенд без лідів'!$H$5,"Рано судити",IF(R93&gt;='Спенд без лідів'!$H$6,"Під питанням",IF(R93&gt;='Спенд без лідів'!$H$7,"Вимикати","Давно треба було"))))))</f>
        <v/>
      </c>
      <c r="T93" s="26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8" hidden="false" customHeight="true" outlineLevel="0" collapsed="false">
      <c r="A94" s="1"/>
      <c r="B94" s="26"/>
      <c r="C94" s="35"/>
      <c r="D94" s="8"/>
      <c r="E94" s="26"/>
      <c r="F94" s="8"/>
      <c r="G94" s="26"/>
      <c r="H94" s="27"/>
      <c r="I94" s="36"/>
      <c r="J94" s="36"/>
      <c r="K94" s="36"/>
      <c r="L94" s="37" t="str">
        <f aca="false">IF($H94="","",IFERROR(J94/I94,""))</f>
        <v/>
      </c>
      <c r="M94" s="30" t="str">
        <f aca="false">IF($H94="","",IFERROR(H94/J94,""))</f>
        <v/>
      </c>
      <c r="N94" s="30" t="str">
        <f aca="false">IF($H94="","",IFERROR(H94/I94*1000,""))</f>
        <v/>
      </c>
      <c r="O94" s="30" t="str">
        <f aca="false">IF($H94="","",IFERROR(H94/K94,"—"))</f>
        <v/>
      </c>
      <c r="P94" s="30" t="str">
        <f aca="false">IF($H94="","",IFERROR(INDEX('Гео-калькулятор'!$K$7:$K$13,MATCH($D94,'Гео-калькулятор'!$B$7:$B$13,0)),""))</f>
        <v/>
      </c>
      <c r="Q94" s="38" t="str">
        <f aca="false">IF($H94="","",IFERROR(O94/P94,""))</f>
        <v/>
      </c>
      <c r="R94" s="38" t="str">
        <f aca="false">IF(OR($H94="",P94=""),"",POISSON(N(K94),H94/P94,TRUE()))</f>
        <v/>
      </c>
      <c r="S94" s="51" t="str">
        <f aca="false">IF(R94="","",IF(AND(N(K94)&gt;=$H$5,H94/MAX(N(K94),1)&lt;=P94*$E$5),"Масштабувати",IF(AND(N(K94)&gt;0,H94/MAX(N(K94),1)&lt;=P94),"В цілі",IF(R94&gt;='Спенд без лідів'!$H$5,"Рано судити",IF(R94&gt;='Спенд без лідів'!$H$6,"Під питанням",IF(R94&gt;='Спенд без лідів'!$H$7,"Вимикати","Давно треба було"))))))</f>
        <v/>
      </c>
      <c r="T94" s="26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8" hidden="false" customHeight="true" outlineLevel="0" collapsed="false">
      <c r="A95" s="1"/>
      <c r="B95" s="26"/>
      <c r="C95" s="35"/>
      <c r="D95" s="8"/>
      <c r="E95" s="26"/>
      <c r="F95" s="8"/>
      <c r="G95" s="26"/>
      <c r="H95" s="27"/>
      <c r="I95" s="36"/>
      <c r="J95" s="36"/>
      <c r="K95" s="36"/>
      <c r="L95" s="37" t="str">
        <f aca="false">IF($H95="","",IFERROR(J95/I95,""))</f>
        <v/>
      </c>
      <c r="M95" s="30" t="str">
        <f aca="false">IF($H95="","",IFERROR(H95/J95,""))</f>
        <v/>
      </c>
      <c r="N95" s="30" t="str">
        <f aca="false">IF($H95="","",IFERROR(H95/I95*1000,""))</f>
        <v/>
      </c>
      <c r="O95" s="30" t="str">
        <f aca="false">IF($H95="","",IFERROR(H95/K95,"—"))</f>
        <v/>
      </c>
      <c r="P95" s="30" t="str">
        <f aca="false">IF($H95="","",IFERROR(INDEX('Гео-калькулятор'!$K$7:$K$13,MATCH($D95,'Гео-калькулятор'!$B$7:$B$13,0)),""))</f>
        <v/>
      </c>
      <c r="Q95" s="38" t="str">
        <f aca="false">IF($H95="","",IFERROR(O95/P95,""))</f>
        <v/>
      </c>
      <c r="R95" s="38" t="str">
        <f aca="false">IF(OR($H95="",P95=""),"",POISSON(N(K95),H95/P95,TRUE()))</f>
        <v/>
      </c>
      <c r="S95" s="51" t="str">
        <f aca="false">IF(R95="","",IF(AND(N(K95)&gt;=$H$5,H95/MAX(N(K95),1)&lt;=P95*$E$5),"Масштабувати",IF(AND(N(K95)&gt;0,H95/MAX(N(K95),1)&lt;=P95),"В цілі",IF(R95&gt;='Спенд без лідів'!$H$5,"Рано судити",IF(R95&gt;='Спенд без лідів'!$H$6,"Під питанням",IF(R95&gt;='Спенд без лідів'!$H$7,"Вимикати","Давно треба було"))))))</f>
        <v/>
      </c>
      <c r="T95" s="26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8" hidden="false" customHeight="true" outlineLevel="0" collapsed="false">
      <c r="A96" s="1"/>
      <c r="B96" s="26"/>
      <c r="C96" s="35"/>
      <c r="D96" s="8"/>
      <c r="E96" s="26"/>
      <c r="F96" s="8"/>
      <c r="G96" s="26"/>
      <c r="H96" s="27"/>
      <c r="I96" s="36"/>
      <c r="J96" s="36"/>
      <c r="K96" s="36"/>
      <c r="L96" s="37" t="str">
        <f aca="false">IF($H96="","",IFERROR(J96/I96,""))</f>
        <v/>
      </c>
      <c r="M96" s="30" t="str">
        <f aca="false">IF($H96="","",IFERROR(H96/J96,""))</f>
        <v/>
      </c>
      <c r="N96" s="30" t="str">
        <f aca="false">IF($H96="","",IFERROR(H96/I96*1000,""))</f>
        <v/>
      </c>
      <c r="O96" s="30" t="str">
        <f aca="false">IF($H96="","",IFERROR(H96/K96,"—"))</f>
        <v/>
      </c>
      <c r="P96" s="30" t="str">
        <f aca="false">IF($H96="","",IFERROR(INDEX('Гео-калькулятор'!$K$7:$K$13,MATCH($D96,'Гео-калькулятор'!$B$7:$B$13,0)),""))</f>
        <v/>
      </c>
      <c r="Q96" s="38" t="str">
        <f aca="false">IF($H96="","",IFERROR(O96/P96,""))</f>
        <v/>
      </c>
      <c r="R96" s="38" t="str">
        <f aca="false">IF(OR($H96="",P96=""),"",POISSON(N(K96),H96/P96,TRUE()))</f>
        <v/>
      </c>
      <c r="S96" s="51" t="str">
        <f aca="false">IF(R96="","",IF(AND(N(K96)&gt;=$H$5,H96/MAX(N(K96),1)&lt;=P96*$E$5),"Масштабувати",IF(AND(N(K96)&gt;0,H96/MAX(N(K96),1)&lt;=P96),"В цілі",IF(R96&gt;='Спенд без лідів'!$H$5,"Рано судити",IF(R96&gt;='Спенд без лідів'!$H$6,"Під питанням",IF(R96&gt;='Спенд без лідів'!$H$7,"Вимикати","Давно треба було"))))))</f>
        <v/>
      </c>
      <c r="T96" s="26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8" hidden="false" customHeight="true" outlineLevel="0" collapsed="false">
      <c r="A97" s="1"/>
      <c r="B97" s="26"/>
      <c r="C97" s="35"/>
      <c r="D97" s="8"/>
      <c r="E97" s="26"/>
      <c r="F97" s="8"/>
      <c r="G97" s="26"/>
      <c r="H97" s="27"/>
      <c r="I97" s="36"/>
      <c r="J97" s="36"/>
      <c r="K97" s="36"/>
      <c r="L97" s="37" t="str">
        <f aca="false">IF($H97="","",IFERROR(J97/I97,""))</f>
        <v/>
      </c>
      <c r="M97" s="30" t="str">
        <f aca="false">IF($H97="","",IFERROR(H97/J97,""))</f>
        <v/>
      </c>
      <c r="N97" s="30" t="str">
        <f aca="false">IF($H97="","",IFERROR(H97/I97*1000,""))</f>
        <v/>
      </c>
      <c r="O97" s="30" t="str">
        <f aca="false">IF($H97="","",IFERROR(H97/K97,"—"))</f>
        <v/>
      </c>
      <c r="P97" s="30" t="str">
        <f aca="false">IF($H97="","",IFERROR(INDEX('Гео-калькулятор'!$K$7:$K$13,MATCH($D97,'Гео-калькулятор'!$B$7:$B$13,0)),""))</f>
        <v/>
      </c>
      <c r="Q97" s="38" t="str">
        <f aca="false">IF($H97="","",IFERROR(O97/P97,""))</f>
        <v/>
      </c>
      <c r="R97" s="38" t="str">
        <f aca="false">IF(OR($H97="",P97=""),"",POISSON(N(K97),H97/P97,TRUE()))</f>
        <v/>
      </c>
      <c r="S97" s="51" t="str">
        <f aca="false">IF(R97="","",IF(AND(N(K97)&gt;=$H$5,H97/MAX(N(K97),1)&lt;=P97*$E$5),"Масштабувати",IF(AND(N(K97)&gt;0,H97/MAX(N(K97),1)&lt;=P97),"В цілі",IF(R97&gt;='Спенд без лідів'!$H$5,"Рано судити",IF(R97&gt;='Спенд без лідів'!$H$6,"Під питанням",IF(R97&gt;='Спенд без лідів'!$H$7,"Вимикати","Давно треба було"))))))</f>
        <v/>
      </c>
      <c r="T97" s="26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8" hidden="false" customHeight="true" outlineLevel="0" collapsed="false">
      <c r="A98" s="1"/>
      <c r="B98" s="26"/>
      <c r="C98" s="35"/>
      <c r="D98" s="8"/>
      <c r="E98" s="26"/>
      <c r="F98" s="8"/>
      <c r="G98" s="26"/>
      <c r="H98" s="27"/>
      <c r="I98" s="36"/>
      <c r="J98" s="36"/>
      <c r="K98" s="36"/>
      <c r="L98" s="37" t="str">
        <f aca="false">IF($H98="","",IFERROR(J98/I98,""))</f>
        <v/>
      </c>
      <c r="M98" s="30" t="str">
        <f aca="false">IF($H98="","",IFERROR(H98/J98,""))</f>
        <v/>
      </c>
      <c r="N98" s="30" t="str">
        <f aca="false">IF($H98="","",IFERROR(H98/I98*1000,""))</f>
        <v/>
      </c>
      <c r="O98" s="30" t="str">
        <f aca="false">IF($H98="","",IFERROR(H98/K98,"—"))</f>
        <v/>
      </c>
      <c r="P98" s="30" t="str">
        <f aca="false">IF($H98="","",IFERROR(INDEX('Гео-калькулятор'!$K$7:$K$13,MATCH($D98,'Гео-калькулятор'!$B$7:$B$13,0)),""))</f>
        <v/>
      </c>
      <c r="Q98" s="38" t="str">
        <f aca="false">IF($H98="","",IFERROR(O98/P98,""))</f>
        <v/>
      </c>
      <c r="R98" s="38" t="str">
        <f aca="false">IF(OR($H98="",P98=""),"",POISSON(N(K98),H98/P98,TRUE()))</f>
        <v/>
      </c>
      <c r="S98" s="51" t="str">
        <f aca="false">IF(R98="","",IF(AND(N(K98)&gt;=$H$5,H98/MAX(N(K98),1)&lt;=P98*$E$5),"Масштабувати",IF(AND(N(K98)&gt;0,H98/MAX(N(K98),1)&lt;=P98),"В цілі",IF(R98&gt;='Спенд без лідів'!$H$5,"Рано судити",IF(R98&gt;='Спенд без лідів'!$H$6,"Під питанням",IF(R98&gt;='Спенд без лідів'!$H$7,"Вимикати","Давно треба було"))))))</f>
        <v/>
      </c>
      <c r="T98" s="26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8" hidden="false" customHeight="true" outlineLevel="0" collapsed="false">
      <c r="A99" s="1"/>
      <c r="B99" s="26"/>
      <c r="C99" s="35"/>
      <c r="D99" s="8"/>
      <c r="E99" s="26"/>
      <c r="F99" s="8"/>
      <c r="G99" s="26"/>
      <c r="H99" s="27"/>
      <c r="I99" s="36"/>
      <c r="J99" s="36"/>
      <c r="K99" s="36"/>
      <c r="L99" s="37" t="str">
        <f aca="false">IF($H99="","",IFERROR(J99/I99,""))</f>
        <v/>
      </c>
      <c r="M99" s="30" t="str">
        <f aca="false">IF($H99="","",IFERROR(H99/J99,""))</f>
        <v/>
      </c>
      <c r="N99" s="30" t="str">
        <f aca="false">IF($H99="","",IFERROR(H99/I99*1000,""))</f>
        <v/>
      </c>
      <c r="O99" s="30" t="str">
        <f aca="false">IF($H99="","",IFERROR(H99/K99,"—"))</f>
        <v/>
      </c>
      <c r="P99" s="30" t="str">
        <f aca="false">IF($H99="","",IFERROR(INDEX('Гео-калькулятор'!$K$7:$K$13,MATCH($D99,'Гео-калькулятор'!$B$7:$B$13,0)),""))</f>
        <v/>
      </c>
      <c r="Q99" s="38" t="str">
        <f aca="false">IF($H99="","",IFERROR(O99/P99,""))</f>
        <v/>
      </c>
      <c r="R99" s="38" t="str">
        <f aca="false">IF(OR($H99="",P99=""),"",POISSON(N(K99),H99/P99,TRUE()))</f>
        <v/>
      </c>
      <c r="S99" s="51" t="str">
        <f aca="false">IF(R99="","",IF(AND(N(K99)&gt;=$H$5,H99/MAX(N(K99),1)&lt;=P99*$E$5),"Масштабувати",IF(AND(N(K99)&gt;0,H99/MAX(N(K99),1)&lt;=P99),"В цілі",IF(R99&gt;='Спенд без лідів'!$H$5,"Рано судити",IF(R99&gt;='Спенд без лідів'!$H$6,"Під питанням",IF(R99&gt;='Спенд без лідів'!$H$7,"Вимикати","Давно треба було"))))))</f>
        <v/>
      </c>
      <c r="T99" s="26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8" hidden="false" customHeight="true" outlineLevel="0" collapsed="false">
      <c r="A100" s="1"/>
      <c r="B100" s="26"/>
      <c r="C100" s="35"/>
      <c r="D100" s="8"/>
      <c r="E100" s="26"/>
      <c r="F100" s="8"/>
      <c r="G100" s="26"/>
      <c r="H100" s="27"/>
      <c r="I100" s="36"/>
      <c r="J100" s="36"/>
      <c r="K100" s="36"/>
      <c r="L100" s="37" t="str">
        <f aca="false">IF($H100="","",IFERROR(J100/I100,""))</f>
        <v/>
      </c>
      <c r="M100" s="30" t="str">
        <f aca="false">IF($H100="","",IFERROR(H100/J100,""))</f>
        <v/>
      </c>
      <c r="N100" s="30" t="str">
        <f aca="false">IF($H100="","",IFERROR(H100/I100*1000,""))</f>
        <v/>
      </c>
      <c r="O100" s="30" t="str">
        <f aca="false">IF($H100="","",IFERROR(H100/K100,"—"))</f>
        <v/>
      </c>
      <c r="P100" s="30" t="str">
        <f aca="false">IF($H100="","",IFERROR(INDEX('Гео-калькулятор'!$K$7:$K$13,MATCH($D100,'Гео-калькулятор'!$B$7:$B$13,0)),""))</f>
        <v/>
      </c>
      <c r="Q100" s="38" t="str">
        <f aca="false">IF($H100="","",IFERROR(O100/P100,""))</f>
        <v/>
      </c>
      <c r="R100" s="38" t="str">
        <f aca="false">IF(OR($H100="",P100=""),"",POISSON(N(K100),H100/P100,TRUE()))</f>
        <v/>
      </c>
      <c r="S100" s="51" t="str">
        <f aca="false">IF(R100="","",IF(AND(N(K100)&gt;=$H$5,H100/MAX(N(K100),1)&lt;=P100*$E$5),"Масштабувати",IF(AND(N(K100)&gt;0,H100/MAX(N(K100),1)&lt;=P100),"В цілі",IF(R100&gt;='Спенд без лідів'!$H$5,"Рано судити",IF(R100&gt;='Спенд без лідів'!$H$6,"Під питанням",IF(R100&gt;='Спенд без лідів'!$H$7,"Вимикати","Давно треба було"))))))</f>
        <v/>
      </c>
      <c r="T100" s="26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8" hidden="false" customHeight="true" outlineLevel="0" collapsed="false">
      <c r="A101" s="1"/>
      <c r="B101" s="26"/>
      <c r="C101" s="35"/>
      <c r="D101" s="8"/>
      <c r="E101" s="26"/>
      <c r="F101" s="8"/>
      <c r="G101" s="26"/>
      <c r="H101" s="27"/>
      <c r="I101" s="36"/>
      <c r="J101" s="36"/>
      <c r="K101" s="36"/>
      <c r="L101" s="37" t="str">
        <f aca="false">IF($H101="","",IFERROR(J101/I101,""))</f>
        <v/>
      </c>
      <c r="M101" s="30" t="str">
        <f aca="false">IF($H101="","",IFERROR(H101/J101,""))</f>
        <v/>
      </c>
      <c r="N101" s="30" t="str">
        <f aca="false">IF($H101="","",IFERROR(H101/I101*1000,""))</f>
        <v/>
      </c>
      <c r="O101" s="30" t="str">
        <f aca="false">IF($H101="","",IFERROR(H101/K101,"—"))</f>
        <v/>
      </c>
      <c r="P101" s="30" t="str">
        <f aca="false">IF($H101="","",IFERROR(INDEX('Гео-калькулятор'!$K$7:$K$13,MATCH($D101,'Гео-калькулятор'!$B$7:$B$13,0)),""))</f>
        <v/>
      </c>
      <c r="Q101" s="38" t="str">
        <f aca="false">IF($H101="","",IFERROR(O101/P101,""))</f>
        <v/>
      </c>
      <c r="R101" s="38" t="str">
        <f aca="false">IF(OR($H101="",P101=""),"",POISSON(N(K101),H101/P101,TRUE()))</f>
        <v/>
      </c>
      <c r="S101" s="51" t="str">
        <f aca="false">IF(R101="","",IF(AND(N(K101)&gt;=$H$5,H101/MAX(N(K101),1)&lt;=P101*$E$5),"Масштабувати",IF(AND(N(K101)&gt;0,H101/MAX(N(K101),1)&lt;=P101),"В цілі",IF(R101&gt;='Спенд без лідів'!$H$5,"Рано судити",IF(R101&gt;='Спенд без лідів'!$H$6,"Під питанням",IF(R101&gt;='Спенд без лідів'!$H$7,"Вимикати","Давно треба було"))))))</f>
        <v/>
      </c>
      <c r="T101" s="26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8" hidden="false" customHeight="true" outlineLevel="0" collapsed="false">
      <c r="A102" s="1"/>
      <c r="B102" s="26"/>
      <c r="C102" s="35"/>
      <c r="D102" s="8"/>
      <c r="E102" s="26"/>
      <c r="F102" s="8"/>
      <c r="G102" s="26"/>
      <c r="H102" s="27"/>
      <c r="I102" s="36"/>
      <c r="J102" s="36"/>
      <c r="K102" s="36"/>
      <c r="L102" s="37" t="str">
        <f aca="false">IF($H102="","",IFERROR(J102/I102,""))</f>
        <v/>
      </c>
      <c r="M102" s="30" t="str">
        <f aca="false">IF($H102="","",IFERROR(H102/J102,""))</f>
        <v/>
      </c>
      <c r="N102" s="30" t="str">
        <f aca="false">IF($H102="","",IFERROR(H102/I102*1000,""))</f>
        <v/>
      </c>
      <c r="O102" s="30" t="str">
        <f aca="false">IF($H102="","",IFERROR(H102/K102,"—"))</f>
        <v/>
      </c>
      <c r="P102" s="30" t="str">
        <f aca="false">IF($H102="","",IFERROR(INDEX('Гео-калькулятор'!$K$7:$K$13,MATCH($D102,'Гео-калькулятор'!$B$7:$B$13,0)),""))</f>
        <v/>
      </c>
      <c r="Q102" s="38" t="str">
        <f aca="false">IF($H102="","",IFERROR(O102/P102,""))</f>
        <v/>
      </c>
      <c r="R102" s="38" t="str">
        <f aca="false">IF(OR($H102="",P102=""),"",POISSON(N(K102),H102/P102,TRUE()))</f>
        <v/>
      </c>
      <c r="S102" s="51" t="str">
        <f aca="false">IF(R102="","",IF(AND(N(K102)&gt;=$H$5,H102/MAX(N(K102),1)&lt;=P102*$E$5),"Масштабувати",IF(AND(N(K102)&gt;0,H102/MAX(N(K102),1)&lt;=P102),"В цілі",IF(R102&gt;='Спенд без лідів'!$H$5,"Рано судити",IF(R102&gt;='Спенд без лідів'!$H$6,"Під питанням",IF(R102&gt;='Спенд без лідів'!$H$7,"Вимикати","Давно треба було"))))))</f>
        <v/>
      </c>
      <c r="T102" s="26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8" hidden="false" customHeight="true" outlineLevel="0" collapsed="false">
      <c r="A103" s="1"/>
      <c r="B103" s="26"/>
      <c r="C103" s="35"/>
      <c r="D103" s="8"/>
      <c r="E103" s="26"/>
      <c r="F103" s="8"/>
      <c r="G103" s="26"/>
      <c r="H103" s="27"/>
      <c r="I103" s="36"/>
      <c r="J103" s="36"/>
      <c r="K103" s="36"/>
      <c r="L103" s="37" t="str">
        <f aca="false">IF($H103="","",IFERROR(J103/I103,""))</f>
        <v/>
      </c>
      <c r="M103" s="30" t="str">
        <f aca="false">IF($H103="","",IFERROR(H103/J103,""))</f>
        <v/>
      </c>
      <c r="N103" s="30" t="str">
        <f aca="false">IF($H103="","",IFERROR(H103/I103*1000,""))</f>
        <v/>
      </c>
      <c r="O103" s="30" t="str">
        <f aca="false">IF($H103="","",IFERROR(H103/K103,"—"))</f>
        <v/>
      </c>
      <c r="P103" s="30" t="str">
        <f aca="false">IF($H103="","",IFERROR(INDEX('Гео-калькулятор'!$K$7:$K$13,MATCH($D103,'Гео-калькулятор'!$B$7:$B$13,0)),""))</f>
        <v/>
      </c>
      <c r="Q103" s="38" t="str">
        <f aca="false">IF($H103="","",IFERROR(O103/P103,""))</f>
        <v/>
      </c>
      <c r="R103" s="38" t="str">
        <f aca="false">IF(OR($H103="",P103=""),"",POISSON(N(K103),H103/P103,TRUE()))</f>
        <v/>
      </c>
      <c r="S103" s="51" t="str">
        <f aca="false">IF(R103="","",IF(AND(N(K103)&gt;=$H$5,H103/MAX(N(K103),1)&lt;=P103*$E$5),"Масштабувати",IF(AND(N(K103)&gt;0,H103/MAX(N(K103),1)&lt;=P103),"В цілі",IF(R103&gt;='Спенд без лідів'!$H$5,"Рано судити",IF(R103&gt;='Спенд без лідів'!$H$6,"Під питанням",IF(R103&gt;='Спенд без лідів'!$H$7,"Вимикати","Давно треба було"))))))</f>
        <v/>
      </c>
      <c r="T103" s="26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8" hidden="false" customHeight="true" outlineLevel="0" collapsed="false">
      <c r="A104" s="1"/>
      <c r="B104" s="26"/>
      <c r="C104" s="35"/>
      <c r="D104" s="8"/>
      <c r="E104" s="26"/>
      <c r="F104" s="8"/>
      <c r="G104" s="26"/>
      <c r="H104" s="27"/>
      <c r="I104" s="36"/>
      <c r="J104" s="36"/>
      <c r="K104" s="36"/>
      <c r="L104" s="37" t="str">
        <f aca="false">IF($H104="","",IFERROR(J104/I104,""))</f>
        <v/>
      </c>
      <c r="M104" s="30" t="str">
        <f aca="false">IF($H104="","",IFERROR(H104/J104,""))</f>
        <v/>
      </c>
      <c r="N104" s="30" t="str">
        <f aca="false">IF($H104="","",IFERROR(H104/I104*1000,""))</f>
        <v/>
      </c>
      <c r="O104" s="30" t="str">
        <f aca="false">IF($H104="","",IFERROR(H104/K104,"—"))</f>
        <v/>
      </c>
      <c r="P104" s="30" t="str">
        <f aca="false">IF($H104="","",IFERROR(INDEX('Гео-калькулятор'!$K$7:$K$13,MATCH($D104,'Гео-калькулятор'!$B$7:$B$13,0)),""))</f>
        <v/>
      </c>
      <c r="Q104" s="38" t="str">
        <f aca="false">IF($H104="","",IFERROR(O104/P104,""))</f>
        <v/>
      </c>
      <c r="R104" s="38" t="str">
        <f aca="false">IF(OR($H104="",P104=""),"",POISSON(N(K104),H104/P104,TRUE()))</f>
        <v/>
      </c>
      <c r="S104" s="51" t="str">
        <f aca="false">IF(R104="","",IF(AND(N(K104)&gt;=$H$5,H104/MAX(N(K104),1)&lt;=P104*$E$5),"Масштабувати",IF(AND(N(K104)&gt;0,H104/MAX(N(K104),1)&lt;=P104),"В цілі",IF(R104&gt;='Спенд без лідів'!$H$5,"Рано судити",IF(R104&gt;='Спенд без лідів'!$H$6,"Під питанням",IF(R104&gt;='Спенд без лідів'!$H$7,"Вимикати","Давно треба було"))))))</f>
        <v/>
      </c>
      <c r="T104" s="26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8" hidden="false" customHeight="true" outlineLevel="0" collapsed="false">
      <c r="A105" s="1"/>
      <c r="B105" s="26"/>
      <c r="C105" s="35"/>
      <c r="D105" s="8"/>
      <c r="E105" s="26"/>
      <c r="F105" s="8"/>
      <c r="G105" s="26"/>
      <c r="H105" s="27"/>
      <c r="I105" s="36"/>
      <c r="J105" s="36"/>
      <c r="K105" s="36"/>
      <c r="L105" s="37" t="str">
        <f aca="false">IF($H105="","",IFERROR(J105/I105,""))</f>
        <v/>
      </c>
      <c r="M105" s="30" t="str">
        <f aca="false">IF($H105="","",IFERROR(H105/J105,""))</f>
        <v/>
      </c>
      <c r="N105" s="30" t="str">
        <f aca="false">IF($H105="","",IFERROR(H105/I105*1000,""))</f>
        <v/>
      </c>
      <c r="O105" s="30" t="str">
        <f aca="false">IF($H105="","",IFERROR(H105/K105,"—"))</f>
        <v/>
      </c>
      <c r="P105" s="30" t="str">
        <f aca="false">IF($H105="","",IFERROR(INDEX('Гео-калькулятор'!$K$7:$K$13,MATCH($D105,'Гео-калькулятор'!$B$7:$B$13,0)),""))</f>
        <v/>
      </c>
      <c r="Q105" s="38" t="str">
        <f aca="false">IF($H105="","",IFERROR(O105/P105,""))</f>
        <v/>
      </c>
      <c r="R105" s="38" t="str">
        <f aca="false">IF(OR($H105="",P105=""),"",POISSON(N(K105),H105/P105,TRUE()))</f>
        <v/>
      </c>
      <c r="S105" s="51" t="str">
        <f aca="false">IF(R105="","",IF(AND(N(K105)&gt;=$H$5,H105/MAX(N(K105),1)&lt;=P105*$E$5),"Масштабувати",IF(AND(N(K105)&gt;0,H105/MAX(N(K105),1)&lt;=P105),"В цілі",IF(R105&gt;='Спенд без лідів'!$H$5,"Рано судити",IF(R105&gt;='Спенд без лідів'!$H$6,"Під питанням",IF(R105&gt;='Спенд без лідів'!$H$7,"Вимикати","Давно треба було"))))))</f>
        <v/>
      </c>
      <c r="T105" s="26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8" hidden="false" customHeight="true" outlineLevel="0" collapsed="false">
      <c r="A106" s="1"/>
      <c r="B106" s="26"/>
      <c r="C106" s="35"/>
      <c r="D106" s="8"/>
      <c r="E106" s="26"/>
      <c r="F106" s="8"/>
      <c r="G106" s="26"/>
      <c r="H106" s="27"/>
      <c r="I106" s="36"/>
      <c r="J106" s="36"/>
      <c r="K106" s="36"/>
      <c r="L106" s="37" t="str">
        <f aca="false">IF($H106="","",IFERROR(J106/I106,""))</f>
        <v/>
      </c>
      <c r="M106" s="30" t="str">
        <f aca="false">IF($H106="","",IFERROR(H106/J106,""))</f>
        <v/>
      </c>
      <c r="N106" s="30" t="str">
        <f aca="false">IF($H106="","",IFERROR(H106/I106*1000,""))</f>
        <v/>
      </c>
      <c r="O106" s="30" t="str">
        <f aca="false">IF($H106="","",IFERROR(H106/K106,"—"))</f>
        <v/>
      </c>
      <c r="P106" s="30" t="str">
        <f aca="false">IF($H106="","",IFERROR(INDEX('Гео-калькулятор'!$K$7:$K$13,MATCH($D106,'Гео-калькулятор'!$B$7:$B$13,0)),""))</f>
        <v/>
      </c>
      <c r="Q106" s="38" t="str">
        <f aca="false">IF($H106="","",IFERROR(O106/P106,""))</f>
        <v/>
      </c>
      <c r="R106" s="38" t="str">
        <f aca="false">IF(OR($H106="",P106=""),"",POISSON(N(K106),H106/P106,TRUE()))</f>
        <v/>
      </c>
      <c r="S106" s="51" t="str">
        <f aca="false">IF(R106="","",IF(AND(N(K106)&gt;=$H$5,H106/MAX(N(K106),1)&lt;=P106*$E$5),"Масштабувати",IF(AND(N(K106)&gt;0,H106/MAX(N(K106),1)&lt;=P106),"В цілі",IF(R106&gt;='Спенд без лідів'!$H$5,"Рано судити",IF(R106&gt;='Спенд без лідів'!$H$6,"Під питанням",IF(R106&gt;='Спенд без лідів'!$H$7,"Вимикати","Давно треба було"))))))</f>
        <v/>
      </c>
      <c r="T106" s="26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8" hidden="false" customHeight="true" outlineLevel="0" collapsed="false">
      <c r="A107" s="1"/>
      <c r="B107" s="26"/>
      <c r="C107" s="35"/>
      <c r="D107" s="8"/>
      <c r="E107" s="26"/>
      <c r="F107" s="8"/>
      <c r="G107" s="26"/>
      <c r="H107" s="27"/>
      <c r="I107" s="36"/>
      <c r="J107" s="36"/>
      <c r="K107" s="36"/>
      <c r="L107" s="37" t="str">
        <f aca="false">IF($H107="","",IFERROR(J107/I107,""))</f>
        <v/>
      </c>
      <c r="M107" s="30" t="str">
        <f aca="false">IF($H107="","",IFERROR(H107/J107,""))</f>
        <v/>
      </c>
      <c r="N107" s="30" t="str">
        <f aca="false">IF($H107="","",IFERROR(H107/I107*1000,""))</f>
        <v/>
      </c>
      <c r="O107" s="30" t="str">
        <f aca="false">IF($H107="","",IFERROR(H107/K107,"—"))</f>
        <v/>
      </c>
      <c r="P107" s="30" t="str">
        <f aca="false">IF($H107="","",IFERROR(INDEX('Гео-калькулятор'!$K$7:$K$13,MATCH($D107,'Гео-калькулятор'!$B$7:$B$13,0)),""))</f>
        <v/>
      </c>
      <c r="Q107" s="38" t="str">
        <f aca="false">IF($H107="","",IFERROR(O107/P107,""))</f>
        <v/>
      </c>
      <c r="R107" s="38" t="str">
        <f aca="false">IF(OR($H107="",P107=""),"",POISSON(N(K107),H107/P107,TRUE()))</f>
        <v/>
      </c>
      <c r="S107" s="51" t="str">
        <f aca="false">IF(R107="","",IF(AND(N(K107)&gt;=$H$5,H107/MAX(N(K107),1)&lt;=P107*$E$5),"Масштабувати",IF(AND(N(K107)&gt;0,H107/MAX(N(K107),1)&lt;=P107),"В цілі",IF(R107&gt;='Спенд без лідів'!$H$5,"Рано судити",IF(R107&gt;='Спенд без лідів'!$H$6,"Під питанням",IF(R107&gt;='Спенд без лідів'!$H$7,"Вимикати","Давно треба було"))))))</f>
        <v/>
      </c>
      <c r="T107" s="26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8" hidden="false" customHeight="true" outlineLevel="0" collapsed="false">
      <c r="A108" s="1"/>
      <c r="B108" s="26"/>
      <c r="C108" s="35"/>
      <c r="D108" s="8"/>
      <c r="E108" s="26"/>
      <c r="F108" s="8"/>
      <c r="G108" s="26"/>
      <c r="H108" s="27"/>
      <c r="I108" s="36"/>
      <c r="J108" s="36"/>
      <c r="K108" s="36"/>
      <c r="L108" s="37" t="str">
        <f aca="false">IF($H108="","",IFERROR(J108/I108,""))</f>
        <v/>
      </c>
      <c r="M108" s="30" t="str">
        <f aca="false">IF($H108="","",IFERROR(H108/J108,""))</f>
        <v/>
      </c>
      <c r="N108" s="30" t="str">
        <f aca="false">IF($H108="","",IFERROR(H108/I108*1000,""))</f>
        <v/>
      </c>
      <c r="O108" s="30" t="str">
        <f aca="false">IF($H108="","",IFERROR(H108/K108,"—"))</f>
        <v/>
      </c>
      <c r="P108" s="30" t="str">
        <f aca="false">IF($H108="","",IFERROR(INDEX('Гео-калькулятор'!$K$7:$K$13,MATCH($D108,'Гео-калькулятор'!$B$7:$B$13,0)),""))</f>
        <v/>
      </c>
      <c r="Q108" s="38" t="str">
        <f aca="false">IF($H108="","",IFERROR(O108/P108,""))</f>
        <v/>
      </c>
      <c r="R108" s="38" t="str">
        <f aca="false">IF(OR($H108="",P108=""),"",POISSON(N(K108),H108/P108,TRUE()))</f>
        <v/>
      </c>
      <c r="S108" s="51" t="str">
        <f aca="false">IF(R108="","",IF(AND(N(K108)&gt;=$H$5,H108/MAX(N(K108),1)&lt;=P108*$E$5),"Масштабувати",IF(AND(N(K108)&gt;0,H108/MAX(N(K108),1)&lt;=P108),"В цілі",IF(R108&gt;='Спенд без лідів'!$H$5,"Рано судити",IF(R108&gt;='Спенд без лідів'!$H$6,"Під питанням",IF(R108&gt;='Спенд без лідів'!$H$7,"Вимикати","Давно треба було"))))))</f>
        <v/>
      </c>
      <c r="T108" s="26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8" hidden="false" customHeight="true" outlineLevel="0" collapsed="false">
      <c r="A109" s="1"/>
      <c r="B109" s="26"/>
      <c r="C109" s="35"/>
      <c r="D109" s="8"/>
      <c r="E109" s="26"/>
      <c r="F109" s="8"/>
      <c r="G109" s="26"/>
      <c r="H109" s="27"/>
      <c r="I109" s="36"/>
      <c r="J109" s="36"/>
      <c r="K109" s="36"/>
      <c r="L109" s="37" t="str">
        <f aca="false">IF($H109="","",IFERROR(J109/I109,""))</f>
        <v/>
      </c>
      <c r="M109" s="30" t="str">
        <f aca="false">IF($H109="","",IFERROR(H109/J109,""))</f>
        <v/>
      </c>
      <c r="N109" s="30" t="str">
        <f aca="false">IF($H109="","",IFERROR(H109/I109*1000,""))</f>
        <v/>
      </c>
      <c r="O109" s="30" t="str">
        <f aca="false">IF($H109="","",IFERROR(H109/K109,"—"))</f>
        <v/>
      </c>
      <c r="P109" s="30" t="str">
        <f aca="false">IF($H109="","",IFERROR(INDEX('Гео-калькулятор'!$K$7:$K$13,MATCH($D109,'Гео-калькулятор'!$B$7:$B$13,0)),""))</f>
        <v/>
      </c>
      <c r="Q109" s="38" t="str">
        <f aca="false">IF($H109="","",IFERROR(O109/P109,""))</f>
        <v/>
      </c>
      <c r="R109" s="38" t="str">
        <f aca="false">IF(OR($H109="",P109=""),"",POISSON(N(K109),H109/P109,TRUE()))</f>
        <v/>
      </c>
      <c r="S109" s="51" t="str">
        <f aca="false">IF(R109="","",IF(AND(N(K109)&gt;=$H$5,H109/MAX(N(K109),1)&lt;=P109*$E$5),"Масштабувати",IF(AND(N(K109)&gt;0,H109/MAX(N(K109),1)&lt;=P109),"В цілі",IF(R109&gt;='Спенд без лідів'!$H$5,"Рано судити",IF(R109&gt;='Спенд без лідів'!$H$6,"Під питанням",IF(R109&gt;='Спенд без лідів'!$H$7,"Вимикати","Давно треба було"))))))</f>
        <v/>
      </c>
      <c r="T109" s="26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8" hidden="false" customHeight="true" outlineLevel="0" collapsed="false">
      <c r="A110" s="1"/>
      <c r="B110" s="26"/>
      <c r="C110" s="35"/>
      <c r="D110" s="8"/>
      <c r="E110" s="26"/>
      <c r="F110" s="8"/>
      <c r="G110" s="26"/>
      <c r="H110" s="27"/>
      <c r="I110" s="36"/>
      <c r="J110" s="36"/>
      <c r="K110" s="36"/>
      <c r="L110" s="37" t="str">
        <f aca="false">IF($H110="","",IFERROR(J110/I110,""))</f>
        <v/>
      </c>
      <c r="M110" s="30" t="str">
        <f aca="false">IF($H110="","",IFERROR(H110/J110,""))</f>
        <v/>
      </c>
      <c r="N110" s="30" t="str">
        <f aca="false">IF($H110="","",IFERROR(H110/I110*1000,""))</f>
        <v/>
      </c>
      <c r="O110" s="30" t="str">
        <f aca="false">IF($H110="","",IFERROR(H110/K110,"—"))</f>
        <v/>
      </c>
      <c r="P110" s="30" t="str">
        <f aca="false">IF($H110="","",IFERROR(INDEX('Гео-калькулятор'!$K$7:$K$13,MATCH($D110,'Гео-калькулятор'!$B$7:$B$13,0)),""))</f>
        <v/>
      </c>
      <c r="Q110" s="38" t="str">
        <f aca="false">IF($H110="","",IFERROR(O110/P110,""))</f>
        <v/>
      </c>
      <c r="R110" s="38" t="str">
        <f aca="false">IF(OR($H110="",P110=""),"",POISSON(N(K110),H110/P110,TRUE()))</f>
        <v/>
      </c>
      <c r="S110" s="51" t="str">
        <f aca="false">IF(R110="","",IF(AND(N(K110)&gt;=$H$5,H110/MAX(N(K110),1)&lt;=P110*$E$5),"Масштабувати",IF(AND(N(K110)&gt;0,H110/MAX(N(K110),1)&lt;=P110),"В цілі",IF(R110&gt;='Спенд без лідів'!$H$5,"Рано судити",IF(R110&gt;='Спенд без лідів'!$H$6,"Під питанням",IF(R110&gt;='Спенд без лідів'!$H$7,"Вимикати","Давно треба було"))))))</f>
        <v/>
      </c>
      <c r="T110" s="26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8" hidden="false" customHeight="true" outlineLevel="0" collapsed="false">
      <c r="A111" s="1"/>
      <c r="B111" s="26"/>
      <c r="C111" s="35"/>
      <c r="D111" s="8"/>
      <c r="E111" s="26"/>
      <c r="F111" s="8"/>
      <c r="G111" s="26"/>
      <c r="H111" s="27"/>
      <c r="I111" s="36"/>
      <c r="J111" s="36"/>
      <c r="K111" s="36"/>
      <c r="L111" s="37" t="str">
        <f aca="false">IF($H111="","",IFERROR(J111/I111,""))</f>
        <v/>
      </c>
      <c r="M111" s="30" t="str">
        <f aca="false">IF($H111="","",IFERROR(H111/J111,""))</f>
        <v/>
      </c>
      <c r="N111" s="30" t="str">
        <f aca="false">IF($H111="","",IFERROR(H111/I111*1000,""))</f>
        <v/>
      </c>
      <c r="O111" s="30" t="str">
        <f aca="false">IF($H111="","",IFERROR(H111/K111,"—"))</f>
        <v/>
      </c>
      <c r="P111" s="30" t="str">
        <f aca="false">IF($H111="","",IFERROR(INDEX('Гео-калькулятор'!$K$7:$K$13,MATCH($D111,'Гео-калькулятор'!$B$7:$B$13,0)),""))</f>
        <v/>
      </c>
      <c r="Q111" s="38" t="str">
        <f aca="false">IF($H111="","",IFERROR(O111/P111,""))</f>
        <v/>
      </c>
      <c r="R111" s="38" t="str">
        <f aca="false">IF(OR($H111="",P111=""),"",POISSON(N(K111),H111/P111,TRUE()))</f>
        <v/>
      </c>
      <c r="S111" s="51" t="str">
        <f aca="false">IF(R111="","",IF(AND(N(K111)&gt;=$H$5,H111/MAX(N(K111),1)&lt;=P111*$E$5),"Масштабувати",IF(AND(N(K111)&gt;0,H111/MAX(N(K111),1)&lt;=P111),"В цілі",IF(R111&gt;='Спенд без лідів'!$H$5,"Рано судити",IF(R111&gt;='Спенд без лідів'!$H$6,"Під питанням",IF(R111&gt;='Спенд без лідів'!$H$7,"Вимикати","Давно треба було"))))))</f>
        <v/>
      </c>
      <c r="T111" s="26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8" hidden="false" customHeight="true" outlineLevel="0" collapsed="false">
      <c r="A112" s="1"/>
      <c r="B112" s="26"/>
      <c r="C112" s="35"/>
      <c r="D112" s="8"/>
      <c r="E112" s="26"/>
      <c r="F112" s="8"/>
      <c r="G112" s="26"/>
      <c r="H112" s="27"/>
      <c r="I112" s="36"/>
      <c r="J112" s="36"/>
      <c r="K112" s="36"/>
      <c r="L112" s="37" t="str">
        <f aca="false">IF($H112="","",IFERROR(J112/I112,""))</f>
        <v/>
      </c>
      <c r="M112" s="30" t="str">
        <f aca="false">IF($H112="","",IFERROR(H112/J112,""))</f>
        <v/>
      </c>
      <c r="N112" s="30" t="str">
        <f aca="false">IF($H112="","",IFERROR(H112/I112*1000,""))</f>
        <v/>
      </c>
      <c r="O112" s="30" t="str">
        <f aca="false">IF($H112="","",IFERROR(H112/K112,"—"))</f>
        <v/>
      </c>
      <c r="P112" s="30" t="str">
        <f aca="false">IF($H112="","",IFERROR(INDEX('Гео-калькулятор'!$K$7:$K$13,MATCH($D112,'Гео-калькулятор'!$B$7:$B$13,0)),""))</f>
        <v/>
      </c>
      <c r="Q112" s="38" t="str">
        <f aca="false">IF($H112="","",IFERROR(O112/P112,""))</f>
        <v/>
      </c>
      <c r="R112" s="38" t="str">
        <f aca="false">IF(OR($H112="",P112=""),"",POISSON(N(K112),H112/P112,TRUE()))</f>
        <v/>
      </c>
      <c r="S112" s="51" t="str">
        <f aca="false">IF(R112="","",IF(AND(N(K112)&gt;=$H$5,H112/MAX(N(K112),1)&lt;=P112*$E$5),"Масштабувати",IF(AND(N(K112)&gt;0,H112/MAX(N(K112),1)&lt;=P112),"В цілі",IF(R112&gt;='Спенд без лідів'!$H$5,"Рано судити",IF(R112&gt;='Спенд без лідів'!$H$6,"Під питанням",IF(R112&gt;='Спенд без лідів'!$H$7,"Вимикати","Давно треба було"))))))</f>
        <v/>
      </c>
      <c r="T112" s="26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8" hidden="false" customHeight="true" outlineLevel="0" collapsed="false">
      <c r="A113" s="1"/>
      <c r="B113" s="26"/>
      <c r="C113" s="35"/>
      <c r="D113" s="8"/>
      <c r="E113" s="26"/>
      <c r="F113" s="8"/>
      <c r="G113" s="26"/>
      <c r="H113" s="27"/>
      <c r="I113" s="36"/>
      <c r="J113" s="36"/>
      <c r="K113" s="36"/>
      <c r="L113" s="37" t="str">
        <f aca="false">IF($H113="","",IFERROR(J113/I113,""))</f>
        <v/>
      </c>
      <c r="M113" s="30" t="str">
        <f aca="false">IF($H113="","",IFERROR(H113/J113,""))</f>
        <v/>
      </c>
      <c r="N113" s="30" t="str">
        <f aca="false">IF($H113="","",IFERROR(H113/I113*1000,""))</f>
        <v/>
      </c>
      <c r="O113" s="30" t="str">
        <f aca="false">IF($H113="","",IFERROR(H113/K113,"—"))</f>
        <v/>
      </c>
      <c r="P113" s="30" t="str">
        <f aca="false">IF($H113="","",IFERROR(INDEX('Гео-калькулятор'!$K$7:$K$13,MATCH($D113,'Гео-калькулятор'!$B$7:$B$13,0)),""))</f>
        <v/>
      </c>
      <c r="Q113" s="38" t="str">
        <f aca="false">IF($H113="","",IFERROR(O113/P113,""))</f>
        <v/>
      </c>
      <c r="R113" s="38" t="str">
        <f aca="false">IF(OR($H113="",P113=""),"",POISSON(N(K113),H113/P113,TRUE()))</f>
        <v/>
      </c>
      <c r="S113" s="51" t="str">
        <f aca="false">IF(R113="","",IF(AND(N(K113)&gt;=$H$5,H113/MAX(N(K113),1)&lt;=P113*$E$5),"Масштабувати",IF(AND(N(K113)&gt;0,H113/MAX(N(K113),1)&lt;=P113),"В цілі",IF(R113&gt;='Спенд без лідів'!$H$5,"Рано судити",IF(R113&gt;='Спенд без лідів'!$H$6,"Під питанням",IF(R113&gt;='Спенд без лідів'!$H$7,"Вимикати","Давно треба було"))))))</f>
        <v/>
      </c>
      <c r="T113" s="26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8" hidden="false" customHeight="true" outlineLevel="0" collapsed="false">
      <c r="A114" s="1"/>
      <c r="B114" s="26"/>
      <c r="C114" s="35"/>
      <c r="D114" s="8"/>
      <c r="E114" s="26"/>
      <c r="F114" s="8"/>
      <c r="G114" s="26"/>
      <c r="H114" s="27"/>
      <c r="I114" s="36"/>
      <c r="J114" s="36"/>
      <c r="K114" s="36"/>
      <c r="L114" s="37" t="str">
        <f aca="false">IF($H114="","",IFERROR(J114/I114,""))</f>
        <v/>
      </c>
      <c r="M114" s="30" t="str">
        <f aca="false">IF($H114="","",IFERROR(H114/J114,""))</f>
        <v/>
      </c>
      <c r="N114" s="30" t="str">
        <f aca="false">IF($H114="","",IFERROR(H114/I114*1000,""))</f>
        <v/>
      </c>
      <c r="O114" s="30" t="str">
        <f aca="false">IF($H114="","",IFERROR(H114/K114,"—"))</f>
        <v/>
      </c>
      <c r="P114" s="30" t="str">
        <f aca="false">IF($H114="","",IFERROR(INDEX('Гео-калькулятор'!$K$7:$K$13,MATCH($D114,'Гео-калькулятор'!$B$7:$B$13,0)),""))</f>
        <v/>
      </c>
      <c r="Q114" s="38" t="str">
        <f aca="false">IF($H114="","",IFERROR(O114/P114,""))</f>
        <v/>
      </c>
      <c r="R114" s="38" t="str">
        <f aca="false">IF(OR($H114="",P114=""),"",POISSON(N(K114),H114/P114,TRUE()))</f>
        <v/>
      </c>
      <c r="S114" s="51" t="str">
        <f aca="false">IF(R114="","",IF(AND(N(K114)&gt;=$H$5,H114/MAX(N(K114),1)&lt;=P114*$E$5),"Масштабувати",IF(AND(N(K114)&gt;0,H114/MAX(N(K114),1)&lt;=P114),"В цілі",IF(R114&gt;='Спенд без лідів'!$H$5,"Рано судити",IF(R114&gt;='Спенд без лідів'!$H$6,"Під питанням",IF(R114&gt;='Спенд без лідів'!$H$7,"Вимикати","Давно треба було"))))))</f>
        <v/>
      </c>
      <c r="T114" s="26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8" hidden="false" customHeight="true" outlineLevel="0" collapsed="false">
      <c r="A115" s="1"/>
      <c r="B115" s="26"/>
      <c r="C115" s="35"/>
      <c r="D115" s="8"/>
      <c r="E115" s="26"/>
      <c r="F115" s="8"/>
      <c r="G115" s="26"/>
      <c r="H115" s="27"/>
      <c r="I115" s="36"/>
      <c r="J115" s="36"/>
      <c r="K115" s="36"/>
      <c r="L115" s="37" t="str">
        <f aca="false">IF($H115="","",IFERROR(J115/I115,""))</f>
        <v/>
      </c>
      <c r="M115" s="30" t="str">
        <f aca="false">IF($H115="","",IFERROR(H115/J115,""))</f>
        <v/>
      </c>
      <c r="N115" s="30" t="str">
        <f aca="false">IF($H115="","",IFERROR(H115/I115*1000,""))</f>
        <v/>
      </c>
      <c r="O115" s="30" t="str">
        <f aca="false">IF($H115="","",IFERROR(H115/K115,"—"))</f>
        <v/>
      </c>
      <c r="P115" s="30" t="str">
        <f aca="false">IF($H115="","",IFERROR(INDEX('Гео-калькулятор'!$K$7:$K$13,MATCH($D115,'Гео-калькулятор'!$B$7:$B$13,0)),""))</f>
        <v/>
      </c>
      <c r="Q115" s="38" t="str">
        <f aca="false">IF($H115="","",IFERROR(O115/P115,""))</f>
        <v/>
      </c>
      <c r="R115" s="38" t="str">
        <f aca="false">IF(OR($H115="",P115=""),"",POISSON(N(K115),H115/P115,TRUE()))</f>
        <v/>
      </c>
      <c r="S115" s="51" t="str">
        <f aca="false">IF(R115="","",IF(AND(N(K115)&gt;=$H$5,H115/MAX(N(K115),1)&lt;=P115*$E$5),"Масштабувати",IF(AND(N(K115)&gt;0,H115/MAX(N(K115),1)&lt;=P115),"В цілі",IF(R115&gt;='Спенд без лідів'!$H$5,"Рано судити",IF(R115&gt;='Спенд без лідів'!$H$6,"Під питанням",IF(R115&gt;='Спенд без лідів'!$H$7,"Вимикати","Давно треба було"))))))</f>
        <v/>
      </c>
      <c r="T115" s="26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8" hidden="false" customHeight="true" outlineLevel="0" collapsed="false">
      <c r="A116" s="1"/>
      <c r="B116" s="26"/>
      <c r="C116" s="35"/>
      <c r="D116" s="8"/>
      <c r="E116" s="26"/>
      <c r="F116" s="8"/>
      <c r="G116" s="26"/>
      <c r="H116" s="27"/>
      <c r="I116" s="36"/>
      <c r="J116" s="36"/>
      <c r="K116" s="36"/>
      <c r="L116" s="37" t="str">
        <f aca="false">IF($H116="","",IFERROR(J116/I116,""))</f>
        <v/>
      </c>
      <c r="M116" s="30" t="str">
        <f aca="false">IF($H116="","",IFERROR(H116/J116,""))</f>
        <v/>
      </c>
      <c r="N116" s="30" t="str">
        <f aca="false">IF($H116="","",IFERROR(H116/I116*1000,""))</f>
        <v/>
      </c>
      <c r="O116" s="30" t="str">
        <f aca="false">IF($H116="","",IFERROR(H116/K116,"—"))</f>
        <v/>
      </c>
      <c r="P116" s="30" t="str">
        <f aca="false">IF($H116="","",IFERROR(INDEX('Гео-калькулятор'!$K$7:$K$13,MATCH($D116,'Гео-калькулятор'!$B$7:$B$13,0)),""))</f>
        <v/>
      </c>
      <c r="Q116" s="38" t="str">
        <f aca="false">IF($H116="","",IFERROR(O116/P116,""))</f>
        <v/>
      </c>
      <c r="R116" s="38" t="str">
        <f aca="false">IF(OR($H116="",P116=""),"",POISSON(N(K116),H116/P116,TRUE()))</f>
        <v/>
      </c>
      <c r="S116" s="51" t="str">
        <f aca="false">IF(R116="","",IF(AND(N(K116)&gt;=$H$5,H116/MAX(N(K116),1)&lt;=P116*$E$5),"Масштабувати",IF(AND(N(K116)&gt;0,H116/MAX(N(K116),1)&lt;=P116),"В цілі",IF(R116&gt;='Спенд без лідів'!$H$5,"Рано судити",IF(R116&gt;='Спенд без лідів'!$H$6,"Під питанням",IF(R116&gt;='Спенд без лідів'!$H$7,"Вимикати","Давно треба було"))))))</f>
        <v/>
      </c>
      <c r="T116" s="26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8" hidden="false" customHeight="true" outlineLevel="0" collapsed="false">
      <c r="A117" s="1"/>
      <c r="B117" s="26"/>
      <c r="C117" s="35"/>
      <c r="D117" s="8"/>
      <c r="E117" s="26"/>
      <c r="F117" s="8"/>
      <c r="G117" s="26"/>
      <c r="H117" s="27"/>
      <c r="I117" s="36"/>
      <c r="J117" s="36"/>
      <c r="K117" s="36"/>
      <c r="L117" s="37" t="str">
        <f aca="false">IF($H117="","",IFERROR(J117/I117,""))</f>
        <v/>
      </c>
      <c r="M117" s="30" t="str">
        <f aca="false">IF($H117="","",IFERROR(H117/J117,""))</f>
        <v/>
      </c>
      <c r="N117" s="30" t="str">
        <f aca="false">IF($H117="","",IFERROR(H117/I117*1000,""))</f>
        <v/>
      </c>
      <c r="O117" s="30" t="str">
        <f aca="false">IF($H117="","",IFERROR(H117/K117,"—"))</f>
        <v/>
      </c>
      <c r="P117" s="30" t="str">
        <f aca="false">IF($H117="","",IFERROR(INDEX('Гео-калькулятор'!$K$7:$K$13,MATCH($D117,'Гео-калькулятор'!$B$7:$B$13,0)),""))</f>
        <v/>
      </c>
      <c r="Q117" s="38" t="str">
        <f aca="false">IF($H117="","",IFERROR(O117/P117,""))</f>
        <v/>
      </c>
      <c r="R117" s="38" t="str">
        <f aca="false">IF(OR($H117="",P117=""),"",POISSON(N(K117),H117/P117,TRUE()))</f>
        <v/>
      </c>
      <c r="S117" s="51" t="str">
        <f aca="false">IF(R117="","",IF(AND(N(K117)&gt;=$H$5,H117/MAX(N(K117),1)&lt;=P117*$E$5),"Масштабувати",IF(AND(N(K117)&gt;0,H117/MAX(N(K117),1)&lt;=P117),"В цілі",IF(R117&gt;='Спенд без лідів'!$H$5,"Рано судити",IF(R117&gt;='Спенд без лідів'!$H$6,"Під питанням",IF(R117&gt;='Спенд без лідів'!$H$7,"Вимикати","Давно треба було"))))))</f>
        <v/>
      </c>
      <c r="T117" s="26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8" hidden="false" customHeight="true" outlineLevel="0" collapsed="false">
      <c r="A118" s="1"/>
      <c r="B118" s="26"/>
      <c r="C118" s="35"/>
      <c r="D118" s="8"/>
      <c r="E118" s="26"/>
      <c r="F118" s="8"/>
      <c r="G118" s="26"/>
      <c r="H118" s="27"/>
      <c r="I118" s="36"/>
      <c r="J118" s="36"/>
      <c r="K118" s="36"/>
      <c r="L118" s="37" t="str">
        <f aca="false">IF($H118="","",IFERROR(J118/I118,""))</f>
        <v/>
      </c>
      <c r="M118" s="30" t="str">
        <f aca="false">IF($H118="","",IFERROR(H118/J118,""))</f>
        <v/>
      </c>
      <c r="N118" s="30" t="str">
        <f aca="false">IF($H118="","",IFERROR(H118/I118*1000,""))</f>
        <v/>
      </c>
      <c r="O118" s="30" t="str">
        <f aca="false">IF($H118="","",IFERROR(H118/K118,"—"))</f>
        <v/>
      </c>
      <c r="P118" s="30" t="str">
        <f aca="false">IF($H118="","",IFERROR(INDEX('Гео-калькулятор'!$K$7:$K$13,MATCH($D118,'Гео-калькулятор'!$B$7:$B$13,0)),""))</f>
        <v/>
      </c>
      <c r="Q118" s="38" t="str">
        <f aca="false">IF($H118="","",IFERROR(O118/P118,""))</f>
        <v/>
      </c>
      <c r="R118" s="38" t="str">
        <f aca="false">IF(OR($H118="",P118=""),"",POISSON(N(K118),H118/P118,TRUE()))</f>
        <v/>
      </c>
      <c r="S118" s="51" t="str">
        <f aca="false">IF(R118="","",IF(AND(N(K118)&gt;=$H$5,H118/MAX(N(K118),1)&lt;=P118*$E$5),"Масштабувати",IF(AND(N(K118)&gt;0,H118/MAX(N(K118),1)&lt;=P118),"В цілі",IF(R118&gt;='Спенд без лідів'!$H$5,"Рано судити",IF(R118&gt;='Спенд без лідів'!$H$6,"Під питанням",IF(R118&gt;='Спенд без лідів'!$H$7,"Вимикати","Давно треба було"))))))</f>
        <v/>
      </c>
      <c r="T118" s="26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8" hidden="false" customHeight="true" outlineLevel="0" collapsed="false">
      <c r="A119" s="1"/>
      <c r="B119" s="26"/>
      <c r="C119" s="35"/>
      <c r="D119" s="8"/>
      <c r="E119" s="26"/>
      <c r="F119" s="8"/>
      <c r="G119" s="26"/>
      <c r="H119" s="27"/>
      <c r="I119" s="36"/>
      <c r="J119" s="36"/>
      <c r="K119" s="36"/>
      <c r="L119" s="37" t="str">
        <f aca="false">IF($H119="","",IFERROR(J119/I119,""))</f>
        <v/>
      </c>
      <c r="M119" s="30" t="str">
        <f aca="false">IF($H119="","",IFERROR(H119/J119,""))</f>
        <v/>
      </c>
      <c r="N119" s="30" t="str">
        <f aca="false">IF($H119="","",IFERROR(H119/I119*1000,""))</f>
        <v/>
      </c>
      <c r="O119" s="30" t="str">
        <f aca="false">IF($H119="","",IFERROR(H119/K119,"—"))</f>
        <v/>
      </c>
      <c r="P119" s="30" t="str">
        <f aca="false">IF($H119="","",IFERROR(INDEX('Гео-калькулятор'!$K$7:$K$13,MATCH($D119,'Гео-калькулятор'!$B$7:$B$13,0)),""))</f>
        <v/>
      </c>
      <c r="Q119" s="38" t="str">
        <f aca="false">IF($H119="","",IFERROR(O119/P119,""))</f>
        <v/>
      </c>
      <c r="R119" s="38" t="str">
        <f aca="false">IF(OR($H119="",P119=""),"",POISSON(N(K119),H119/P119,TRUE()))</f>
        <v/>
      </c>
      <c r="S119" s="51" t="str">
        <f aca="false">IF(R119="","",IF(AND(N(K119)&gt;=$H$5,H119/MAX(N(K119),1)&lt;=P119*$E$5),"Масштабувати",IF(AND(N(K119)&gt;0,H119/MAX(N(K119),1)&lt;=P119),"В цілі",IF(R119&gt;='Спенд без лідів'!$H$5,"Рано судити",IF(R119&gt;='Спенд без лідів'!$H$6,"Під питанням",IF(R119&gt;='Спенд без лідів'!$H$7,"Вимикати","Давно треба було"))))))</f>
        <v/>
      </c>
      <c r="T119" s="26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8" hidden="false" customHeight="true" outlineLevel="0" collapsed="false">
      <c r="A120" s="1"/>
      <c r="B120" s="26"/>
      <c r="C120" s="35"/>
      <c r="D120" s="8"/>
      <c r="E120" s="26"/>
      <c r="F120" s="8"/>
      <c r="G120" s="26"/>
      <c r="H120" s="27"/>
      <c r="I120" s="36"/>
      <c r="J120" s="36"/>
      <c r="K120" s="36"/>
      <c r="L120" s="37" t="str">
        <f aca="false">IF($H120="","",IFERROR(J120/I120,""))</f>
        <v/>
      </c>
      <c r="M120" s="30" t="str">
        <f aca="false">IF($H120="","",IFERROR(H120/J120,""))</f>
        <v/>
      </c>
      <c r="N120" s="30" t="str">
        <f aca="false">IF($H120="","",IFERROR(H120/I120*1000,""))</f>
        <v/>
      </c>
      <c r="O120" s="30" t="str">
        <f aca="false">IF($H120="","",IFERROR(H120/K120,"—"))</f>
        <v/>
      </c>
      <c r="P120" s="30" t="str">
        <f aca="false">IF($H120="","",IFERROR(INDEX('Гео-калькулятор'!$K$7:$K$13,MATCH($D120,'Гео-калькулятор'!$B$7:$B$13,0)),""))</f>
        <v/>
      </c>
      <c r="Q120" s="38" t="str">
        <f aca="false">IF($H120="","",IFERROR(O120/P120,""))</f>
        <v/>
      </c>
      <c r="R120" s="38" t="str">
        <f aca="false">IF(OR($H120="",P120=""),"",POISSON(N(K120),H120/P120,TRUE()))</f>
        <v/>
      </c>
      <c r="S120" s="51" t="str">
        <f aca="false">IF(R120="","",IF(AND(N(K120)&gt;=$H$5,H120/MAX(N(K120),1)&lt;=P120*$E$5),"Масштабувати",IF(AND(N(K120)&gt;0,H120/MAX(N(K120),1)&lt;=P120),"В цілі",IF(R120&gt;='Спенд без лідів'!$H$5,"Рано судити",IF(R120&gt;='Спенд без лідів'!$H$6,"Під питанням",IF(R120&gt;='Спенд без лідів'!$H$7,"Вимикати","Давно треба було"))))))</f>
        <v/>
      </c>
      <c r="T120" s="26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8" hidden="false" customHeight="true" outlineLevel="0" collapsed="false">
      <c r="A121" s="1"/>
      <c r="B121" s="26"/>
      <c r="C121" s="35"/>
      <c r="D121" s="8"/>
      <c r="E121" s="26"/>
      <c r="F121" s="8"/>
      <c r="G121" s="26"/>
      <c r="H121" s="27"/>
      <c r="I121" s="36"/>
      <c r="J121" s="36"/>
      <c r="K121" s="36"/>
      <c r="L121" s="37" t="str">
        <f aca="false">IF($H121="","",IFERROR(J121/I121,""))</f>
        <v/>
      </c>
      <c r="M121" s="30" t="str">
        <f aca="false">IF($H121="","",IFERROR(H121/J121,""))</f>
        <v/>
      </c>
      <c r="N121" s="30" t="str">
        <f aca="false">IF($H121="","",IFERROR(H121/I121*1000,""))</f>
        <v/>
      </c>
      <c r="O121" s="30" t="str">
        <f aca="false">IF($H121="","",IFERROR(H121/K121,"—"))</f>
        <v/>
      </c>
      <c r="P121" s="30" t="str">
        <f aca="false">IF($H121="","",IFERROR(INDEX('Гео-калькулятор'!$K$7:$K$13,MATCH($D121,'Гео-калькулятор'!$B$7:$B$13,0)),""))</f>
        <v/>
      </c>
      <c r="Q121" s="38" t="str">
        <f aca="false">IF($H121="","",IFERROR(O121/P121,""))</f>
        <v/>
      </c>
      <c r="R121" s="38" t="str">
        <f aca="false">IF(OR($H121="",P121=""),"",POISSON(N(K121),H121/P121,TRUE()))</f>
        <v/>
      </c>
      <c r="S121" s="51" t="str">
        <f aca="false">IF(R121="","",IF(AND(N(K121)&gt;=$H$5,H121/MAX(N(K121),1)&lt;=P121*$E$5),"Масштабувати",IF(AND(N(K121)&gt;0,H121/MAX(N(K121),1)&lt;=P121),"В цілі",IF(R121&gt;='Спенд без лідів'!$H$5,"Рано судити",IF(R121&gt;='Спенд без лідів'!$H$6,"Під питанням",IF(R121&gt;='Спенд без лідів'!$H$7,"Вимикати","Давно треба було"))))))</f>
        <v/>
      </c>
      <c r="T121" s="26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8" hidden="false" customHeight="true" outlineLevel="0" collapsed="false">
      <c r="A122" s="1"/>
      <c r="B122" s="26"/>
      <c r="C122" s="35"/>
      <c r="D122" s="8"/>
      <c r="E122" s="26"/>
      <c r="F122" s="8"/>
      <c r="G122" s="26"/>
      <c r="H122" s="27"/>
      <c r="I122" s="36"/>
      <c r="J122" s="36"/>
      <c r="K122" s="36"/>
      <c r="L122" s="37" t="str">
        <f aca="false">IF($H122="","",IFERROR(J122/I122,""))</f>
        <v/>
      </c>
      <c r="M122" s="30" t="str">
        <f aca="false">IF($H122="","",IFERROR(H122/J122,""))</f>
        <v/>
      </c>
      <c r="N122" s="30" t="str">
        <f aca="false">IF($H122="","",IFERROR(H122/I122*1000,""))</f>
        <v/>
      </c>
      <c r="O122" s="30" t="str">
        <f aca="false">IF($H122="","",IFERROR(H122/K122,"—"))</f>
        <v/>
      </c>
      <c r="P122" s="30" t="str">
        <f aca="false">IF($H122="","",IFERROR(INDEX('Гео-калькулятор'!$K$7:$K$13,MATCH($D122,'Гео-калькулятор'!$B$7:$B$13,0)),""))</f>
        <v/>
      </c>
      <c r="Q122" s="38" t="str">
        <f aca="false">IF($H122="","",IFERROR(O122/P122,""))</f>
        <v/>
      </c>
      <c r="R122" s="38" t="str">
        <f aca="false">IF(OR($H122="",P122=""),"",POISSON(N(K122),H122/P122,TRUE()))</f>
        <v/>
      </c>
      <c r="S122" s="51" t="str">
        <f aca="false">IF(R122="","",IF(AND(N(K122)&gt;=$H$5,H122/MAX(N(K122),1)&lt;=P122*$E$5),"Масштабувати",IF(AND(N(K122)&gt;0,H122/MAX(N(K122),1)&lt;=P122),"В цілі",IF(R122&gt;='Спенд без лідів'!$H$5,"Рано судити",IF(R122&gt;='Спенд без лідів'!$H$6,"Під питанням",IF(R122&gt;='Спенд без лідів'!$H$7,"Вимикати","Давно треба було"))))))</f>
        <v/>
      </c>
      <c r="T122" s="26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8" hidden="false" customHeight="true" outlineLevel="0" collapsed="false">
      <c r="A123" s="1"/>
      <c r="B123" s="26"/>
      <c r="C123" s="35"/>
      <c r="D123" s="8"/>
      <c r="E123" s="26"/>
      <c r="F123" s="8"/>
      <c r="G123" s="26"/>
      <c r="H123" s="27"/>
      <c r="I123" s="36"/>
      <c r="J123" s="36"/>
      <c r="K123" s="36"/>
      <c r="L123" s="37" t="str">
        <f aca="false">IF($H123="","",IFERROR(J123/I123,""))</f>
        <v/>
      </c>
      <c r="M123" s="30" t="str">
        <f aca="false">IF($H123="","",IFERROR(H123/J123,""))</f>
        <v/>
      </c>
      <c r="N123" s="30" t="str">
        <f aca="false">IF($H123="","",IFERROR(H123/I123*1000,""))</f>
        <v/>
      </c>
      <c r="O123" s="30" t="str">
        <f aca="false">IF($H123="","",IFERROR(H123/K123,"—"))</f>
        <v/>
      </c>
      <c r="P123" s="30" t="str">
        <f aca="false">IF($H123="","",IFERROR(INDEX('Гео-калькулятор'!$K$7:$K$13,MATCH($D123,'Гео-калькулятор'!$B$7:$B$13,0)),""))</f>
        <v/>
      </c>
      <c r="Q123" s="38" t="str">
        <f aca="false">IF($H123="","",IFERROR(O123/P123,""))</f>
        <v/>
      </c>
      <c r="R123" s="38" t="str">
        <f aca="false">IF(OR($H123="",P123=""),"",POISSON(N(K123),H123/P123,TRUE()))</f>
        <v/>
      </c>
      <c r="S123" s="51" t="str">
        <f aca="false">IF(R123="","",IF(AND(N(K123)&gt;=$H$5,H123/MAX(N(K123),1)&lt;=P123*$E$5),"Масштабувати",IF(AND(N(K123)&gt;0,H123/MAX(N(K123),1)&lt;=P123),"В цілі",IF(R123&gt;='Спенд без лідів'!$H$5,"Рано судити",IF(R123&gt;='Спенд без лідів'!$H$6,"Під питанням",IF(R123&gt;='Спенд без лідів'!$H$7,"Вимикати","Давно треба було"))))))</f>
        <v/>
      </c>
      <c r="T123" s="26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8" hidden="false" customHeight="true" outlineLevel="0" collapsed="false">
      <c r="A124" s="1"/>
      <c r="B124" s="26"/>
      <c r="C124" s="35"/>
      <c r="D124" s="8"/>
      <c r="E124" s="26"/>
      <c r="F124" s="8"/>
      <c r="G124" s="26"/>
      <c r="H124" s="27"/>
      <c r="I124" s="36"/>
      <c r="J124" s="36"/>
      <c r="K124" s="36"/>
      <c r="L124" s="37" t="str">
        <f aca="false">IF($H124="","",IFERROR(J124/I124,""))</f>
        <v/>
      </c>
      <c r="M124" s="30" t="str">
        <f aca="false">IF($H124="","",IFERROR(H124/J124,""))</f>
        <v/>
      </c>
      <c r="N124" s="30" t="str">
        <f aca="false">IF($H124="","",IFERROR(H124/I124*1000,""))</f>
        <v/>
      </c>
      <c r="O124" s="30" t="str">
        <f aca="false">IF($H124="","",IFERROR(H124/K124,"—"))</f>
        <v/>
      </c>
      <c r="P124" s="30" t="str">
        <f aca="false">IF($H124="","",IFERROR(INDEX('Гео-калькулятор'!$K$7:$K$13,MATCH($D124,'Гео-калькулятор'!$B$7:$B$13,0)),""))</f>
        <v/>
      </c>
      <c r="Q124" s="38" t="str">
        <f aca="false">IF($H124="","",IFERROR(O124/P124,""))</f>
        <v/>
      </c>
      <c r="R124" s="38" t="str">
        <f aca="false">IF(OR($H124="",P124=""),"",POISSON(N(K124),H124/P124,TRUE()))</f>
        <v/>
      </c>
      <c r="S124" s="51" t="str">
        <f aca="false">IF(R124="","",IF(AND(N(K124)&gt;=$H$5,H124/MAX(N(K124),1)&lt;=P124*$E$5),"Масштабувати",IF(AND(N(K124)&gt;0,H124/MAX(N(K124),1)&lt;=P124),"В цілі",IF(R124&gt;='Спенд без лідів'!$H$5,"Рано судити",IF(R124&gt;='Спенд без лідів'!$H$6,"Під питанням",IF(R124&gt;='Спенд без лідів'!$H$7,"Вимикати","Давно треба було"))))))</f>
        <v/>
      </c>
      <c r="T124" s="26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8" hidden="false" customHeight="true" outlineLevel="0" collapsed="false">
      <c r="A125" s="1"/>
      <c r="B125" s="26"/>
      <c r="C125" s="35"/>
      <c r="D125" s="8"/>
      <c r="E125" s="26"/>
      <c r="F125" s="8"/>
      <c r="G125" s="26"/>
      <c r="H125" s="27"/>
      <c r="I125" s="36"/>
      <c r="J125" s="36"/>
      <c r="K125" s="36"/>
      <c r="L125" s="37" t="str">
        <f aca="false">IF($H125="","",IFERROR(J125/I125,""))</f>
        <v/>
      </c>
      <c r="M125" s="30" t="str">
        <f aca="false">IF($H125="","",IFERROR(H125/J125,""))</f>
        <v/>
      </c>
      <c r="N125" s="30" t="str">
        <f aca="false">IF($H125="","",IFERROR(H125/I125*1000,""))</f>
        <v/>
      </c>
      <c r="O125" s="30" t="str">
        <f aca="false">IF($H125="","",IFERROR(H125/K125,"—"))</f>
        <v/>
      </c>
      <c r="P125" s="30" t="str">
        <f aca="false">IF($H125="","",IFERROR(INDEX('Гео-калькулятор'!$K$7:$K$13,MATCH($D125,'Гео-калькулятор'!$B$7:$B$13,0)),""))</f>
        <v/>
      </c>
      <c r="Q125" s="38" t="str">
        <f aca="false">IF($H125="","",IFERROR(O125/P125,""))</f>
        <v/>
      </c>
      <c r="R125" s="38" t="str">
        <f aca="false">IF(OR($H125="",P125=""),"",POISSON(N(K125),H125/P125,TRUE()))</f>
        <v/>
      </c>
      <c r="S125" s="51" t="str">
        <f aca="false">IF(R125="","",IF(AND(N(K125)&gt;=$H$5,H125/MAX(N(K125),1)&lt;=P125*$E$5),"Масштабувати",IF(AND(N(K125)&gt;0,H125/MAX(N(K125),1)&lt;=P125),"В цілі",IF(R125&gt;='Спенд без лідів'!$H$5,"Рано судити",IF(R125&gt;='Спенд без лідів'!$H$6,"Під питанням",IF(R125&gt;='Спенд без лідів'!$H$7,"Вимикати","Давно треба було"))))))</f>
        <v/>
      </c>
      <c r="T125" s="26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8" hidden="false" customHeight="true" outlineLevel="0" collapsed="false">
      <c r="A126" s="1"/>
      <c r="B126" s="26"/>
      <c r="C126" s="35"/>
      <c r="D126" s="8"/>
      <c r="E126" s="26"/>
      <c r="F126" s="8"/>
      <c r="G126" s="26"/>
      <c r="H126" s="27"/>
      <c r="I126" s="36"/>
      <c r="J126" s="36"/>
      <c r="K126" s="36"/>
      <c r="L126" s="37" t="str">
        <f aca="false">IF($H126="","",IFERROR(J126/I126,""))</f>
        <v/>
      </c>
      <c r="M126" s="30" t="str">
        <f aca="false">IF($H126="","",IFERROR(H126/J126,""))</f>
        <v/>
      </c>
      <c r="N126" s="30" t="str">
        <f aca="false">IF($H126="","",IFERROR(H126/I126*1000,""))</f>
        <v/>
      </c>
      <c r="O126" s="30" t="str">
        <f aca="false">IF($H126="","",IFERROR(H126/K126,"—"))</f>
        <v/>
      </c>
      <c r="P126" s="30" t="str">
        <f aca="false">IF($H126="","",IFERROR(INDEX('Гео-калькулятор'!$K$7:$K$13,MATCH($D126,'Гео-калькулятор'!$B$7:$B$13,0)),""))</f>
        <v/>
      </c>
      <c r="Q126" s="38" t="str">
        <f aca="false">IF($H126="","",IFERROR(O126/P126,""))</f>
        <v/>
      </c>
      <c r="R126" s="38" t="str">
        <f aca="false">IF(OR($H126="",P126=""),"",POISSON(N(K126),H126/P126,TRUE()))</f>
        <v/>
      </c>
      <c r="S126" s="51" t="str">
        <f aca="false">IF(R126="","",IF(AND(N(K126)&gt;=$H$5,H126/MAX(N(K126),1)&lt;=P126*$E$5),"Масштабувати",IF(AND(N(K126)&gt;0,H126/MAX(N(K126),1)&lt;=P126),"В цілі",IF(R126&gt;='Спенд без лідів'!$H$5,"Рано судити",IF(R126&gt;='Спенд без лідів'!$H$6,"Під питанням",IF(R126&gt;='Спенд без лідів'!$H$7,"Вимикати","Давно треба було"))))))</f>
        <v/>
      </c>
      <c r="T126" s="26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8" hidden="false" customHeight="true" outlineLevel="0" collapsed="false">
      <c r="A127" s="1"/>
      <c r="B127" s="26"/>
      <c r="C127" s="35"/>
      <c r="D127" s="8"/>
      <c r="E127" s="26"/>
      <c r="F127" s="8"/>
      <c r="G127" s="26"/>
      <c r="H127" s="27"/>
      <c r="I127" s="36"/>
      <c r="J127" s="36"/>
      <c r="K127" s="36"/>
      <c r="L127" s="37" t="str">
        <f aca="false">IF($H127="","",IFERROR(J127/I127,""))</f>
        <v/>
      </c>
      <c r="M127" s="30" t="str">
        <f aca="false">IF($H127="","",IFERROR(H127/J127,""))</f>
        <v/>
      </c>
      <c r="N127" s="30" t="str">
        <f aca="false">IF($H127="","",IFERROR(H127/I127*1000,""))</f>
        <v/>
      </c>
      <c r="O127" s="30" t="str">
        <f aca="false">IF($H127="","",IFERROR(H127/K127,"—"))</f>
        <v/>
      </c>
      <c r="P127" s="30" t="str">
        <f aca="false">IF($H127="","",IFERROR(INDEX('Гео-калькулятор'!$K$7:$K$13,MATCH($D127,'Гео-калькулятор'!$B$7:$B$13,0)),""))</f>
        <v/>
      </c>
      <c r="Q127" s="38" t="str">
        <f aca="false">IF($H127="","",IFERROR(O127/P127,""))</f>
        <v/>
      </c>
      <c r="R127" s="38" t="str">
        <f aca="false">IF(OR($H127="",P127=""),"",POISSON(N(K127),H127/P127,TRUE()))</f>
        <v/>
      </c>
      <c r="S127" s="51" t="str">
        <f aca="false">IF(R127="","",IF(AND(N(K127)&gt;=$H$5,H127/MAX(N(K127),1)&lt;=P127*$E$5),"Масштабувати",IF(AND(N(K127)&gt;0,H127/MAX(N(K127),1)&lt;=P127),"В цілі",IF(R127&gt;='Спенд без лідів'!$H$5,"Рано судити",IF(R127&gt;='Спенд без лідів'!$H$6,"Під питанням",IF(R127&gt;='Спенд без лідів'!$H$7,"Вимикати","Давно треба було"))))))</f>
        <v/>
      </c>
      <c r="T127" s="26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8" hidden="false" customHeight="true" outlineLevel="0" collapsed="false">
      <c r="A128" s="1"/>
      <c r="B128" s="26"/>
      <c r="C128" s="35"/>
      <c r="D128" s="8"/>
      <c r="E128" s="26"/>
      <c r="F128" s="8"/>
      <c r="G128" s="26"/>
      <c r="H128" s="27"/>
      <c r="I128" s="36"/>
      <c r="J128" s="36"/>
      <c r="K128" s="36"/>
      <c r="L128" s="37" t="str">
        <f aca="false">IF($H128="","",IFERROR(J128/I128,""))</f>
        <v/>
      </c>
      <c r="M128" s="30" t="str">
        <f aca="false">IF($H128="","",IFERROR(H128/J128,""))</f>
        <v/>
      </c>
      <c r="N128" s="30" t="str">
        <f aca="false">IF($H128="","",IFERROR(H128/I128*1000,""))</f>
        <v/>
      </c>
      <c r="O128" s="30" t="str">
        <f aca="false">IF($H128="","",IFERROR(H128/K128,"—"))</f>
        <v/>
      </c>
      <c r="P128" s="30" t="str">
        <f aca="false">IF($H128="","",IFERROR(INDEX('Гео-калькулятор'!$K$7:$K$13,MATCH($D128,'Гео-калькулятор'!$B$7:$B$13,0)),""))</f>
        <v/>
      </c>
      <c r="Q128" s="38" t="str">
        <f aca="false">IF($H128="","",IFERROR(O128/P128,""))</f>
        <v/>
      </c>
      <c r="R128" s="38" t="str">
        <f aca="false">IF(OR($H128="",P128=""),"",POISSON(N(K128),H128/P128,TRUE()))</f>
        <v/>
      </c>
      <c r="S128" s="51" t="str">
        <f aca="false">IF(R128="","",IF(AND(N(K128)&gt;=$H$5,H128/MAX(N(K128),1)&lt;=P128*$E$5),"Масштабувати",IF(AND(N(K128)&gt;0,H128/MAX(N(K128),1)&lt;=P128),"В цілі",IF(R128&gt;='Спенд без лідів'!$H$5,"Рано судити",IF(R128&gt;='Спенд без лідів'!$H$6,"Під питанням",IF(R128&gt;='Спенд без лідів'!$H$7,"Вимикати","Давно треба було"))))))</f>
        <v/>
      </c>
      <c r="T128" s="26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8" hidden="false" customHeight="true" outlineLevel="0" collapsed="false">
      <c r="A129" s="1"/>
      <c r="B129" s="26"/>
      <c r="C129" s="35"/>
      <c r="D129" s="8"/>
      <c r="E129" s="26"/>
      <c r="F129" s="8"/>
      <c r="G129" s="26"/>
      <c r="H129" s="27"/>
      <c r="I129" s="36"/>
      <c r="J129" s="36"/>
      <c r="K129" s="36"/>
      <c r="L129" s="37" t="str">
        <f aca="false">IF($H129="","",IFERROR(J129/I129,""))</f>
        <v/>
      </c>
      <c r="M129" s="30" t="str">
        <f aca="false">IF($H129="","",IFERROR(H129/J129,""))</f>
        <v/>
      </c>
      <c r="N129" s="30" t="str">
        <f aca="false">IF($H129="","",IFERROR(H129/I129*1000,""))</f>
        <v/>
      </c>
      <c r="O129" s="30" t="str">
        <f aca="false">IF($H129="","",IFERROR(H129/K129,"—"))</f>
        <v/>
      </c>
      <c r="P129" s="30" t="str">
        <f aca="false">IF($H129="","",IFERROR(INDEX('Гео-калькулятор'!$K$7:$K$13,MATCH($D129,'Гео-калькулятор'!$B$7:$B$13,0)),""))</f>
        <v/>
      </c>
      <c r="Q129" s="38" t="str">
        <f aca="false">IF($H129="","",IFERROR(O129/P129,""))</f>
        <v/>
      </c>
      <c r="R129" s="38" t="str">
        <f aca="false">IF(OR($H129="",P129=""),"",POISSON(N(K129),H129/P129,TRUE()))</f>
        <v/>
      </c>
      <c r="S129" s="51" t="str">
        <f aca="false">IF(R129="","",IF(AND(N(K129)&gt;=$H$5,H129/MAX(N(K129),1)&lt;=P129*$E$5),"Масштабувати",IF(AND(N(K129)&gt;0,H129/MAX(N(K129),1)&lt;=P129),"В цілі",IF(R129&gt;='Спенд без лідів'!$H$5,"Рано судити",IF(R129&gt;='Спенд без лідів'!$H$6,"Під питанням",IF(R129&gt;='Спенд без лідів'!$H$7,"Вимикати","Давно треба було"))))))</f>
        <v/>
      </c>
      <c r="T129" s="26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8" hidden="false" customHeight="true" outlineLevel="0" collapsed="false">
      <c r="A130" s="1"/>
      <c r="B130" s="26"/>
      <c r="C130" s="35"/>
      <c r="D130" s="8"/>
      <c r="E130" s="26"/>
      <c r="F130" s="8"/>
      <c r="G130" s="26"/>
      <c r="H130" s="27"/>
      <c r="I130" s="36"/>
      <c r="J130" s="36"/>
      <c r="K130" s="36"/>
      <c r="L130" s="37" t="str">
        <f aca="false">IF($H130="","",IFERROR(J130/I130,""))</f>
        <v/>
      </c>
      <c r="M130" s="30" t="str">
        <f aca="false">IF($H130="","",IFERROR(H130/J130,""))</f>
        <v/>
      </c>
      <c r="N130" s="30" t="str">
        <f aca="false">IF($H130="","",IFERROR(H130/I130*1000,""))</f>
        <v/>
      </c>
      <c r="O130" s="30" t="str">
        <f aca="false">IF($H130="","",IFERROR(H130/K130,"—"))</f>
        <v/>
      </c>
      <c r="P130" s="30" t="str">
        <f aca="false">IF($H130="","",IFERROR(INDEX('Гео-калькулятор'!$K$7:$K$13,MATCH($D130,'Гео-калькулятор'!$B$7:$B$13,0)),""))</f>
        <v/>
      </c>
      <c r="Q130" s="38" t="str">
        <f aca="false">IF($H130="","",IFERROR(O130/P130,""))</f>
        <v/>
      </c>
      <c r="R130" s="38" t="str">
        <f aca="false">IF(OR($H130="",P130=""),"",POISSON(N(K130),H130/P130,TRUE()))</f>
        <v/>
      </c>
      <c r="S130" s="51" t="str">
        <f aca="false">IF(R130="","",IF(AND(N(K130)&gt;=$H$5,H130/MAX(N(K130),1)&lt;=P130*$E$5),"Масштабувати",IF(AND(N(K130)&gt;0,H130/MAX(N(K130),1)&lt;=P130),"В цілі",IF(R130&gt;='Спенд без лідів'!$H$5,"Рано судити",IF(R130&gt;='Спенд без лідів'!$H$6,"Під питанням",IF(R130&gt;='Спенд без лідів'!$H$7,"Вимикати","Давно треба було"))))))</f>
        <v/>
      </c>
      <c r="T130" s="26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8" hidden="false" customHeight="true" outlineLevel="0" collapsed="false">
      <c r="A131" s="1"/>
      <c r="B131" s="26"/>
      <c r="C131" s="35"/>
      <c r="D131" s="8"/>
      <c r="E131" s="26"/>
      <c r="F131" s="8"/>
      <c r="G131" s="26"/>
      <c r="H131" s="27"/>
      <c r="I131" s="36"/>
      <c r="J131" s="36"/>
      <c r="K131" s="36"/>
      <c r="L131" s="37" t="str">
        <f aca="false">IF($H131="","",IFERROR(J131/I131,""))</f>
        <v/>
      </c>
      <c r="M131" s="30" t="str">
        <f aca="false">IF($H131="","",IFERROR(H131/J131,""))</f>
        <v/>
      </c>
      <c r="N131" s="30" t="str">
        <f aca="false">IF($H131="","",IFERROR(H131/I131*1000,""))</f>
        <v/>
      </c>
      <c r="O131" s="30" t="str">
        <f aca="false">IF($H131="","",IFERROR(H131/K131,"—"))</f>
        <v/>
      </c>
      <c r="P131" s="30" t="str">
        <f aca="false">IF($H131="","",IFERROR(INDEX('Гео-калькулятор'!$K$7:$K$13,MATCH($D131,'Гео-калькулятор'!$B$7:$B$13,0)),""))</f>
        <v/>
      </c>
      <c r="Q131" s="38" t="str">
        <f aca="false">IF($H131="","",IFERROR(O131/P131,""))</f>
        <v/>
      </c>
      <c r="R131" s="38" t="str">
        <f aca="false">IF(OR($H131="",P131=""),"",POISSON(N(K131),H131/P131,TRUE()))</f>
        <v/>
      </c>
      <c r="S131" s="51" t="str">
        <f aca="false">IF(R131="","",IF(AND(N(K131)&gt;=$H$5,H131/MAX(N(K131),1)&lt;=P131*$E$5),"Масштабувати",IF(AND(N(K131)&gt;0,H131/MAX(N(K131),1)&lt;=P131),"В цілі",IF(R131&gt;='Спенд без лідів'!$H$5,"Рано судити",IF(R131&gt;='Спенд без лідів'!$H$6,"Під питанням",IF(R131&gt;='Спенд без лідів'!$H$7,"Вимикати","Давно треба було"))))))</f>
        <v/>
      </c>
      <c r="T131" s="26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8" hidden="false" customHeight="true" outlineLevel="0" collapsed="false">
      <c r="A132" s="1"/>
      <c r="B132" s="26"/>
      <c r="C132" s="35"/>
      <c r="D132" s="8"/>
      <c r="E132" s="26"/>
      <c r="F132" s="8"/>
      <c r="G132" s="26"/>
      <c r="H132" s="27"/>
      <c r="I132" s="36"/>
      <c r="J132" s="36"/>
      <c r="K132" s="36"/>
      <c r="L132" s="37" t="str">
        <f aca="false">IF($H132="","",IFERROR(J132/I132,""))</f>
        <v/>
      </c>
      <c r="M132" s="30" t="str">
        <f aca="false">IF($H132="","",IFERROR(H132/J132,""))</f>
        <v/>
      </c>
      <c r="N132" s="30" t="str">
        <f aca="false">IF($H132="","",IFERROR(H132/I132*1000,""))</f>
        <v/>
      </c>
      <c r="O132" s="30" t="str">
        <f aca="false">IF($H132="","",IFERROR(H132/K132,"—"))</f>
        <v/>
      </c>
      <c r="P132" s="30" t="str">
        <f aca="false">IF($H132="","",IFERROR(INDEX('Гео-калькулятор'!$K$7:$K$13,MATCH($D132,'Гео-калькулятор'!$B$7:$B$13,0)),""))</f>
        <v/>
      </c>
      <c r="Q132" s="38" t="str">
        <f aca="false">IF($H132="","",IFERROR(O132/P132,""))</f>
        <v/>
      </c>
      <c r="R132" s="38" t="str">
        <f aca="false">IF(OR($H132="",P132=""),"",POISSON(N(K132),H132/P132,TRUE()))</f>
        <v/>
      </c>
      <c r="S132" s="51" t="str">
        <f aca="false">IF(R132="","",IF(AND(N(K132)&gt;=$H$5,H132/MAX(N(K132),1)&lt;=P132*$E$5),"Масштабувати",IF(AND(N(K132)&gt;0,H132/MAX(N(K132),1)&lt;=P132),"В цілі",IF(R132&gt;='Спенд без лідів'!$H$5,"Рано судити",IF(R132&gt;='Спенд без лідів'!$H$6,"Під питанням",IF(R132&gt;='Спенд без лідів'!$H$7,"Вимикати","Давно треба було"))))))</f>
        <v/>
      </c>
      <c r="T132" s="26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8" hidden="false" customHeight="true" outlineLevel="0" collapsed="false">
      <c r="A133" s="1"/>
      <c r="B133" s="26"/>
      <c r="C133" s="35"/>
      <c r="D133" s="8"/>
      <c r="E133" s="26"/>
      <c r="F133" s="8"/>
      <c r="G133" s="26"/>
      <c r="H133" s="27"/>
      <c r="I133" s="36"/>
      <c r="J133" s="36"/>
      <c r="K133" s="36"/>
      <c r="L133" s="37" t="str">
        <f aca="false">IF($H133="","",IFERROR(J133/I133,""))</f>
        <v/>
      </c>
      <c r="M133" s="30" t="str">
        <f aca="false">IF($H133="","",IFERROR(H133/J133,""))</f>
        <v/>
      </c>
      <c r="N133" s="30" t="str">
        <f aca="false">IF($H133="","",IFERROR(H133/I133*1000,""))</f>
        <v/>
      </c>
      <c r="O133" s="30" t="str">
        <f aca="false">IF($H133="","",IFERROR(H133/K133,"—"))</f>
        <v/>
      </c>
      <c r="P133" s="30" t="str">
        <f aca="false">IF($H133="","",IFERROR(INDEX('Гео-калькулятор'!$K$7:$K$13,MATCH($D133,'Гео-калькулятор'!$B$7:$B$13,0)),""))</f>
        <v/>
      </c>
      <c r="Q133" s="38" t="str">
        <f aca="false">IF($H133="","",IFERROR(O133/P133,""))</f>
        <v/>
      </c>
      <c r="R133" s="38" t="str">
        <f aca="false">IF(OR($H133="",P133=""),"",POISSON(N(K133),H133/P133,TRUE()))</f>
        <v/>
      </c>
      <c r="S133" s="51" t="str">
        <f aca="false">IF(R133="","",IF(AND(N(K133)&gt;=$H$5,H133/MAX(N(K133),1)&lt;=P133*$E$5),"Масштабувати",IF(AND(N(K133)&gt;0,H133/MAX(N(K133),1)&lt;=P133),"В цілі",IF(R133&gt;='Спенд без лідів'!$H$5,"Рано судити",IF(R133&gt;='Спенд без лідів'!$H$6,"Під питанням",IF(R133&gt;='Спенд без лідів'!$H$7,"Вимикати","Давно треба було"))))))</f>
        <v/>
      </c>
      <c r="T133" s="26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8" hidden="false" customHeight="true" outlineLevel="0" collapsed="false">
      <c r="A134" s="1"/>
      <c r="B134" s="26"/>
      <c r="C134" s="35"/>
      <c r="D134" s="8"/>
      <c r="E134" s="26"/>
      <c r="F134" s="8"/>
      <c r="G134" s="26"/>
      <c r="H134" s="27"/>
      <c r="I134" s="36"/>
      <c r="J134" s="36"/>
      <c r="K134" s="36"/>
      <c r="L134" s="37" t="str">
        <f aca="false">IF($H134="","",IFERROR(J134/I134,""))</f>
        <v/>
      </c>
      <c r="M134" s="30" t="str">
        <f aca="false">IF($H134="","",IFERROR(H134/J134,""))</f>
        <v/>
      </c>
      <c r="N134" s="30" t="str">
        <f aca="false">IF($H134="","",IFERROR(H134/I134*1000,""))</f>
        <v/>
      </c>
      <c r="O134" s="30" t="str">
        <f aca="false">IF($H134="","",IFERROR(H134/K134,"—"))</f>
        <v/>
      </c>
      <c r="P134" s="30" t="str">
        <f aca="false">IF($H134="","",IFERROR(INDEX('Гео-калькулятор'!$K$7:$K$13,MATCH($D134,'Гео-калькулятор'!$B$7:$B$13,0)),""))</f>
        <v/>
      </c>
      <c r="Q134" s="38" t="str">
        <f aca="false">IF($H134="","",IFERROR(O134/P134,""))</f>
        <v/>
      </c>
      <c r="R134" s="38" t="str">
        <f aca="false">IF(OR($H134="",P134=""),"",POISSON(N(K134),H134/P134,TRUE()))</f>
        <v/>
      </c>
      <c r="S134" s="51" t="str">
        <f aca="false">IF(R134="","",IF(AND(N(K134)&gt;=$H$5,H134/MAX(N(K134),1)&lt;=P134*$E$5),"Масштабувати",IF(AND(N(K134)&gt;0,H134/MAX(N(K134),1)&lt;=P134),"В цілі",IF(R134&gt;='Спенд без лідів'!$H$5,"Рано судити",IF(R134&gt;='Спенд без лідів'!$H$6,"Під питанням",IF(R134&gt;='Спенд без лідів'!$H$7,"Вимикати","Давно треба було"))))))</f>
        <v/>
      </c>
      <c r="T134" s="26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8" hidden="false" customHeight="true" outlineLevel="0" collapsed="false">
      <c r="A135" s="1"/>
      <c r="B135" s="26"/>
      <c r="C135" s="35"/>
      <c r="D135" s="8"/>
      <c r="E135" s="26"/>
      <c r="F135" s="8"/>
      <c r="G135" s="26"/>
      <c r="H135" s="27"/>
      <c r="I135" s="36"/>
      <c r="J135" s="36"/>
      <c r="K135" s="36"/>
      <c r="L135" s="37" t="str">
        <f aca="false">IF($H135="","",IFERROR(J135/I135,""))</f>
        <v/>
      </c>
      <c r="M135" s="30" t="str">
        <f aca="false">IF($H135="","",IFERROR(H135/J135,""))</f>
        <v/>
      </c>
      <c r="N135" s="30" t="str">
        <f aca="false">IF($H135="","",IFERROR(H135/I135*1000,""))</f>
        <v/>
      </c>
      <c r="O135" s="30" t="str">
        <f aca="false">IF($H135="","",IFERROR(H135/K135,"—"))</f>
        <v/>
      </c>
      <c r="P135" s="30" t="str">
        <f aca="false">IF($H135="","",IFERROR(INDEX('Гео-калькулятор'!$K$7:$K$13,MATCH($D135,'Гео-калькулятор'!$B$7:$B$13,0)),""))</f>
        <v/>
      </c>
      <c r="Q135" s="38" t="str">
        <f aca="false">IF($H135="","",IFERROR(O135/P135,""))</f>
        <v/>
      </c>
      <c r="R135" s="38" t="str">
        <f aca="false">IF(OR($H135="",P135=""),"",POISSON(N(K135),H135/P135,TRUE()))</f>
        <v/>
      </c>
      <c r="S135" s="51" t="str">
        <f aca="false">IF(R135="","",IF(AND(N(K135)&gt;=$H$5,H135/MAX(N(K135),1)&lt;=P135*$E$5),"Масштабувати",IF(AND(N(K135)&gt;0,H135/MAX(N(K135),1)&lt;=P135),"В цілі",IF(R135&gt;='Спенд без лідів'!$H$5,"Рано судити",IF(R135&gt;='Спенд без лідів'!$H$6,"Під питанням",IF(R135&gt;='Спенд без лідів'!$H$7,"Вимикати","Давно треба було"))))))</f>
        <v/>
      </c>
      <c r="T135" s="26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8" hidden="false" customHeight="true" outlineLevel="0" collapsed="false">
      <c r="A136" s="1"/>
      <c r="B136" s="26"/>
      <c r="C136" s="35"/>
      <c r="D136" s="8"/>
      <c r="E136" s="26"/>
      <c r="F136" s="8"/>
      <c r="G136" s="26"/>
      <c r="H136" s="27"/>
      <c r="I136" s="36"/>
      <c r="J136" s="36"/>
      <c r="K136" s="36"/>
      <c r="L136" s="37" t="str">
        <f aca="false">IF($H136="","",IFERROR(J136/I136,""))</f>
        <v/>
      </c>
      <c r="M136" s="30" t="str">
        <f aca="false">IF($H136="","",IFERROR(H136/J136,""))</f>
        <v/>
      </c>
      <c r="N136" s="30" t="str">
        <f aca="false">IF($H136="","",IFERROR(H136/I136*1000,""))</f>
        <v/>
      </c>
      <c r="O136" s="30" t="str">
        <f aca="false">IF($H136="","",IFERROR(H136/K136,"—"))</f>
        <v/>
      </c>
      <c r="P136" s="30" t="str">
        <f aca="false">IF($H136="","",IFERROR(INDEX('Гео-калькулятор'!$K$7:$K$13,MATCH($D136,'Гео-калькулятор'!$B$7:$B$13,0)),""))</f>
        <v/>
      </c>
      <c r="Q136" s="38" t="str">
        <f aca="false">IF($H136="","",IFERROR(O136/P136,""))</f>
        <v/>
      </c>
      <c r="R136" s="38" t="str">
        <f aca="false">IF(OR($H136="",P136=""),"",POISSON(N(K136),H136/P136,TRUE()))</f>
        <v/>
      </c>
      <c r="S136" s="51" t="str">
        <f aca="false">IF(R136="","",IF(AND(N(K136)&gt;=$H$5,H136/MAX(N(K136),1)&lt;=P136*$E$5),"Масштабувати",IF(AND(N(K136)&gt;0,H136/MAX(N(K136),1)&lt;=P136),"В цілі",IF(R136&gt;='Спенд без лідів'!$H$5,"Рано судити",IF(R136&gt;='Спенд без лідів'!$H$6,"Під питанням",IF(R136&gt;='Спенд без лідів'!$H$7,"Вимикати","Давно треба було"))))))</f>
        <v/>
      </c>
      <c r="T136" s="26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8" hidden="false" customHeight="true" outlineLevel="0" collapsed="false">
      <c r="A137" s="1"/>
      <c r="B137" s="26"/>
      <c r="C137" s="35"/>
      <c r="D137" s="8"/>
      <c r="E137" s="26"/>
      <c r="F137" s="8"/>
      <c r="G137" s="26"/>
      <c r="H137" s="27"/>
      <c r="I137" s="36"/>
      <c r="J137" s="36"/>
      <c r="K137" s="36"/>
      <c r="L137" s="37" t="str">
        <f aca="false">IF($H137="","",IFERROR(J137/I137,""))</f>
        <v/>
      </c>
      <c r="M137" s="30" t="str">
        <f aca="false">IF($H137="","",IFERROR(H137/J137,""))</f>
        <v/>
      </c>
      <c r="N137" s="30" t="str">
        <f aca="false">IF($H137="","",IFERROR(H137/I137*1000,""))</f>
        <v/>
      </c>
      <c r="O137" s="30" t="str">
        <f aca="false">IF($H137="","",IFERROR(H137/K137,"—"))</f>
        <v/>
      </c>
      <c r="P137" s="30" t="str">
        <f aca="false">IF($H137="","",IFERROR(INDEX('Гео-калькулятор'!$K$7:$K$13,MATCH($D137,'Гео-калькулятор'!$B$7:$B$13,0)),""))</f>
        <v/>
      </c>
      <c r="Q137" s="38" t="str">
        <f aca="false">IF($H137="","",IFERROR(O137/P137,""))</f>
        <v/>
      </c>
      <c r="R137" s="38" t="str">
        <f aca="false">IF(OR($H137="",P137=""),"",POISSON(N(K137),H137/P137,TRUE()))</f>
        <v/>
      </c>
      <c r="S137" s="51" t="str">
        <f aca="false">IF(R137="","",IF(AND(N(K137)&gt;=$H$5,H137/MAX(N(K137),1)&lt;=P137*$E$5),"Масштабувати",IF(AND(N(K137)&gt;0,H137/MAX(N(K137),1)&lt;=P137),"В цілі",IF(R137&gt;='Спенд без лідів'!$H$5,"Рано судити",IF(R137&gt;='Спенд без лідів'!$H$6,"Під питанням",IF(R137&gt;='Спенд без лідів'!$H$7,"Вимикати","Давно треба було"))))))</f>
        <v/>
      </c>
      <c r="T137" s="26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8" hidden="false" customHeight="true" outlineLevel="0" collapsed="false">
      <c r="A138" s="1"/>
      <c r="B138" s="26"/>
      <c r="C138" s="35"/>
      <c r="D138" s="8"/>
      <c r="E138" s="26"/>
      <c r="F138" s="8"/>
      <c r="G138" s="26"/>
      <c r="H138" s="27"/>
      <c r="I138" s="36"/>
      <c r="J138" s="36"/>
      <c r="K138" s="36"/>
      <c r="L138" s="37" t="str">
        <f aca="false">IF($H138="","",IFERROR(J138/I138,""))</f>
        <v/>
      </c>
      <c r="M138" s="30" t="str">
        <f aca="false">IF($H138="","",IFERROR(H138/J138,""))</f>
        <v/>
      </c>
      <c r="N138" s="30" t="str">
        <f aca="false">IF($H138="","",IFERROR(H138/I138*1000,""))</f>
        <v/>
      </c>
      <c r="O138" s="30" t="str">
        <f aca="false">IF($H138="","",IFERROR(H138/K138,"—"))</f>
        <v/>
      </c>
      <c r="P138" s="30" t="str">
        <f aca="false">IF($H138="","",IFERROR(INDEX('Гео-калькулятор'!$K$7:$K$13,MATCH($D138,'Гео-калькулятор'!$B$7:$B$13,0)),""))</f>
        <v/>
      </c>
      <c r="Q138" s="38" t="str">
        <f aca="false">IF($H138="","",IFERROR(O138/P138,""))</f>
        <v/>
      </c>
      <c r="R138" s="38" t="str">
        <f aca="false">IF(OR($H138="",P138=""),"",POISSON(N(K138),H138/P138,TRUE()))</f>
        <v/>
      </c>
      <c r="S138" s="51" t="str">
        <f aca="false">IF(R138="","",IF(AND(N(K138)&gt;=$H$5,H138/MAX(N(K138),1)&lt;=P138*$E$5),"Масштабувати",IF(AND(N(K138)&gt;0,H138/MAX(N(K138),1)&lt;=P138),"В цілі",IF(R138&gt;='Спенд без лідів'!$H$5,"Рано судити",IF(R138&gt;='Спенд без лідів'!$H$6,"Під питанням",IF(R138&gt;='Спенд без лідів'!$H$7,"Вимикати","Давно треба було"))))))</f>
        <v/>
      </c>
      <c r="T138" s="26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8" hidden="false" customHeight="true" outlineLevel="0" collapsed="false">
      <c r="A139" s="1"/>
      <c r="B139" s="26"/>
      <c r="C139" s="35"/>
      <c r="D139" s="8"/>
      <c r="E139" s="26"/>
      <c r="F139" s="8"/>
      <c r="G139" s="26"/>
      <c r="H139" s="27"/>
      <c r="I139" s="36"/>
      <c r="J139" s="36"/>
      <c r="K139" s="36"/>
      <c r="L139" s="37" t="str">
        <f aca="false">IF($H139="","",IFERROR(J139/I139,""))</f>
        <v/>
      </c>
      <c r="M139" s="30" t="str">
        <f aca="false">IF($H139="","",IFERROR(H139/J139,""))</f>
        <v/>
      </c>
      <c r="N139" s="30" t="str">
        <f aca="false">IF($H139="","",IFERROR(H139/I139*1000,""))</f>
        <v/>
      </c>
      <c r="O139" s="30" t="str">
        <f aca="false">IF($H139="","",IFERROR(H139/K139,"—"))</f>
        <v/>
      </c>
      <c r="P139" s="30" t="str">
        <f aca="false">IF($H139="","",IFERROR(INDEX('Гео-калькулятор'!$K$7:$K$13,MATCH($D139,'Гео-калькулятор'!$B$7:$B$13,0)),""))</f>
        <v/>
      </c>
      <c r="Q139" s="38" t="str">
        <f aca="false">IF($H139="","",IFERROR(O139/P139,""))</f>
        <v/>
      </c>
      <c r="R139" s="38" t="str">
        <f aca="false">IF(OR($H139="",P139=""),"",POISSON(N(K139),H139/P139,TRUE()))</f>
        <v/>
      </c>
      <c r="S139" s="51" t="str">
        <f aca="false">IF(R139="","",IF(AND(N(K139)&gt;=$H$5,H139/MAX(N(K139),1)&lt;=P139*$E$5),"Масштабувати",IF(AND(N(K139)&gt;0,H139/MAX(N(K139),1)&lt;=P139),"В цілі",IF(R139&gt;='Спенд без лідів'!$H$5,"Рано судити",IF(R139&gt;='Спенд без лідів'!$H$6,"Під питанням",IF(R139&gt;='Спенд без лідів'!$H$7,"Вимикати","Давно треба було"))))))</f>
        <v/>
      </c>
      <c r="T139" s="26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8" hidden="false" customHeight="true" outlineLevel="0" collapsed="false">
      <c r="A140" s="1"/>
      <c r="B140" s="26"/>
      <c r="C140" s="35"/>
      <c r="D140" s="8"/>
      <c r="E140" s="26"/>
      <c r="F140" s="8"/>
      <c r="G140" s="26"/>
      <c r="H140" s="27"/>
      <c r="I140" s="36"/>
      <c r="J140" s="36"/>
      <c r="K140" s="36"/>
      <c r="L140" s="37" t="str">
        <f aca="false">IF($H140="","",IFERROR(J140/I140,""))</f>
        <v/>
      </c>
      <c r="M140" s="30" t="str">
        <f aca="false">IF($H140="","",IFERROR(H140/J140,""))</f>
        <v/>
      </c>
      <c r="N140" s="30" t="str">
        <f aca="false">IF($H140="","",IFERROR(H140/I140*1000,""))</f>
        <v/>
      </c>
      <c r="O140" s="30" t="str">
        <f aca="false">IF($H140="","",IFERROR(H140/K140,"—"))</f>
        <v/>
      </c>
      <c r="P140" s="30" t="str">
        <f aca="false">IF($H140="","",IFERROR(INDEX('Гео-калькулятор'!$K$7:$K$13,MATCH($D140,'Гео-калькулятор'!$B$7:$B$13,0)),""))</f>
        <v/>
      </c>
      <c r="Q140" s="38" t="str">
        <f aca="false">IF($H140="","",IFERROR(O140/P140,""))</f>
        <v/>
      </c>
      <c r="R140" s="38" t="str">
        <f aca="false">IF(OR($H140="",P140=""),"",POISSON(N(K140),H140/P140,TRUE()))</f>
        <v/>
      </c>
      <c r="S140" s="51" t="str">
        <f aca="false">IF(R140="","",IF(AND(N(K140)&gt;=$H$5,H140/MAX(N(K140),1)&lt;=P140*$E$5),"Масштабувати",IF(AND(N(K140)&gt;0,H140/MAX(N(K140),1)&lt;=P140),"В цілі",IF(R140&gt;='Спенд без лідів'!$H$5,"Рано судити",IF(R140&gt;='Спенд без лідів'!$H$6,"Під питанням",IF(R140&gt;='Спенд без лідів'!$H$7,"Вимикати","Давно треба було"))))))</f>
        <v/>
      </c>
      <c r="T140" s="26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8" hidden="false" customHeight="true" outlineLevel="0" collapsed="false">
      <c r="A141" s="1"/>
      <c r="B141" s="26"/>
      <c r="C141" s="35"/>
      <c r="D141" s="8"/>
      <c r="E141" s="26"/>
      <c r="F141" s="8"/>
      <c r="G141" s="26"/>
      <c r="H141" s="27"/>
      <c r="I141" s="36"/>
      <c r="J141" s="36"/>
      <c r="K141" s="36"/>
      <c r="L141" s="37" t="str">
        <f aca="false">IF($H141="","",IFERROR(J141/I141,""))</f>
        <v/>
      </c>
      <c r="M141" s="30" t="str">
        <f aca="false">IF($H141="","",IFERROR(H141/J141,""))</f>
        <v/>
      </c>
      <c r="N141" s="30" t="str">
        <f aca="false">IF($H141="","",IFERROR(H141/I141*1000,""))</f>
        <v/>
      </c>
      <c r="O141" s="30" t="str">
        <f aca="false">IF($H141="","",IFERROR(H141/K141,"—"))</f>
        <v/>
      </c>
      <c r="P141" s="30" t="str">
        <f aca="false">IF($H141="","",IFERROR(INDEX('Гео-калькулятор'!$K$7:$K$13,MATCH($D141,'Гео-калькулятор'!$B$7:$B$13,0)),""))</f>
        <v/>
      </c>
      <c r="Q141" s="38" t="str">
        <f aca="false">IF($H141="","",IFERROR(O141/P141,""))</f>
        <v/>
      </c>
      <c r="R141" s="38" t="str">
        <f aca="false">IF(OR($H141="",P141=""),"",POISSON(N(K141),H141/P141,TRUE()))</f>
        <v/>
      </c>
      <c r="S141" s="51" t="str">
        <f aca="false">IF(R141="","",IF(AND(N(K141)&gt;=$H$5,H141/MAX(N(K141),1)&lt;=P141*$E$5),"Масштабувати",IF(AND(N(K141)&gt;0,H141/MAX(N(K141),1)&lt;=P141),"В цілі",IF(R141&gt;='Спенд без лідів'!$H$5,"Рано судити",IF(R141&gt;='Спенд без лідів'!$H$6,"Під питанням",IF(R141&gt;='Спенд без лідів'!$H$7,"Вимикати","Давно треба було"))))))</f>
        <v/>
      </c>
      <c r="T141" s="26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8" hidden="false" customHeight="true" outlineLevel="0" collapsed="false">
      <c r="A142" s="1"/>
      <c r="B142" s="26"/>
      <c r="C142" s="35"/>
      <c r="D142" s="8"/>
      <c r="E142" s="26"/>
      <c r="F142" s="8"/>
      <c r="G142" s="26"/>
      <c r="H142" s="27"/>
      <c r="I142" s="36"/>
      <c r="J142" s="36"/>
      <c r="K142" s="36"/>
      <c r="L142" s="37" t="str">
        <f aca="false">IF($H142="","",IFERROR(J142/I142,""))</f>
        <v/>
      </c>
      <c r="M142" s="30" t="str">
        <f aca="false">IF($H142="","",IFERROR(H142/J142,""))</f>
        <v/>
      </c>
      <c r="N142" s="30" t="str">
        <f aca="false">IF($H142="","",IFERROR(H142/I142*1000,""))</f>
        <v/>
      </c>
      <c r="O142" s="30" t="str">
        <f aca="false">IF($H142="","",IFERROR(H142/K142,"—"))</f>
        <v/>
      </c>
      <c r="P142" s="30" t="str">
        <f aca="false">IF($H142="","",IFERROR(INDEX('Гео-калькулятор'!$K$7:$K$13,MATCH($D142,'Гео-калькулятор'!$B$7:$B$13,0)),""))</f>
        <v/>
      </c>
      <c r="Q142" s="38" t="str">
        <f aca="false">IF($H142="","",IFERROR(O142/P142,""))</f>
        <v/>
      </c>
      <c r="R142" s="38" t="str">
        <f aca="false">IF(OR($H142="",P142=""),"",POISSON(N(K142),H142/P142,TRUE()))</f>
        <v/>
      </c>
      <c r="S142" s="51" t="str">
        <f aca="false">IF(R142="","",IF(AND(N(K142)&gt;=$H$5,H142/MAX(N(K142),1)&lt;=P142*$E$5),"Масштабувати",IF(AND(N(K142)&gt;0,H142/MAX(N(K142),1)&lt;=P142),"В цілі",IF(R142&gt;='Спенд без лідів'!$H$5,"Рано судити",IF(R142&gt;='Спенд без лідів'!$H$6,"Під питанням",IF(R142&gt;='Спенд без лідів'!$H$7,"Вимикати","Давно треба було"))))))</f>
        <v/>
      </c>
      <c r="T142" s="26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8" hidden="false" customHeight="true" outlineLevel="0" collapsed="false">
      <c r="A143" s="1"/>
      <c r="B143" s="26"/>
      <c r="C143" s="35"/>
      <c r="D143" s="8"/>
      <c r="E143" s="26"/>
      <c r="F143" s="8"/>
      <c r="G143" s="26"/>
      <c r="H143" s="27"/>
      <c r="I143" s="36"/>
      <c r="J143" s="36"/>
      <c r="K143" s="36"/>
      <c r="L143" s="37" t="str">
        <f aca="false">IF($H143="","",IFERROR(J143/I143,""))</f>
        <v/>
      </c>
      <c r="M143" s="30" t="str">
        <f aca="false">IF($H143="","",IFERROR(H143/J143,""))</f>
        <v/>
      </c>
      <c r="N143" s="30" t="str">
        <f aca="false">IF($H143="","",IFERROR(H143/I143*1000,""))</f>
        <v/>
      </c>
      <c r="O143" s="30" t="str">
        <f aca="false">IF($H143="","",IFERROR(H143/K143,"—"))</f>
        <v/>
      </c>
      <c r="P143" s="30" t="str">
        <f aca="false">IF($H143="","",IFERROR(INDEX('Гео-калькулятор'!$K$7:$K$13,MATCH($D143,'Гео-калькулятор'!$B$7:$B$13,0)),""))</f>
        <v/>
      </c>
      <c r="Q143" s="38" t="str">
        <f aca="false">IF($H143="","",IFERROR(O143/P143,""))</f>
        <v/>
      </c>
      <c r="R143" s="38" t="str">
        <f aca="false">IF(OR($H143="",P143=""),"",POISSON(N(K143),H143/P143,TRUE()))</f>
        <v/>
      </c>
      <c r="S143" s="51" t="str">
        <f aca="false">IF(R143="","",IF(AND(N(K143)&gt;=$H$5,H143/MAX(N(K143),1)&lt;=P143*$E$5),"Масштабувати",IF(AND(N(K143)&gt;0,H143/MAX(N(K143),1)&lt;=P143),"В цілі",IF(R143&gt;='Спенд без лідів'!$H$5,"Рано судити",IF(R143&gt;='Спенд без лідів'!$H$6,"Під питанням",IF(R143&gt;='Спенд без лідів'!$H$7,"Вимикати","Давно треба було"))))))</f>
        <v/>
      </c>
      <c r="T143" s="26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8" hidden="false" customHeight="true" outlineLevel="0" collapsed="false">
      <c r="A144" s="1"/>
      <c r="B144" s="26"/>
      <c r="C144" s="35"/>
      <c r="D144" s="8"/>
      <c r="E144" s="26"/>
      <c r="F144" s="8"/>
      <c r="G144" s="26"/>
      <c r="H144" s="27"/>
      <c r="I144" s="36"/>
      <c r="J144" s="36"/>
      <c r="K144" s="36"/>
      <c r="L144" s="37" t="str">
        <f aca="false">IF($H144="","",IFERROR(J144/I144,""))</f>
        <v/>
      </c>
      <c r="M144" s="30" t="str">
        <f aca="false">IF($H144="","",IFERROR(H144/J144,""))</f>
        <v/>
      </c>
      <c r="N144" s="30" t="str">
        <f aca="false">IF($H144="","",IFERROR(H144/I144*1000,""))</f>
        <v/>
      </c>
      <c r="O144" s="30" t="str">
        <f aca="false">IF($H144="","",IFERROR(H144/K144,"—"))</f>
        <v/>
      </c>
      <c r="P144" s="30" t="str">
        <f aca="false">IF($H144="","",IFERROR(INDEX('Гео-калькулятор'!$K$7:$K$13,MATCH($D144,'Гео-калькулятор'!$B$7:$B$13,0)),""))</f>
        <v/>
      </c>
      <c r="Q144" s="38" t="str">
        <f aca="false">IF($H144="","",IFERROR(O144/P144,""))</f>
        <v/>
      </c>
      <c r="R144" s="38" t="str">
        <f aca="false">IF(OR($H144="",P144=""),"",POISSON(N(K144),H144/P144,TRUE()))</f>
        <v/>
      </c>
      <c r="S144" s="51" t="str">
        <f aca="false">IF(R144="","",IF(AND(N(K144)&gt;=$H$5,H144/MAX(N(K144),1)&lt;=P144*$E$5),"Масштабувати",IF(AND(N(K144)&gt;0,H144/MAX(N(K144),1)&lt;=P144),"В цілі",IF(R144&gt;='Спенд без лідів'!$H$5,"Рано судити",IF(R144&gt;='Спенд без лідів'!$H$6,"Під питанням",IF(R144&gt;='Спенд без лідів'!$H$7,"Вимикати","Давно треба було"))))))</f>
        <v/>
      </c>
      <c r="T144" s="26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8" hidden="false" customHeight="true" outlineLevel="0" collapsed="false">
      <c r="A145" s="1"/>
      <c r="B145" s="26"/>
      <c r="C145" s="35"/>
      <c r="D145" s="8"/>
      <c r="E145" s="26"/>
      <c r="F145" s="8"/>
      <c r="G145" s="26"/>
      <c r="H145" s="27"/>
      <c r="I145" s="36"/>
      <c r="J145" s="36"/>
      <c r="K145" s="36"/>
      <c r="L145" s="37" t="str">
        <f aca="false">IF($H145="","",IFERROR(J145/I145,""))</f>
        <v/>
      </c>
      <c r="M145" s="30" t="str">
        <f aca="false">IF($H145="","",IFERROR(H145/J145,""))</f>
        <v/>
      </c>
      <c r="N145" s="30" t="str">
        <f aca="false">IF($H145="","",IFERROR(H145/I145*1000,""))</f>
        <v/>
      </c>
      <c r="O145" s="30" t="str">
        <f aca="false">IF($H145="","",IFERROR(H145/K145,"—"))</f>
        <v/>
      </c>
      <c r="P145" s="30" t="str">
        <f aca="false">IF($H145="","",IFERROR(INDEX('Гео-калькулятор'!$K$7:$K$13,MATCH($D145,'Гео-калькулятор'!$B$7:$B$13,0)),""))</f>
        <v/>
      </c>
      <c r="Q145" s="38" t="str">
        <f aca="false">IF($H145="","",IFERROR(O145/P145,""))</f>
        <v/>
      </c>
      <c r="R145" s="38" t="str">
        <f aca="false">IF(OR($H145="",P145=""),"",POISSON(N(K145),H145/P145,TRUE()))</f>
        <v/>
      </c>
      <c r="S145" s="51" t="str">
        <f aca="false">IF(R145="","",IF(AND(N(K145)&gt;=$H$5,H145/MAX(N(K145),1)&lt;=P145*$E$5),"Масштабувати",IF(AND(N(K145)&gt;0,H145/MAX(N(K145),1)&lt;=P145),"В цілі",IF(R145&gt;='Спенд без лідів'!$H$5,"Рано судити",IF(R145&gt;='Спенд без лідів'!$H$6,"Під питанням",IF(R145&gt;='Спенд без лідів'!$H$7,"Вимикати","Давно треба було"))))))</f>
        <v/>
      </c>
      <c r="T145" s="26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8" hidden="false" customHeight="true" outlineLevel="0" collapsed="false">
      <c r="A146" s="1"/>
      <c r="B146" s="26"/>
      <c r="C146" s="35"/>
      <c r="D146" s="8"/>
      <c r="E146" s="26"/>
      <c r="F146" s="8"/>
      <c r="G146" s="26"/>
      <c r="H146" s="27"/>
      <c r="I146" s="36"/>
      <c r="J146" s="36"/>
      <c r="K146" s="36"/>
      <c r="L146" s="37" t="str">
        <f aca="false">IF($H146="","",IFERROR(J146/I146,""))</f>
        <v/>
      </c>
      <c r="M146" s="30" t="str">
        <f aca="false">IF($H146="","",IFERROR(H146/J146,""))</f>
        <v/>
      </c>
      <c r="N146" s="30" t="str">
        <f aca="false">IF($H146="","",IFERROR(H146/I146*1000,""))</f>
        <v/>
      </c>
      <c r="O146" s="30" t="str">
        <f aca="false">IF($H146="","",IFERROR(H146/K146,"—"))</f>
        <v/>
      </c>
      <c r="P146" s="30" t="str">
        <f aca="false">IF($H146="","",IFERROR(INDEX('Гео-калькулятор'!$K$7:$K$13,MATCH($D146,'Гео-калькулятор'!$B$7:$B$13,0)),""))</f>
        <v/>
      </c>
      <c r="Q146" s="38" t="str">
        <f aca="false">IF($H146="","",IFERROR(O146/P146,""))</f>
        <v/>
      </c>
      <c r="R146" s="38" t="str">
        <f aca="false">IF(OR($H146="",P146=""),"",POISSON(N(K146),H146/P146,TRUE()))</f>
        <v/>
      </c>
      <c r="S146" s="51" t="str">
        <f aca="false">IF(R146="","",IF(AND(N(K146)&gt;=$H$5,H146/MAX(N(K146),1)&lt;=P146*$E$5),"Масштабувати",IF(AND(N(K146)&gt;0,H146/MAX(N(K146),1)&lt;=P146),"В цілі",IF(R146&gt;='Спенд без лідів'!$H$5,"Рано судити",IF(R146&gt;='Спенд без лідів'!$H$6,"Під питанням",IF(R146&gt;='Спенд без лідів'!$H$7,"Вимикати","Давно треба було"))))))</f>
        <v/>
      </c>
      <c r="T146" s="26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8" hidden="false" customHeight="true" outlineLevel="0" collapsed="false">
      <c r="A147" s="1"/>
      <c r="B147" s="26"/>
      <c r="C147" s="35"/>
      <c r="D147" s="8"/>
      <c r="E147" s="26"/>
      <c r="F147" s="8"/>
      <c r="G147" s="26"/>
      <c r="H147" s="27"/>
      <c r="I147" s="36"/>
      <c r="J147" s="36"/>
      <c r="K147" s="36"/>
      <c r="L147" s="37" t="str">
        <f aca="false">IF($H147="","",IFERROR(J147/I147,""))</f>
        <v/>
      </c>
      <c r="M147" s="30" t="str">
        <f aca="false">IF($H147="","",IFERROR(H147/J147,""))</f>
        <v/>
      </c>
      <c r="N147" s="30" t="str">
        <f aca="false">IF($H147="","",IFERROR(H147/I147*1000,""))</f>
        <v/>
      </c>
      <c r="O147" s="30" t="str">
        <f aca="false">IF($H147="","",IFERROR(H147/K147,"—"))</f>
        <v/>
      </c>
      <c r="P147" s="30" t="str">
        <f aca="false">IF($H147="","",IFERROR(INDEX('Гео-калькулятор'!$K$7:$K$13,MATCH($D147,'Гео-калькулятор'!$B$7:$B$13,0)),""))</f>
        <v/>
      </c>
      <c r="Q147" s="38" t="str">
        <f aca="false">IF($H147="","",IFERROR(O147/P147,""))</f>
        <v/>
      </c>
      <c r="R147" s="38" t="str">
        <f aca="false">IF(OR($H147="",P147=""),"",POISSON(N(K147),H147/P147,TRUE()))</f>
        <v/>
      </c>
      <c r="S147" s="51" t="str">
        <f aca="false">IF(R147="","",IF(AND(N(K147)&gt;=$H$5,H147/MAX(N(K147),1)&lt;=P147*$E$5),"Масштабувати",IF(AND(N(K147)&gt;0,H147/MAX(N(K147),1)&lt;=P147),"В цілі",IF(R147&gt;='Спенд без лідів'!$H$5,"Рано судити",IF(R147&gt;='Спенд без лідів'!$H$6,"Під питанням",IF(R147&gt;='Спенд без лідів'!$H$7,"Вимикати","Давно треба було"))))))</f>
        <v/>
      </c>
      <c r="T147" s="26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8" hidden="false" customHeight="true" outlineLevel="0" collapsed="false">
      <c r="A148" s="1"/>
      <c r="B148" s="26"/>
      <c r="C148" s="35"/>
      <c r="D148" s="8"/>
      <c r="E148" s="26"/>
      <c r="F148" s="8"/>
      <c r="G148" s="26"/>
      <c r="H148" s="27"/>
      <c r="I148" s="36"/>
      <c r="J148" s="36"/>
      <c r="K148" s="36"/>
      <c r="L148" s="37" t="str">
        <f aca="false">IF($H148="","",IFERROR(J148/I148,""))</f>
        <v/>
      </c>
      <c r="M148" s="30" t="str">
        <f aca="false">IF($H148="","",IFERROR(H148/J148,""))</f>
        <v/>
      </c>
      <c r="N148" s="30" t="str">
        <f aca="false">IF($H148="","",IFERROR(H148/I148*1000,""))</f>
        <v/>
      </c>
      <c r="O148" s="30" t="str">
        <f aca="false">IF($H148="","",IFERROR(H148/K148,"—"))</f>
        <v/>
      </c>
      <c r="P148" s="30" t="str">
        <f aca="false">IF($H148="","",IFERROR(INDEX('Гео-калькулятор'!$K$7:$K$13,MATCH($D148,'Гео-калькулятор'!$B$7:$B$13,0)),""))</f>
        <v/>
      </c>
      <c r="Q148" s="38" t="str">
        <f aca="false">IF($H148="","",IFERROR(O148/P148,""))</f>
        <v/>
      </c>
      <c r="R148" s="38" t="str">
        <f aca="false">IF(OR($H148="",P148=""),"",POISSON(N(K148),H148/P148,TRUE()))</f>
        <v/>
      </c>
      <c r="S148" s="51" t="str">
        <f aca="false">IF(R148="","",IF(AND(N(K148)&gt;=$H$5,H148/MAX(N(K148),1)&lt;=P148*$E$5),"Масштабувати",IF(AND(N(K148)&gt;0,H148/MAX(N(K148),1)&lt;=P148),"В цілі",IF(R148&gt;='Спенд без лідів'!$H$5,"Рано судити",IF(R148&gt;='Спенд без лідів'!$H$6,"Під питанням",IF(R148&gt;='Спенд без лідів'!$H$7,"Вимикати","Давно треба було"))))))</f>
        <v/>
      </c>
      <c r="T148" s="26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8" hidden="false" customHeight="true" outlineLevel="0" collapsed="false">
      <c r="A149" s="1"/>
      <c r="B149" s="26"/>
      <c r="C149" s="35"/>
      <c r="D149" s="8"/>
      <c r="E149" s="26"/>
      <c r="F149" s="8"/>
      <c r="G149" s="26"/>
      <c r="H149" s="27"/>
      <c r="I149" s="36"/>
      <c r="J149" s="36"/>
      <c r="K149" s="36"/>
      <c r="L149" s="37" t="str">
        <f aca="false">IF($H149="","",IFERROR(J149/I149,""))</f>
        <v/>
      </c>
      <c r="M149" s="30" t="str">
        <f aca="false">IF($H149="","",IFERROR(H149/J149,""))</f>
        <v/>
      </c>
      <c r="N149" s="30" t="str">
        <f aca="false">IF($H149="","",IFERROR(H149/I149*1000,""))</f>
        <v/>
      </c>
      <c r="O149" s="30" t="str">
        <f aca="false">IF($H149="","",IFERROR(H149/K149,"—"))</f>
        <v/>
      </c>
      <c r="P149" s="30" t="str">
        <f aca="false">IF($H149="","",IFERROR(INDEX('Гео-калькулятор'!$K$7:$K$13,MATCH($D149,'Гео-калькулятор'!$B$7:$B$13,0)),""))</f>
        <v/>
      </c>
      <c r="Q149" s="38" t="str">
        <f aca="false">IF($H149="","",IFERROR(O149/P149,""))</f>
        <v/>
      </c>
      <c r="R149" s="38" t="str">
        <f aca="false">IF(OR($H149="",P149=""),"",POISSON(N(K149),H149/P149,TRUE()))</f>
        <v/>
      </c>
      <c r="S149" s="51" t="str">
        <f aca="false">IF(R149="","",IF(AND(N(K149)&gt;=$H$5,H149/MAX(N(K149),1)&lt;=P149*$E$5),"Масштабувати",IF(AND(N(K149)&gt;0,H149/MAX(N(K149),1)&lt;=P149),"В цілі",IF(R149&gt;='Спенд без лідів'!$H$5,"Рано судити",IF(R149&gt;='Спенд без лідів'!$H$6,"Під питанням",IF(R149&gt;='Спенд без лідів'!$H$7,"Вимикати","Давно треба було"))))))</f>
        <v/>
      </c>
      <c r="T149" s="26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8" hidden="false" customHeight="true" outlineLevel="0" collapsed="false">
      <c r="A150" s="1"/>
      <c r="B150" s="26"/>
      <c r="C150" s="35"/>
      <c r="D150" s="8"/>
      <c r="E150" s="26"/>
      <c r="F150" s="8"/>
      <c r="G150" s="26"/>
      <c r="H150" s="27"/>
      <c r="I150" s="36"/>
      <c r="J150" s="36"/>
      <c r="K150" s="36"/>
      <c r="L150" s="37" t="str">
        <f aca="false">IF($H150="","",IFERROR(J150/I150,""))</f>
        <v/>
      </c>
      <c r="M150" s="30" t="str">
        <f aca="false">IF($H150="","",IFERROR(H150/J150,""))</f>
        <v/>
      </c>
      <c r="N150" s="30" t="str">
        <f aca="false">IF($H150="","",IFERROR(H150/I150*1000,""))</f>
        <v/>
      </c>
      <c r="O150" s="30" t="str">
        <f aca="false">IF($H150="","",IFERROR(H150/K150,"—"))</f>
        <v/>
      </c>
      <c r="P150" s="30" t="str">
        <f aca="false">IF($H150="","",IFERROR(INDEX('Гео-калькулятор'!$K$7:$K$13,MATCH($D150,'Гео-калькулятор'!$B$7:$B$13,0)),""))</f>
        <v/>
      </c>
      <c r="Q150" s="38" t="str">
        <f aca="false">IF($H150="","",IFERROR(O150/P150,""))</f>
        <v/>
      </c>
      <c r="R150" s="38" t="str">
        <f aca="false">IF(OR($H150="",P150=""),"",POISSON(N(K150),H150/P150,TRUE()))</f>
        <v/>
      </c>
      <c r="S150" s="51" t="str">
        <f aca="false">IF(R150="","",IF(AND(N(K150)&gt;=$H$5,H150/MAX(N(K150),1)&lt;=P150*$E$5),"Масштабувати",IF(AND(N(K150)&gt;0,H150/MAX(N(K150),1)&lt;=P150),"В цілі",IF(R150&gt;='Спенд без лідів'!$H$5,"Рано судити",IF(R150&gt;='Спенд без лідів'!$H$6,"Під питанням",IF(R150&gt;='Спенд без лідів'!$H$7,"Вимикати","Давно треба було"))))))</f>
        <v/>
      </c>
      <c r="T150" s="26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8" hidden="false" customHeight="true" outlineLevel="0" collapsed="false">
      <c r="A151" s="1"/>
      <c r="B151" s="26"/>
      <c r="C151" s="35"/>
      <c r="D151" s="8"/>
      <c r="E151" s="26"/>
      <c r="F151" s="8"/>
      <c r="G151" s="26"/>
      <c r="H151" s="27"/>
      <c r="I151" s="36"/>
      <c r="J151" s="36"/>
      <c r="K151" s="36"/>
      <c r="L151" s="37" t="str">
        <f aca="false">IF($H151="","",IFERROR(J151/I151,""))</f>
        <v/>
      </c>
      <c r="M151" s="30" t="str">
        <f aca="false">IF($H151="","",IFERROR(H151/J151,""))</f>
        <v/>
      </c>
      <c r="N151" s="30" t="str">
        <f aca="false">IF($H151="","",IFERROR(H151/I151*1000,""))</f>
        <v/>
      </c>
      <c r="O151" s="30" t="str">
        <f aca="false">IF($H151="","",IFERROR(H151/K151,"—"))</f>
        <v/>
      </c>
      <c r="P151" s="30" t="str">
        <f aca="false">IF($H151="","",IFERROR(INDEX('Гео-калькулятор'!$K$7:$K$13,MATCH($D151,'Гео-калькулятор'!$B$7:$B$13,0)),""))</f>
        <v/>
      </c>
      <c r="Q151" s="38" t="str">
        <f aca="false">IF($H151="","",IFERROR(O151/P151,""))</f>
        <v/>
      </c>
      <c r="R151" s="38" t="str">
        <f aca="false">IF(OR($H151="",P151=""),"",POISSON(N(K151),H151/P151,TRUE()))</f>
        <v/>
      </c>
      <c r="S151" s="51" t="str">
        <f aca="false">IF(R151="","",IF(AND(N(K151)&gt;=$H$5,H151/MAX(N(K151),1)&lt;=P151*$E$5),"Масштабувати",IF(AND(N(K151)&gt;0,H151/MAX(N(K151),1)&lt;=P151),"В цілі",IF(R151&gt;='Спенд без лідів'!$H$5,"Рано судити",IF(R151&gt;='Спенд без лідів'!$H$6,"Під питанням",IF(R151&gt;='Спенд без лідів'!$H$7,"Вимикати","Давно треба було"))))))</f>
        <v/>
      </c>
      <c r="T151" s="26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8" hidden="false" customHeight="true" outlineLevel="0" collapsed="false">
      <c r="A152" s="1"/>
      <c r="B152" s="26"/>
      <c r="C152" s="35"/>
      <c r="D152" s="8"/>
      <c r="E152" s="26"/>
      <c r="F152" s="8"/>
      <c r="G152" s="26"/>
      <c r="H152" s="27"/>
      <c r="I152" s="36"/>
      <c r="J152" s="36"/>
      <c r="K152" s="36"/>
      <c r="L152" s="37" t="str">
        <f aca="false">IF($H152="","",IFERROR(J152/I152,""))</f>
        <v/>
      </c>
      <c r="M152" s="30" t="str">
        <f aca="false">IF($H152="","",IFERROR(H152/J152,""))</f>
        <v/>
      </c>
      <c r="N152" s="30" t="str">
        <f aca="false">IF($H152="","",IFERROR(H152/I152*1000,""))</f>
        <v/>
      </c>
      <c r="O152" s="30" t="str">
        <f aca="false">IF($H152="","",IFERROR(H152/K152,"—"))</f>
        <v/>
      </c>
      <c r="P152" s="30" t="str">
        <f aca="false">IF($H152="","",IFERROR(INDEX('Гео-калькулятор'!$K$7:$K$13,MATCH($D152,'Гео-калькулятор'!$B$7:$B$13,0)),""))</f>
        <v/>
      </c>
      <c r="Q152" s="38" t="str">
        <f aca="false">IF($H152="","",IFERROR(O152/P152,""))</f>
        <v/>
      </c>
      <c r="R152" s="38" t="str">
        <f aca="false">IF(OR($H152="",P152=""),"",POISSON(N(K152),H152/P152,TRUE()))</f>
        <v/>
      </c>
      <c r="S152" s="51" t="str">
        <f aca="false">IF(R152="","",IF(AND(N(K152)&gt;=$H$5,H152/MAX(N(K152),1)&lt;=P152*$E$5),"Масштабувати",IF(AND(N(K152)&gt;0,H152/MAX(N(K152),1)&lt;=P152),"В цілі",IF(R152&gt;='Спенд без лідів'!$H$5,"Рано судити",IF(R152&gt;='Спенд без лідів'!$H$6,"Під питанням",IF(R152&gt;='Спенд без лідів'!$H$7,"Вимикати","Давно треба було"))))))</f>
        <v/>
      </c>
      <c r="T152" s="26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8" hidden="false" customHeight="true" outlineLevel="0" collapsed="false">
      <c r="A153" s="1"/>
      <c r="B153" s="26"/>
      <c r="C153" s="35"/>
      <c r="D153" s="8"/>
      <c r="E153" s="26"/>
      <c r="F153" s="8"/>
      <c r="G153" s="26"/>
      <c r="H153" s="27"/>
      <c r="I153" s="36"/>
      <c r="J153" s="36"/>
      <c r="K153" s="36"/>
      <c r="L153" s="37" t="str">
        <f aca="false">IF($H153="","",IFERROR(J153/I153,""))</f>
        <v/>
      </c>
      <c r="M153" s="30" t="str">
        <f aca="false">IF($H153="","",IFERROR(H153/J153,""))</f>
        <v/>
      </c>
      <c r="N153" s="30" t="str">
        <f aca="false">IF($H153="","",IFERROR(H153/I153*1000,""))</f>
        <v/>
      </c>
      <c r="O153" s="30" t="str">
        <f aca="false">IF($H153="","",IFERROR(H153/K153,"—"))</f>
        <v/>
      </c>
      <c r="P153" s="30" t="str">
        <f aca="false">IF($H153="","",IFERROR(INDEX('Гео-калькулятор'!$K$7:$K$13,MATCH($D153,'Гео-калькулятор'!$B$7:$B$13,0)),""))</f>
        <v/>
      </c>
      <c r="Q153" s="38" t="str">
        <f aca="false">IF($H153="","",IFERROR(O153/P153,""))</f>
        <v/>
      </c>
      <c r="R153" s="38" t="str">
        <f aca="false">IF(OR($H153="",P153=""),"",POISSON(N(K153),H153/P153,TRUE()))</f>
        <v/>
      </c>
      <c r="S153" s="51" t="str">
        <f aca="false">IF(R153="","",IF(AND(N(K153)&gt;=$H$5,H153/MAX(N(K153),1)&lt;=P153*$E$5),"Масштабувати",IF(AND(N(K153)&gt;0,H153/MAX(N(K153),1)&lt;=P153),"В цілі",IF(R153&gt;='Спенд без лідів'!$H$5,"Рано судити",IF(R153&gt;='Спенд без лідів'!$H$6,"Під питанням",IF(R153&gt;='Спенд без лідів'!$H$7,"Вимикати","Давно треба було"))))))</f>
        <v/>
      </c>
      <c r="T153" s="26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8" hidden="false" customHeight="true" outlineLevel="0" collapsed="false">
      <c r="A154" s="1"/>
      <c r="B154" s="26"/>
      <c r="C154" s="35"/>
      <c r="D154" s="8"/>
      <c r="E154" s="26"/>
      <c r="F154" s="8"/>
      <c r="G154" s="26"/>
      <c r="H154" s="27"/>
      <c r="I154" s="36"/>
      <c r="J154" s="36"/>
      <c r="K154" s="36"/>
      <c r="L154" s="37" t="str">
        <f aca="false">IF($H154="","",IFERROR(J154/I154,""))</f>
        <v/>
      </c>
      <c r="M154" s="30" t="str">
        <f aca="false">IF($H154="","",IFERROR(H154/J154,""))</f>
        <v/>
      </c>
      <c r="N154" s="30" t="str">
        <f aca="false">IF($H154="","",IFERROR(H154/I154*1000,""))</f>
        <v/>
      </c>
      <c r="O154" s="30" t="str">
        <f aca="false">IF($H154="","",IFERROR(H154/K154,"—"))</f>
        <v/>
      </c>
      <c r="P154" s="30" t="str">
        <f aca="false">IF($H154="","",IFERROR(INDEX('Гео-калькулятор'!$K$7:$K$13,MATCH($D154,'Гео-калькулятор'!$B$7:$B$13,0)),""))</f>
        <v/>
      </c>
      <c r="Q154" s="38" t="str">
        <f aca="false">IF($H154="","",IFERROR(O154/P154,""))</f>
        <v/>
      </c>
      <c r="R154" s="38" t="str">
        <f aca="false">IF(OR($H154="",P154=""),"",POISSON(N(K154),H154/P154,TRUE()))</f>
        <v/>
      </c>
      <c r="S154" s="51" t="str">
        <f aca="false">IF(R154="","",IF(AND(N(K154)&gt;=$H$5,H154/MAX(N(K154),1)&lt;=P154*$E$5),"Масштабувати",IF(AND(N(K154)&gt;0,H154/MAX(N(K154),1)&lt;=P154),"В цілі",IF(R154&gt;='Спенд без лідів'!$H$5,"Рано судити",IF(R154&gt;='Спенд без лідів'!$H$6,"Під питанням",IF(R154&gt;='Спенд без лідів'!$H$7,"Вимикати","Давно треба було"))))))</f>
        <v/>
      </c>
      <c r="T154" s="26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8" hidden="false" customHeight="true" outlineLevel="0" collapsed="false">
      <c r="A155" s="1"/>
      <c r="B155" s="26"/>
      <c r="C155" s="35"/>
      <c r="D155" s="8"/>
      <c r="E155" s="26"/>
      <c r="F155" s="8"/>
      <c r="G155" s="26"/>
      <c r="H155" s="27"/>
      <c r="I155" s="36"/>
      <c r="J155" s="36"/>
      <c r="K155" s="36"/>
      <c r="L155" s="37" t="str">
        <f aca="false">IF($H155="","",IFERROR(J155/I155,""))</f>
        <v/>
      </c>
      <c r="M155" s="30" t="str">
        <f aca="false">IF($H155="","",IFERROR(H155/J155,""))</f>
        <v/>
      </c>
      <c r="N155" s="30" t="str">
        <f aca="false">IF($H155="","",IFERROR(H155/I155*1000,""))</f>
        <v/>
      </c>
      <c r="O155" s="30" t="str">
        <f aca="false">IF($H155="","",IFERROR(H155/K155,"—"))</f>
        <v/>
      </c>
      <c r="P155" s="30" t="str">
        <f aca="false">IF($H155="","",IFERROR(INDEX('Гео-калькулятор'!$K$7:$K$13,MATCH($D155,'Гео-калькулятор'!$B$7:$B$13,0)),""))</f>
        <v/>
      </c>
      <c r="Q155" s="38" t="str">
        <f aca="false">IF($H155="","",IFERROR(O155/P155,""))</f>
        <v/>
      </c>
      <c r="R155" s="38" t="str">
        <f aca="false">IF(OR($H155="",P155=""),"",POISSON(N(K155),H155/P155,TRUE()))</f>
        <v/>
      </c>
      <c r="S155" s="51" t="str">
        <f aca="false">IF(R155="","",IF(AND(N(K155)&gt;=$H$5,H155/MAX(N(K155),1)&lt;=P155*$E$5),"Масштабувати",IF(AND(N(K155)&gt;0,H155/MAX(N(K155),1)&lt;=P155),"В цілі",IF(R155&gt;='Спенд без лідів'!$H$5,"Рано судити",IF(R155&gt;='Спенд без лідів'!$H$6,"Під питанням",IF(R155&gt;='Спенд без лідів'!$H$7,"Вимикати","Давно треба було"))))))</f>
        <v/>
      </c>
      <c r="T155" s="26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8" hidden="false" customHeight="true" outlineLevel="0" collapsed="false">
      <c r="A156" s="1"/>
      <c r="B156" s="26"/>
      <c r="C156" s="35"/>
      <c r="D156" s="8"/>
      <c r="E156" s="26"/>
      <c r="F156" s="8"/>
      <c r="G156" s="26"/>
      <c r="H156" s="27"/>
      <c r="I156" s="36"/>
      <c r="J156" s="36"/>
      <c r="K156" s="36"/>
      <c r="L156" s="37" t="str">
        <f aca="false">IF($H156="","",IFERROR(J156/I156,""))</f>
        <v/>
      </c>
      <c r="M156" s="30" t="str">
        <f aca="false">IF($H156="","",IFERROR(H156/J156,""))</f>
        <v/>
      </c>
      <c r="N156" s="30" t="str">
        <f aca="false">IF($H156="","",IFERROR(H156/I156*1000,""))</f>
        <v/>
      </c>
      <c r="O156" s="30" t="str">
        <f aca="false">IF($H156="","",IFERROR(H156/K156,"—"))</f>
        <v/>
      </c>
      <c r="P156" s="30" t="str">
        <f aca="false">IF($H156="","",IFERROR(INDEX('Гео-калькулятор'!$K$7:$K$13,MATCH($D156,'Гео-калькулятор'!$B$7:$B$13,0)),""))</f>
        <v/>
      </c>
      <c r="Q156" s="38" t="str">
        <f aca="false">IF($H156="","",IFERROR(O156/P156,""))</f>
        <v/>
      </c>
      <c r="R156" s="38" t="str">
        <f aca="false">IF(OR($H156="",P156=""),"",POISSON(N(K156),H156/P156,TRUE()))</f>
        <v/>
      </c>
      <c r="S156" s="51" t="str">
        <f aca="false">IF(R156="","",IF(AND(N(K156)&gt;=$H$5,H156/MAX(N(K156),1)&lt;=P156*$E$5),"Масштабувати",IF(AND(N(K156)&gt;0,H156/MAX(N(K156),1)&lt;=P156),"В цілі",IF(R156&gt;='Спенд без лідів'!$H$5,"Рано судити",IF(R156&gt;='Спенд без лідів'!$H$6,"Під питанням",IF(R156&gt;='Спенд без лідів'!$H$7,"Вимикати","Давно треба було"))))))</f>
        <v/>
      </c>
      <c r="T156" s="26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8" hidden="false" customHeight="true" outlineLevel="0" collapsed="false">
      <c r="A157" s="1"/>
      <c r="B157" s="26"/>
      <c r="C157" s="35"/>
      <c r="D157" s="8"/>
      <c r="E157" s="26"/>
      <c r="F157" s="8"/>
      <c r="G157" s="26"/>
      <c r="H157" s="27"/>
      <c r="I157" s="36"/>
      <c r="J157" s="36"/>
      <c r="K157" s="36"/>
      <c r="L157" s="37" t="str">
        <f aca="false">IF($H157="","",IFERROR(J157/I157,""))</f>
        <v/>
      </c>
      <c r="M157" s="30" t="str">
        <f aca="false">IF($H157="","",IFERROR(H157/J157,""))</f>
        <v/>
      </c>
      <c r="N157" s="30" t="str">
        <f aca="false">IF($H157="","",IFERROR(H157/I157*1000,""))</f>
        <v/>
      </c>
      <c r="O157" s="30" t="str">
        <f aca="false">IF($H157="","",IFERROR(H157/K157,"—"))</f>
        <v/>
      </c>
      <c r="P157" s="30" t="str">
        <f aca="false">IF($H157="","",IFERROR(INDEX('Гео-калькулятор'!$K$7:$K$13,MATCH($D157,'Гео-калькулятор'!$B$7:$B$13,0)),""))</f>
        <v/>
      </c>
      <c r="Q157" s="38" t="str">
        <f aca="false">IF($H157="","",IFERROR(O157/P157,""))</f>
        <v/>
      </c>
      <c r="R157" s="38" t="str">
        <f aca="false">IF(OR($H157="",P157=""),"",POISSON(N(K157),H157/P157,TRUE()))</f>
        <v/>
      </c>
      <c r="S157" s="51" t="str">
        <f aca="false">IF(R157="","",IF(AND(N(K157)&gt;=$H$5,H157/MAX(N(K157),1)&lt;=P157*$E$5),"Масштабувати",IF(AND(N(K157)&gt;0,H157/MAX(N(K157),1)&lt;=P157),"В цілі",IF(R157&gt;='Спенд без лідів'!$H$5,"Рано судити",IF(R157&gt;='Спенд без лідів'!$H$6,"Під питанням",IF(R157&gt;='Спенд без лідів'!$H$7,"Вимикати","Давно треба було"))))))</f>
        <v/>
      </c>
      <c r="T157" s="26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8" hidden="false" customHeight="true" outlineLevel="0" collapsed="false">
      <c r="A158" s="1"/>
      <c r="B158" s="26"/>
      <c r="C158" s="35"/>
      <c r="D158" s="8"/>
      <c r="E158" s="26"/>
      <c r="F158" s="8"/>
      <c r="G158" s="26"/>
      <c r="H158" s="27"/>
      <c r="I158" s="36"/>
      <c r="J158" s="36"/>
      <c r="K158" s="36"/>
      <c r="L158" s="37" t="str">
        <f aca="false">IF($H158="","",IFERROR(J158/I158,""))</f>
        <v/>
      </c>
      <c r="M158" s="30" t="str">
        <f aca="false">IF($H158="","",IFERROR(H158/J158,""))</f>
        <v/>
      </c>
      <c r="N158" s="30" t="str">
        <f aca="false">IF($H158="","",IFERROR(H158/I158*1000,""))</f>
        <v/>
      </c>
      <c r="O158" s="30" t="str">
        <f aca="false">IF($H158="","",IFERROR(H158/K158,"—"))</f>
        <v/>
      </c>
      <c r="P158" s="30" t="str">
        <f aca="false">IF($H158="","",IFERROR(INDEX('Гео-калькулятор'!$K$7:$K$13,MATCH($D158,'Гео-калькулятор'!$B$7:$B$13,0)),""))</f>
        <v/>
      </c>
      <c r="Q158" s="38" t="str">
        <f aca="false">IF($H158="","",IFERROR(O158/P158,""))</f>
        <v/>
      </c>
      <c r="R158" s="38" t="str">
        <f aca="false">IF(OR($H158="",P158=""),"",POISSON(N(K158),H158/P158,TRUE()))</f>
        <v/>
      </c>
      <c r="S158" s="51" t="str">
        <f aca="false">IF(R158="","",IF(AND(N(K158)&gt;=$H$5,H158/MAX(N(K158),1)&lt;=P158*$E$5),"Масштабувати",IF(AND(N(K158)&gt;0,H158/MAX(N(K158),1)&lt;=P158),"В цілі",IF(R158&gt;='Спенд без лідів'!$H$5,"Рано судити",IF(R158&gt;='Спенд без лідів'!$H$6,"Під питанням",IF(R158&gt;='Спенд без лідів'!$H$7,"Вимикати","Давно треба було"))))))</f>
        <v/>
      </c>
      <c r="T158" s="26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8" hidden="false" customHeight="true" outlineLevel="0" collapsed="false">
      <c r="A159" s="1"/>
      <c r="B159" s="26"/>
      <c r="C159" s="35"/>
      <c r="D159" s="8"/>
      <c r="E159" s="26"/>
      <c r="F159" s="8"/>
      <c r="G159" s="26"/>
      <c r="H159" s="27"/>
      <c r="I159" s="36"/>
      <c r="J159" s="36"/>
      <c r="K159" s="36"/>
      <c r="L159" s="37" t="str">
        <f aca="false">IF($H159="","",IFERROR(J159/I159,""))</f>
        <v/>
      </c>
      <c r="M159" s="30" t="str">
        <f aca="false">IF($H159="","",IFERROR(H159/J159,""))</f>
        <v/>
      </c>
      <c r="N159" s="30" t="str">
        <f aca="false">IF($H159="","",IFERROR(H159/I159*1000,""))</f>
        <v/>
      </c>
      <c r="O159" s="30" t="str">
        <f aca="false">IF($H159="","",IFERROR(H159/K159,"—"))</f>
        <v/>
      </c>
      <c r="P159" s="30" t="str">
        <f aca="false">IF($H159="","",IFERROR(INDEX('Гео-калькулятор'!$K$7:$K$13,MATCH($D159,'Гео-калькулятор'!$B$7:$B$13,0)),""))</f>
        <v/>
      </c>
      <c r="Q159" s="38" t="str">
        <f aca="false">IF($H159="","",IFERROR(O159/P159,""))</f>
        <v/>
      </c>
      <c r="R159" s="38" t="str">
        <f aca="false">IF(OR($H159="",P159=""),"",POISSON(N(K159),H159/P159,TRUE()))</f>
        <v/>
      </c>
      <c r="S159" s="51" t="str">
        <f aca="false">IF(R159="","",IF(AND(N(K159)&gt;=$H$5,H159/MAX(N(K159),1)&lt;=P159*$E$5),"Масштабувати",IF(AND(N(K159)&gt;0,H159/MAX(N(K159),1)&lt;=P159),"В цілі",IF(R159&gt;='Спенд без лідів'!$H$5,"Рано судити",IF(R159&gt;='Спенд без лідів'!$H$6,"Під питанням",IF(R159&gt;='Спенд без лідів'!$H$7,"Вимикати","Давно треба було"))))))</f>
        <v/>
      </c>
      <c r="T159" s="26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8" hidden="false" customHeight="true" outlineLevel="0" collapsed="false">
      <c r="A160" s="1"/>
      <c r="B160" s="26"/>
      <c r="C160" s="35"/>
      <c r="D160" s="8"/>
      <c r="E160" s="26"/>
      <c r="F160" s="8"/>
      <c r="G160" s="26"/>
      <c r="H160" s="27"/>
      <c r="I160" s="36"/>
      <c r="J160" s="36"/>
      <c r="K160" s="36"/>
      <c r="L160" s="37" t="str">
        <f aca="false">IF($H160="","",IFERROR(J160/I160,""))</f>
        <v/>
      </c>
      <c r="M160" s="30" t="str">
        <f aca="false">IF($H160="","",IFERROR(H160/J160,""))</f>
        <v/>
      </c>
      <c r="N160" s="30" t="str">
        <f aca="false">IF($H160="","",IFERROR(H160/I160*1000,""))</f>
        <v/>
      </c>
      <c r="O160" s="30" t="str">
        <f aca="false">IF($H160="","",IFERROR(H160/K160,"—"))</f>
        <v/>
      </c>
      <c r="P160" s="30" t="str">
        <f aca="false">IF($H160="","",IFERROR(INDEX('Гео-калькулятор'!$K$7:$K$13,MATCH($D160,'Гео-калькулятор'!$B$7:$B$13,0)),""))</f>
        <v/>
      </c>
      <c r="Q160" s="38" t="str">
        <f aca="false">IF($H160="","",IFERROR(O160/P160,""))</f>
        <v/>
      </c>
      <c r="R160" s="38" t="str">
        <f aca="false">IF(OR($H160="",P160=""),"",POISSON(N(K160),H160/P160,TRUE()))</f>
        <v/>
      </c>
      <c r="S160" s="51" t="str">
        <f aca="false">IF(R160="","",IF(AND(N(K160)&gt;=$H$5,H160/MAX(N(K160),1)&lt;=P160*$E$5),"Масштабувати",IF(AND(N(K160)&gt;0,H160/MAX(N(K160),1)&lt;=P160),"В цілі",IF(R160&gt;='Спенд без лідів'!$H$5,"Рано судити",IF(R160&gt;='Спенд без лідів'!$H$6,"Під питанням",IF(R160&gt;='Спенд без лідів'!$H$7,"Вимикати","Давно треба було"))))))</f>
        <v/>
      </c>
      <c r="T160" s="26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8" hidden="false" customHeight="true" outlineLevel="0" collapsed="false">
      <c r="A161" s="1"/>
      <c r="B161" s="26"/>
      <c r="C161" s="35"/>
      <c r="D161" s="8"/>
      <c r="E161" s="26"/>
      <c r="F161" s="8"/>
      <c r="G161" s="26"/>
      <c r="H161" s="27"/>
      <c r="I161" s="36"/>
      <c r="J161" s="36"/>
      <c r="K161" s="36"/>
      <c r="L161" s="37" t="str">
        <f aca="false">IF($H161="","",IFERROR(J161/I161,""))</f>
        <v/>
      </c>
      <c r="M161" s="30" t="str">
        <f aca="false">IF($H161="","",IFERROR(H161/J161,""))</f>
        <v/>
      </c>
      <c r="N161" s="30" t="str">
        <f aca="false">IF($H161="","",IFERROR(H161/I161*1000,""))</f>
        <v/>
      </c>
      <c r="O161" s="30" t="str">
        <f aca="false">IF($H161="","",IFERROR(H161/K161,"—"))</f>
        <v/>
      </c>
      <c r="P161" s="30" t="str">
        <f aca="false">IF($H161="","",IFERROR(INDEX('Гео-калькулятор'!$K$7:$K$13,MATCH($D161,'Гео-калькулятор'!$B$7:$B$13,0)),""))</f>
        <v/>
      </c>
      <c r="Q161" s="38" t="str">
        <f aca="false">IF($H161="","",IFERROR(O161/P161,""))</f>
        <v/>
      </c>
      <c r="R161" s="38" t="str">
        <f aca="false">IF(OR($H161="",P161=""),"",POISSON(N(K161),H161/P161,TRUE()))</f>
        <v/>
      </c>
      <c r="S161" s="51" t="str">
        <f aca="false">IF(R161="","",IF(AND(N(K161)&gt;=$H$5,H161/MAX(N(K161),1)&lt;=P161*$E$5),"Масштабувати",IF(AND(N(K161)&gt;0,H161/MAX(N(K161),1)&lt;=P161),"В цілі",IF(R161&gt;='Спенд без лідів'!$H$5,"Рано судити",IF(R161&gt;='Спенд без лідів'!$H$6,"Під питанням",IF(R161&gt;='Спенд без лідів'!$H$7,"Вимикати","Давно треба було"))))))</f>
        <v/>
      </c>
      <c r="T161" s="26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8" hidden="false" customHeight="true" outlineLevel="0" collapsed="false">
      <c r="A162" s="1"/>
      <c r="B162" s="26"/>
      <c r="C162" s="35"/>
      <c r="D162" s="8"/>
      <c r="E162" s="26"/>
      <c r="F162" s="8"/>
      <c r="G162" s="26"/>
      <c r="H162" s="27"/>
      <c r="I162" s="36"/>
      <c r="J162" s="36"/>
      <c r="K162" s="36"/>
      <c r="L162" s="37" t="str">
        <f aca="false">IF($H162="","",IFERROR(J162/I162,""))</f>
        <v/>
      </c>
      <c r="M162" s="30" t="str">
        <f aca="false">IF($H162="","",IFERROR(H162/J162,""))</f>
        <v/>
      </c>
      <c r="N162" s="30" t="str">
        <f aca="false">IF($H162="","",IFERROR(H162/I162*1000,""))</f>
        <v/>
      </c>
      <c r="O162" s="30" t="str">
        <f aca="false">IF($H162="","",IFERROR(H162/K162,"—"))</f>
        <v/>
      </c>
      <c r="P162" s="30" t="str">
        <f aca="false">IF($H162="","",IFERROR(INDEX('Гео-калькулятор'!$K$7:$K$13,MATCH($D162,'Гео-калькулятор'!$B$7:$B$13,0)),""))</f>
        <v/>
      </c>
      <c r="Q162" s="38" t="str">
        <f aca="false">IF($H162="","",IFERROR(O162/P162,""))</f>
        <v/>
      </c>
      <c r="R162" s="38" t="str">
        <f aca="false">IF(OR($H162="",P162=""),"",POISSON(N(K162),H162/P162,TRUE()))</f>
        <v/>
      </c>
      <c r="S162" s="51" t="str">
        <f aca="false">IF(R162="","",IF(AND(N(K162)&gt;=$H$5,H162/MAX(N(K162),1)&lt;=P162*$E$5),"Масштабувати",IF(AND(N(K162)&gt;0,H162/MAX(N(K162),1)&lt;=P162),"В цілі",IF(R162&gt;='Спенд без лідів'!$H$5,"Рано судити",IF(R162&gt;='Спенд без лідів'!$H$6,"Під питанням",IF(R162&gt;='Спенд без лідів'!$H$7,"Вимикати","Давно треба було"))))))</f>
        <v/>
      </c>
      <c r="T162" s="26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8" hidden="false" customHeight="true" outlineLevel="0" collapsed="false">
      <c r="A163" s="1"/>
      <c r="B163" s="26"/>
      <c r="C163" s="35"/>
      <c r="D163" s="8"/>
      <c r="E163" s="26"/>
      <c r="F163" s="8"/>
      <c r="G163" s="26"/>
      <c r="H163" s="27"/>
      <c r="I163" s="36"/>
      <c r="J163" s="36"/>
      <c r="K163" s="36"/>
      <c r="L163" s="37" t="str">
        <f aca="false">IF($H163="","",IFERROR(J163/I163,""))</f>
        <v/>
      </c>
      <c r="M163" s="30" t="str">
        <f aca="false">IF($H163="","",IFERROR(H163/J163,""))</f>
        <v/>
      </c>
      <c r="N163" s="30" t="str">
        <f aca="false">IF($H163="","",IFERROR(H163/I163*1000,""))</f>
        <v/>
      </c>
      <c r="O163" s="30" t="str">
        <f aca="false">IF($H163="","",IFERROR(H163/K163,"—"))</f>
        <v/>
      </c>
      <c r="P163" s="30" t="str">
        <f aca="false">IF($H163="","",IFERROR(INDEX('Гео-калькулятор'!$K$7:$K$13,MATCH($D163,'Гео-калькулятор'!$B$7:$B$13,0)),""))</f>
        <v/>
      </c>
      <c r="Q163" s="38" t="str">
        <f aca="false">IF($H163="","",IFERROR(O163/P163,""))</f>
        <v/>
      </c>
      <c r="R163" s="38" t="str">
        <f aca="false">IF(OR($H163="",P163=""),"",POISSON(N(K163),H163/P163,TRUE()))</f>
        <v/>
      </c>
      <c r="S163" s="51" t="str">
        <f aca="false">IF(R163="","",IF(AND(N(K163)&gt;=$H$5,H163/MAX(N(K163),1)&lt;=P163*$E$5),"Масштабувати",IF(AND(N(K163)&gt;0,H163/MAX(N(K163),1)&lt;=P163),"В цілі",IF(R163&gt;='Спенд без лідів'!$H$5,"Рано судити",IF(R163&gt;='Спенд без лідів'!$H$6,"Під питанням",IF(R163&gt;='Спенд без лідів'!$H$7,"Вимикати","Давно треба було"))))))</f>
        <v/>
      </c>
      <c r="T163" s="26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8" hidden="false" customHeight="true" outlineLevel="0" collapsed="false">
      <c r="A164" s="1"/>
      <c r="B164" s="26"/>
      <c r="C164" s="35"/>
      <c r="D164" s="8"/>
      <c r="E164" s="26"/>
      <c r="F164" s="8"/>
      <c r="G164" s="26"/>
      <c r="H164" s="27"/>
      <c r="I164" s="36"/>
      <c r="J164" s="36"/>
      <c r="K164" s="36"/>
      <c r="L164" s="37" t="str">
        <f aca="false">IF($H164="","",IFERROR(J164/I164,""))</f>
        <v/>
      </c>
      <c r="M164" s="30" t="str">
        <f aca="false">IF($H164="","",IFERROR(H164/J164,""))</f>
        <v/>
      </c>
      <c r="N164" s="30" t="str">
        <f aca="false">IF($H164="","",IFERROR(H164/I164*1000,""))</f>
        <v/>
      </c>
      <c r="O164" s="30" t="str">
        <f aca="false">IF($H164="","",IFERROR(H164/K164,"—"))</f>
        <v/>
      </c>
      <c r="P164" s="30" t="str">
        <f aca="false">IF($H164="","",IFERROR(INDEX('Гео-калькулятор'!$K$7:$K$13,MATCH($D164,'Гео-калькулятор'!$B$7:$B$13,0)),""))</f>
        <v/>
      </c>
      <c r="Q164" s="38" t="str">
        <f aca="false">IF($H164="","",IFERROR(O164/P164,""))</f>
        <v/>
      </c>
      <c r="R164" s="38" t="str">
        <f aca="false">IF(OR($H164="",P164=""),"",POISSON(N(K164),H164/P164,TRUE()))</f>
        <v/>
      </c>
      <c r="S164" s="51" t="str">
        <f aca="false">IF(R164="","",IF(AND(N(K164)&gt;=$H$5,H164/MAX(N(K164),1)&lt;=P164*$E$5),"Масштабувати",IF(AND(N(K164)&gt;0,H164/MAX(N(K164),1)&lt;=P164),"В цілі",IF(R164&gt;='Спенд без лідів'!$H$5,"Рано судити",IF(R164&gt;='Спенд без лідів'!$H$6,"Під питанням",IF(R164&gt;='Спенд без лідів'!$H$7,"Вимикати","Давно треба було"))))))</f>
        <v/>
      </c>
      <c r="T164" s="26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8" hidden="false" customHeight="true" outlineLevel="0" collapsed="false">
      <c r="A165" s="1"/>
      <c r="B165" s="26"/>
      <c r="C165" s="35"/>
      <c r="D165" s="8"/>
      <c r="E165" s="26"/>
      <c r="F165" s="8"/>
      <c r="G165" s="26"/>
      <c r="H165" s="27"/>
      <c r="I165" s="36"/>
      <c r="J165" s="36"/>
      <c r="K165" s="36"/>
      <c r="L165" s="37" t="str">
        <f aca="false">IF($H165="","",IFERROR(J165/I165,""))</f>
        <v/>
      </c>
      <c r="M165" s="30" t="str">
        <f aca="false">IF($H165="","",IFERROR(H165/J165,""))</f>
        <v/>
      </c>
      <c r="N165" s="30" t="str">
        <f aca="false">IF($H165="","",IFERROR(H165/I165*1000,""))</f>
        <v/>
      </c>
      <c r="O165" s="30" t="str">
        <f aca="false">IF($H165="","",IFERROR(H165/K165,"—"))</f>
        <v/>
      </c>
      <c r="P165" s="30" t="str">
        <f aca="false">IF($H165="","",IFERROR(INDEX('Гео-калькулятор'!$K$7:$K$13,MATCH($D165,'Гео-калькулятор'!$B$7:$B$13,0)),""))</f>
        <v/>
      </c>
      <c r="Q165" s="38" t="str">
        <f aca="false">IF($H165="","",IFERROR(O165/P165,""))</f>
        <v/>
      </c>
      <c r="R165" s="38" t="str">
        <f aca="false">IF(OR($H165="",P165=""),"",POISSON(N(K165),H165/P165,TRUE()))</f>
        <v/>
      </c>
      <c r="S165" s="51" t="str">
        <f aca="false">IF(R165="","",IF(AND(N(K165)&gt;=$H$5,H165/MAX(N(K165),1)&lt;=P165*$E$5),"Масштабувати",IF(AND(N(K165)&gt;0,H165/MAX(N(K165),1)&lt;=P165),"В цілі",IF(R165&gt;='Спенд без лідів'!$H$5,"Рано судити",IF(R165&gt;='Спенд без лідів'!$H$6,"Під питанням",IF(R165&gt;='Спенд без лідів'!$H$7,"Вимикати","Давно треба було"))))))</f>
        <v/>
      </c>
      <c r="T165" s="26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8" hidden="false" customHeight="true" outlineLevel="0" collapsed="false">
      <c r="A166" s="1"/>
      <c r="B166" s="26"/>
      <c r="C166" s="35"/>
      <c r="D166" s="8"/>
      <c r="E166" s="26"/>
      <c r="F166" s="8"/>
      <c r="G166" s="26"/>
      <c r="H166" s="27"/>
      <c r="I166" s="36"/>
      <c r="J166" s="36"/>
      <c r="K166" s="36"/>
      <c r="L166" s="37" t="str">
        <f aca="false">IF($H166="","",IFERROR(J166/I166,""))</f>
        <v/>
      </c>
      <c r="M166" s="30" t="str">
        <f aca="false">IF($H166="","",IFERROR(H166/J166,""))</f>
        <v/>
      </c>
      <c r="N166" s="30" t="str">
        <f aca="false">IF($H166="","",IFERROR(H166/I166*1000,""))</f>
        <v/>
      </c>
      <c r="O166" s="30" t="str">
        <f aca="false">IF($H166="","",IFERROR(H166/K166,"—"))</f>
        <v/>
      </c>
      <c r="P166" s="30" t="str">
        <f aca="false">IF($H166="","",IFERROR(INDEX('Гео-калькулятор'!$K$7:$K$13,MATCH($D166,'Гео-калькулятор'!$B$7:$B$13,0)),""))</f>
        <v/>
      </c>
      <c r="Q166" s="38" t="str">
        <f aca="false">IF($H166="","",IFERROR(O166/P166,""))</f>
        <v/>
      </c>
      <c r="R166" s="38" t="str">
        <f aca="false">IF(OR($H166="",P166=""),"",POISSON(N(K166),H166/P166,TRUE()))</f>
        <v/>
      </c>
      <c r="S166" s="51" t="str">
        <f aca="false">IF(R166="","",IF(AND(N(K166)&gt;=$H$5,H166/MAX(N(K166),1)&lt;=P166*$E$5),"Масштабувати",IF(AND(N(K166)&gt;0,H166/MAX(N(K166),1)&lt;=P166),"В цілі",IF(R166&gt;='Спенд без лідів'!$H$5,"Рано судити",IF(R166&gt;='Спенд без лідів'!$H$6,"Під питанням",IF(R166&gt;='Спенд без лідів'!$H$7,"Вимикати","Давно треба було"))))))</f>
        <v/>
      </c>
      <c r="T166" s="26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8" hidden="false" customHeight="true" outlineLevel="0" collapsed="false">
      <c r="A167" s="1"/>
      <c r="B167" s="26"/>
      <c r="C167" s="35"/>
      <c r="D167" s="8"/>
      <c r="E167" s="26"/>
      <c r="F167" s="8"/>
      <c r="G167" s="26"/>
      <c r="H167" s="27"/>
      <c r="I167" s="36"/>
      <c r="J167" s="36"/>
      <c r="K167" s="36"/>
      <c r="L167" s="37" t="str">
        <f aca="false">IF($H167="","",IFERROR(J167/I167,""))</f>
        <v/>
      </c>
      <c r="M167" s="30" t="str">
        <f aca="false">IF($H167="","",IFERROR(H167/J167,""))</f>
        <v/>
      </c>
      <c r="N167" s="30" t="str">
        <f aca="false">IF($H167="","",IFERROR(H167/I167*1000,""))</f>
        <v/>
      </c>
      <c r="O167" s="30" t="str">
        <f aca="false">IF($H167="","",IFERROR(H167/K167,"—"))</f>
        <v/>
      </c>
      <c r="P167" s="30" t="str">
        <f aca="false">IF($H167="","",IFERROR(INDEX('Гео-калькулятор'!$K$7:$K$13,MATCH($D167,'Гео-калькулятор'!$B$7:$B$13,0)),""))</f>
        <v/>
      </c>
      <c r="Q167" s="38" t="str">
        <f aca="false">IF($H167="","",IFERROR(O167/P167,""))</f>
        <v/>
      </c>
      <c r="R167" s="38" t="str">
        <f aca="false">IF(OR($H167="",P167=""),"",POISSON(N(K167),H167/P167,TRUE()))</f>
        <v/>
      </c>
      <c r="S167" s="51" t="str">
        <f aca="false">IF(R167="","",IF(AND(N(K167)&gt;=$H$5,H167/MAX(N(K167),1)&lt;=P167*$E$5),"Масштабувати",IF(AND(N(K167)&gt;0,H167/MAX(N(K167),1)&lt;=P167),"В цілі",IF(R167&gt;='Спенд без лідів'!$H$5,"Рано судити",IF(R167&gt;='Спенд без лідів'!$H$6,"Під питанням",IF(R167&gt;='Спенд без лідів'!$H$7,"Вимикати","Давно треба було"))))))</f>
        <v/>
      </c>
      <c r="T167" s="26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8" hidden="false" customHeight="true" outlineLevel="0" collapsed="false">
      <c r="A168" s="1"/>
      <c r="B168" s="26"/>
      <c r="C168" s="35"/>
      <c r="D168" s="8"/>
      <c r="E168" s="26"/>
      <c r="F168" s="8"/>
      <c r="G168" s="26"/>
      <c r="H168" s="27"/>
      <c r="I168" s="36"/>
      <c r="J168" s="36"/>
      <c r="K168" s="36"/>
      <c r="L168" s="37" t="str">
        <f aca="false">IF($H168="","",IFERROR(J168/I168,""))</f>
        <v/>
      </c>
      <c r="M168" s="30" t="str">
        <f aca="false">IF($H168="","",IFERROR(H168/J168,""))</f>
        <v/>
      </c>
      <c r="N168" s="30" t="str">
        <f aca="false">IF($H168="","",IFERROR(H168/I168*1000,""))</f>
        <v/>
      </c>
      <c r="O168" s="30" t="str">
        <f aca="false">IF($H168="","",IFERROR(H168/K168,"—"))</f>
        <v/>
      </c>
      <c r="P168" s="30" t="str">
        <f aca="false">IF($H168="","",IFERROR(INDEX('Гео-калькулятор'!$K$7:$K$13,MATCH($D168,'Гео-калькулятор'!$B$7:$B$13,0)),""))</f>
        <v/>
      </c>
      <c r="Q168" s="38" t="str">
        <f aca="false">IF($H168="","",IFERROR(O168/P168,""))</f>
        <v/>
      </c>
      <c r="R168" s="38" t="str">
        <f aca="false">IF(OR($H168="",P168=""),"",POISSON(N(K168),H168/P168,TRUE()))</f>
        <v/>
      </c>
      <c r="S168" s="51" t="str">
        <f aca="false">IF(R168="","",IF(AND(N(K168)&gt;=$H$5,H168/MAX(N(K168),1)&lt;=P168*$E$5),"Масштабувати",IF(AND(N(K168)&gt;0,H168/MAX(N(K168),1)&lt;=P168),"В цілі",IF(R168&gt;='Спенд без лідів'!$H$5,"Рано судити",IF(R168&gt;='Спенд без лідів'!$H$6,"Під питанням",IF(R168&gt;='Спенд без лідів'!$H$7,"Вимикати","Давно треба було"))))))</f>
        <v/>
      </c>
      <c r="T168" s="26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8" hidden="false" customHeight="true" outlineLevel="0" collapsed="false">
      <c r="A169" s="1"/>
      <c r="B169" s="26"/>
      <c r="C169" s="35"/>
      <c r="D169" s="8"/>
      <c r="E169" s="26"/>
      <c r="F169" s="8"/>
      <c r="G169" s="26"/>
      <c r="H169" s="27"/>
      <c r="I169" s="36"/>
      <c r="J169" s="36"/>
      <c r="K169" s="36"/>
      <c r="L169" s="37" t="str">
        <f aca="false">IF($H169="","",IFERROR(J169/I169,""))</f>
        <v/>
      </c>
      <c r="M169" s="30" t="str">
        <f aca="false">IF($H169="","",IFERROR(H169/J169,""))</f>
        <v/>
      </c>
      <c r="N169" s="30" t="str">
        <f aca="false">IF($H169="","",IFERROR(H169/I169*1000,""))</f>
        <v/>
      </c>
      <c r="O169" s="30" t="str">
        <f aca="false">IF($H169="","",IFERROR(H169/K169,"—"))</f>
        <v/>
      </c>
      <c r="P169" s="30" t="str">
        <f aca="false">IF($H169="","",IFERROR(INDEX('Гео-калькулятор'!$K$7:$K$13,MATCH($D169,'Гео-калькулятор'!$B$7:$B$13,0)),""))</f>
        <v/>
      </c>
      <c r="Q169" s="38" t="str">
        <f aca="false">IF($H169="","",IFERROR(O169/P169,""))</f>
        <v/>
      </c>
      <c r="R169" s="38" t="str">
        <f aca="false">IF(OR($H169="",P169=""),"",POISSON(N(K169),H169/P169,TRUE()))</f>
        <v/>
      </c>
      <c r="S169" s="51" t="str">
        <f aca="false">IF(R169="","",IF(AND(N(K169)&gt;=$H$5,H169/MAX(N(K169),1)&lt;=P169*$E$5),"Масштабувати",IF(AND(N(K169)&gt;0,H169/MAX(N(K169),1)&lt;=P169),"В цілі",IF(R169&gt;='Спенд без лідів'!$H$5,"Рано судити",IF(R169&gt;='Спенд без лідів'!$H$6,"Під питанням",IF(R169&gt;='Спенд без лідів'!$H$7,"Вимикати","Давно треба було"))))))</f>
        <v/>
      </c>
      <c r="T169" s="26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8" hidden="false" customHeight="true" outlineLevel="0" collapsed="false">
      <c r="A170" s="1"/>
      <c r="B170" s="26"/>
      <c r="C170" s="35"/>
      <c r="D170" s="8"/>
      <c r="E170" s="26"/>
      <c r="F170" s="8"/>
      <c r="G170" s="26"/>
      <c r="H170" s="27"/>
      <c r="I170" s="36"/>
      <c r="J170" s="36"/>
      <c r="K170" s="36"/>
      <c r="L170" s="37" t="str">
        <f aca="false">IF($H170="","",IFERROR(J170/I170,""))</f>
        <v/>
      </c>
      <c r="M170" s="30" t="str">
        <f aca="false">IF($H170="","",IFERROR(H170/J170,""))</f>
        <v/>
      </c>
      <c r="N170" s="30" t="str">
        <f aca="false">IF($H170="","",IFERROR(H170/I170*1000,""))</f>
        <v/>
      </c>
      <c r="O170" s="30" t="str">
        <f aca="false">IF($H170="","",IFERROR(H170/K170,"—"))</f>
        <v/>
      </c>
      <c r="P170" s="30" t="str">
        <f aca="false">IF($H170="","",IFERROR(INDEX('Гео-калькулятор'!$K$7:$K$13,MATCH($D170,'Гео-калькулятор'!$B$7:$B$13,0)),""))</f>
        <v/>
      </c>
      <c r="Q170" s="38" t="str">
        <f aca="false">IF($H170="","",IFERROR(O170/P170,""))</f>
        <v/>
      </c>
      <c r="R170" s="38" t="str">
        <f aca="false">IF(OR($H170="",P170=""),"",POISSON(N(K170),H170/P170,TRUE()))</f>
        <v/>
      </c>
      <c r="S170" s="51" t="str">
        <f aca="false">IF(R170="","",IF(AND(N(K170)&gt;=$H$5,H170/MAX(N(K170),1)&lt;=P170*$E$5),"Масштабувати",IF(AND(N(K170)&gt;0,H170/MAX(N(K170),1)&lt;=P170),"В цілі",IF(R170&gt;='Спенд без лідів'!$H$5,"Рано судити",IF(R170&gt;='Спенд без лідів'!$H$6,"Під питанням",IF(R170&gt;='Спенд без лідів'!$H$7,"Вимикати","Давно треба було"))))))</f>
        <v/>
      </c>
      <c r="T170" s="26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8" hidden="false" customHeight="true" outlineLevel="0" collapsed="false">
      <c r="A171" s="1"/>
      <c r="B171" s="26"/>
      <c r="C171" s="35"/>
      <c r="D171" s="8"/>
      <c r="E171" s="26"/>
      <c r="F171" s="8"/>
      <c r="G171" s="26"/>
      <c r="H171" s="27"/>
      <c r="I171" s="36"/>
      <c r="J171" s="36"/>
      <c r="K171" s="36"/>
      <c r="L171" s="37" t="str">
        <f aca="false">IF($H171="","",IFERROR(J171/I171,""))</f>
        <v/>
      </c>
      <c r="M171" s="30" t="str">
        <f aca="false">IF($H171="","",IFERROR(H171/J171,""))</f>
        <v/>
      </c>
      <c r="N171" s="30" t="str">
        <f aca="false">IF($H171="","",IFERROR(H171/I171*1000,""))</f>
        <v/>
      </c>
      <c r="O171" s="30" t="str">
        <f aca="false">IF($H171="","",IFERROR(H171/K171,"—"))</f>
        <v/>
      </c>
      <c r="P171" s="30" t="str">
        <f aca="false">IF($H171="","",IFERROR(INDEX('Гео-калькулятор'!$K$7:$K$13,MATCH($D171,'Гео-калькулятор'!$B$7:$B$13,0)),""))</f>
        <v/>
      </c>
      <c r="Q171" s="38" t="str">
        <f aca="false">IF($H171="","",IFERROR(O171/P171,""))</f>
        <v/>
      </c>
      <c r="R171" s="38" t="str">
        <f aca="false">IF(OR($H171="",P171=""),"",POISSON(N(K171),H171/P171,TRUE()))</f>
        <v/>
      </c>
      <c r="S171" s="51" t="str">
        <f aca="false">IF(R171="","",IF(AND(N(K171)&gt;=$H$5,H171/MAX(N(K171),1)&lt;=P171*$E$5),"Масштабувати",IF(AND(N(K171)&gt;0,H171/MAX(N(K171),1)&lt;=P171),"В цілі",IF(R171&gt;='Спенд без лідів'!$H$5,"Рано судити",IF(R171&gt;='Спенд без лідів'!$H$6,"Під питанням",IF(R171&gt;='Спенд без лідів'!$H$7,"Вимикати","Давно треба було"))))))</f>
        <v/>
      </c>
      <c r="T171" s="26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8" hidden="false" customHeight="true" outlineLevel="0" collapsed="false">
      <c r="A172" s="1"/>
      <c r="B172" s="26"/>
      <c r="C172" s="35"/>
      <c r="D172" s="8"/>
      <c r="E172" s="26"/>
      <c r="F172" s="8"/>
      <c r="G172" s="26"/>
      <c r="H172" s="27"/>
      <c r="I172" s="36"/>
      <c r="J172" s="36"/>
      <c r="K172" s="36"/>
      <c r="L172" s="37" t="str">
        <f aca="false">IF($H172="","",IFERROR(J172/I172,""))</f>
        <v/>
      </c>
      <c r="M172" s="30" t="str">
        <f aca="false">IF($H172="","",IFERROR(H172/J172,""))</f>
        <v/>
      </c>
      <c r="N172" s="30" t="str">
        <f aca="false">IF($H172="","",IFERROR(H172/I172*1000,""))</f>
        <v/>
      </c>
      <c r="O172" s="30" t="str">
        <f aca="false">IF($H172="","",IFERROR(H172/K172,"—"))</f>
        <v/>
      </c>
      <c r="P172" s="30" t="str">
        <f aca="false">IF($H172="","",IFERROR(INDEX('Гео-калькулятор'!$K$7:$K$13,MATCH($D172,'Гео-калькулятор'!$B$7:$B$13,0)),""))</f>
        <v/>
      </c>
      <c r="Q172" s="38" t="str">
        <f aca="false">IF($H172="","",IFERROR(O172/P172,""))</f>
        <v/>
      </c>
      <c r="R172" s="38" t="str">
        <f aca="false">IF(OR($H172="",P172=""),"",POISSON(N(K172),H172/P172,TRUE()))</f>
        <v/>
      </c>
      <c r="S172" s="51" t="str">
        <f aca="false">IF(R172="","",IF(AND(N(K172)&gt;=$H$5,H172/MAX(N(K172),1)&lt;=P172*$E$5),"Масштабувати",IF(AND(N(K172)&gt;0,H172/MAX(N(K172),1)&lt;=P172),"В цілі",IF(R172&gt;='Спенд без лідів'!$H$5,"Рано судити",IF(R172&gt;='Спенд без лідів'!$H$6,"Під питанням",IF(R172&gt;='Спенд без лідів'!$H$7,"Вимикати","Давно треба було"))))))</f>
        <v/>
      </c>
      <c r="T172" s="26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8" hidden="false" customHeight="true" outlineLevel="0" collapsed="false">
      <c r="A173" s="1"/>
      <c r="B173" s="26"/>
      <c r="C173" s="35"/>
      <c r="D173" s="8"/>
      <c r="E173" s="26"/>
      <c r="F173" s="8"/>
      <c r="G173" s="26"/>
      <c r="H173" s="27"/>
      <c r="I173" s="36"/>
      <c r="J173" s="36"/>
      <c r="K173" s="36"/>
      <c r="L173" s="37" t="str">
        <f aca="false">IF($H173="","",IFERROR(J173/I173,""))</f>
        <v/>
      </c>
      <c r="M173" s="30" t="str">
        <f aca="false">IF($H173="","",IFERROR(H173/J173,""))</f>
        <v/>
      </c>
      <c r="N173" s="30" t="str">
        <f aca="false">IF($H173="","",IFERROR(H173/I173*1000,""))</f>
        <v/>
      </c>
      <c r="O173" s="30" t="str">
        <f aca="false">IF($H173="","",IFERROR(H173/K173,"—"))</f>
        <v/>
      </c>
      <c r="P173" s="30" t="str">
        <f aca="false">IF($H173="","",IFERROR(INDEX('Гео-калькулятор'!$K$7:$K$13,MATCH($D173,'Гео-калькулятор'!$B$7:$B$13,0)),""))</f>
        <v/>
      </c>
      <c r="Q173" s="38" t="str">
        <f aca="false">IF($H173="","",IFERROR(O173/P173,""))</f>
        <v/>
      </c>
      <c r="R173" s="38" t="str">
        <f aca="false">IF(OR($H173="",P173=""),"",POISSON(N(K173),H173/P173,TRUE()))</f>
        <v/>
      </c>
      <c r="S173" s="51" t="str">
        <f aca="false">IF(R173="","",IF(AND(N(K173)&gt;=$H$5,H173/MAX(N(K173),1)&lt;=P173*$E$5),"Масштабувати",IF(AND(N(K173)&gt;0,H173/MAX(N(K173),1)&lt;=P173),"В цілі",IF(R173&gt;='Спенд без лідів'!$H$5,"Рано судити",IF(R173&gt;='Спенд без лідів'!$H$6,"Під питанням",IF(R173&gt;='Спенд без лідів'!$H$7,"Вимикати","Давно треба було"))))))</f>
        <v/>
      </c>
      <c r="T173" s="26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8" hidden="false" customHeight="true" outlineLevel="0" collapsed="false">
      <c r="A174" s="1"/>
      <c r="B174" s="26"/>
      <c r="C174" s="35"/>
      <c r="D174" s="8"/>
      <c r="E174" s="26"/>
      <c r="F174" s="8"/>
      <c r="G174" s="26"/>
      <c r="H174" s="27"/>
      <c r="I174" s="36"/>
      <c r="J174" s="36"/>
      <c r="K174" s="36"/>
      <c r="L174" s="37" t="str">
        <f aca="false">IF($H174="","",IFERROR(J174/I174,""))</f>
        <v/>
      </c>
      <c r="M174" s="30" t="str">
        <f aca="false">IF($H174="","",IFERROR(H174/J174,""))</f>
        <v/>
      </c>
      <c r="N174" s="30" t="str">
        <f aca="false">IF($H174="","",IFERROR(H174/I174*1000,""))</f>
        <v/>
      </c>
      <c r="O174" s="30" t="str">
        <f aca="false">IF($H174="","",IFERROR(H174/K174,"—"))</f>
        <v/>
      </c>
      <c r="P174" s="30" t="str">
        <f aca="false">IF($H174="","",IFERROR(INDEX('Гео-калькулятор'!$K$7:$K$13,MATCH($D174,'Гео-калькулятор'!$B$7:$B$13,0)),""))</f>
        <v/>
      </c>
      <c r="Q174" s="38" t="str">
        <f aca="false">IF($H174="","",IFERROR(O174/P174,""))</f>
        <v/>
      </c>
      <c r="R174" s="38" t="str">
        <f aca="false">IF(OR($H174="",P174=""),"",POISSON(N(K174),H174/P174,TRUE()))</f>
        <v/>
      </c>
      <c r="S174" s="51" t="str">
        <f aca="false">IF(R174="","",IF(AND(N(K174)&gt;=$H$5,H174/MAX(N(K174),1)&lt;=P174*$E$5),"Масштабувати",IF(AND(N(K174)&gt;0,H174/MAX(N(K174),1)&lt;=P174),"В цілі",IF(R174&gt;='Спенд без лідів'!$H$5,"Рано судити",IF(R174&gt;='Спенд без лідів'!$H$6,"Під питанням",IF(R174&gt;='Спенд без лідів'!$H$7,"Вимикати","Давно треба було"))))))</f>
        <v/>
      </c>
      <c r="T174" s="26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8" hidden="false" customHeight="true" outlineLevel="0" collapsed="false">
      <c r="A175" s="1"/>
      <c r="B175" s="26"/>
      <c r="C175" s="35"/>
      <c r="D175" s="8"/>
      <c r="E175" s="26"/>
      <c r="F175" s="8"/>
      <c r="G175" s="26"/>
      <c r="H175" s="27"/>
      <c r="I175" s="36"/>
      <c r="J175" s="36"/>
      <c r="K175" s="36"/>
      <c r="L175" s="37" t="str">
        <f aca="false">IF($H175="","",IFERROR(J175/I175,""))</f>
        <v/>
      </c>
      <c r="M175" s="30" t="str">
        <f aca="false">IF($H175="","",IFERROR(H175/J175,""))</f>
        <v/>
      </c>
      <c r="N175" s="30" t="str">
        <f aca="false">IF($H175="","",IFERROR(H175/I175*1000,""))</f>
        <v/>
      </c>
      <c r="O175" s="30" t="str">
        <f aca="false">IF($H175="","",IFERROR(H175/K175,"—"))</f>
        <v/>
      </c>
      <c r="P175" s="30" t="str">
        <f aca="false">IF($H175="","",IFERROR(INDEX('Гео-калькулятор'!$K$7:$K$13,MATCH($D175,'Гео-калькулятор'!$B$7:$B$13,0)),""))</f>
        <v/>
      </c>
      <c r="Q175" s="38" t="str">
        <f aca="false">IF($H175="","",IFERROR(O175/P175,""))</f>
        <v/>
      </c>
      <c r="R175" s="38" t="str">
        <f aca="false">IF(OR($H175="",P175=""),"",POISSON(N(K175),H175/P175,TRUE()))</f>
        <v/>
      </c>
      <c r="S175" s="51" t="str">
        <f aca="false">IF(R175="","",IF(AND(N(K175)&gt;=$H$5,H175/MAX(N(K175),1)&lt;=P175*$E$5),"Масштабувати",IF(AND(N(K175)&gt;0,H175/MAX(N(K175),1)&lt;=P175),"В цілі",IF(R175&gt;='Спенд без лідів'!$H$5,"Рано судити",IF(R175&gt;='Спенд без лідів'!$H$6,"Під питанням",IF(R175&gt;='Спенд без лідів'!$H$7,"Вимикати","Давно треба було"))))))</f>
        <v/>
      </c>
      <c r="T175" s="26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8" hidden="false" customHeight="true" outlineLevel="0" collapsed="false">
      <c r="A176" s="1"/>
      <c r="B176" s="26"/>
      <c r="C176" s="35"/>
      <c r="D176" s="8"/>
      <c r="E176" s="26"/>
      <c r="F176" s="8"/>
      <c r="G176" s="26"/>
      <c r="H176" s="27"/>
      <c r="I176" s="36"/>
      <c r="J176" s="36"/>
      <c r="K176" s="36"/>
      <c r="L176" s="37" t="str">
        <f aca="false">IF($H176="","",IFERROR(J176/I176,""))</f>
        <v/>
      </c>
      <c r="M176" s="30" t="str">
        <f aca="false">IF($H176="","",IFERROR(H176/J176,""))</f>
        <v/>
      </c>
      <c r="N176" s="30" t="str">
        <f aca="false">IF($H176="","",IFERROR(H176/I176*1000,""))</f>
        <v/>
      </c>
      <c r="O176" s="30" t="str">
        <f aca="false">IF($H176="","",IFERROR(H176/K176,"—"))</f>
        <v/>
      </c>
      <c r="P176" s="30" t="str">
        <f aca="false">IF($H176="","",IFERROR(INDEX('Гео-калькулятор'!$K$7:$K$13,MATCH($D176,'Гео-калькулятор'!$B$7:$B$13,0)),""))</f>
        <v/>
      </c>
      <c r="Q176" s="38" t="str">
        <f aca="false">IF($H176="","",IFERROR(O176/P176,""))</f>
        <v/>
      </c>
      <c r="R176" s="38" t="str">
        <f aca="false">IF(OR($H176="",P176=""),"",POISSON(N(K176),H176/P176,TRUE()))</f>
        <v/>
      </c>
      <c r="S176" s="51" t="str">
        <f aca="false">IF(R176="","",IF(AND(N(K176)&gt;=$H$5,H176/MAX(N(K176),1)&lt;=P176*$E$5),"Масштабувати",IF(AND(N(K176)&gt;0,H176/MAX(N(K176),1)&lt;=P176),"В цілі",IF(R176&gt;='Спенд без лідів'!$H$5,"Рано судити",IF(R176&gt;='Спенд без лідів'!$H$6,"Під питанням",IF(R176&gt;='Спенд без лідів'!$H$7,"Вимикати","Давно треба було"))))))</f>
        <v/>
      </c>
      <c r="T176" s="26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8" hidden="false" customHeight="true" outlineLevel="0" collapsed="false">
      <c r="A177" s="1"/>
      <c r="B177" s="26"/>
      <c r="C177" s="35"/>
      <c r="D177" s="8"/>
      <c r="E177" s="26"/>
      <c r="F177" s="8"/>
      <c r="G177" s="26"/>
      <c r="H177" s="27"/>
      <c r="I177" s="36"/>
      <c r="J177" s="36"/>
      <c r="K177" s="36"/>
      <c r="L177" s="37" t="str">
        <f aca="false">IF($H177="","",IFERROR(J177/I177,""))</f>
        <v/>
      </c>
      <c r="M177" s="30" t="str">
        <f aca="false">IF($H177="","",IFERROR(H177/J177,""))</f>
        <v/>
      </c>
      <c r="N177" s="30" t="str">
        <f aca="false">IF($H177="","",IFERROR(H177/I177*1000,""))</f>
        <v/>
      </c>
      <c r="O177" s="30" t="str">
        <f aca="false">IF($H177="","",IFERROR(H177/K177,"—"))</f>
        <v/>
      </c>
      <c r="P177" s="30" t="str">
        <f aca="false">IF($H177="","",IFERROR(INDEX('Гео-калькулятор'!$K$7:$K$13,MATCH($D177,'Гео-калькулятор'!$B$7:$B$13,0)),""))</f>
        <v/>
      </c>
      <c r="Q177" s="38" t="str">
        <f aca="false">IF($H177="","",IFERROR(O177/P177,""))</f>
        <v/>
      </c>
      <c r="R177" s="38" t="str">
        <f aca="false">IF(OR($H177="",P177=""),"",POISSON(N(K177),H177/P177,TRUE()))</f>
        <v/>
      </c>
      <c r="S177" s="51" t="str">
        <f aca="false">IF(R177="","",IF(AND(N(K177)&gt;=$H$5,H177/MAX(N(K177),1)&lt;=P177*$E$5),"Масштабувати",IF(AND(N(K177)&gt;0,H177/MAX(N(K177),1)&lt;=P177),"В цілі",IF(R177&gt;='Спенд без лідів'!$H$5,"Рано судити",IF(R177&gt;='Спенд без лідів'!$H$6,"Під питанням",IF(R177&gt;='Спенд без лідів'!$H$7,"Вимикати","Давно треба було"))))))</f>
        <v/>
      </c>
      <c r="T177" s="26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8" hidden="false" customHeight="true" outlineLevel="0" collapsed="false">
      <c r="A178" s="1"/>
      <c r="B178" s="26"/>
      <c r="C178" s="35"/>
      <c r="D178" s="8"/>
      <c r="E178" s="26"/>
      <c r="F178" s="8"/>
      <c r="G178" s="26"/>
      <c r="H178" s="27"/>
      <c r="I178" s="36"/>
      <c r="J178" s="36"/>
      <c r="K178" s="36"/>
      <c r="L178" s="37" t="str">
        <f aca="false">IF($H178="","",IFERROR(J178/I178,""))</f>
        <v/>
      </c>
      <c r="M178" s="30" t="str">
        <f aca="false">IF($H178="","",IFERROR(H178/J178,""))</f>
        <v/>
      </c>
      <c r="N178" s="30" t="str">
        <f aca="false">IF($H178="","",IFERROR(H178/I178*1000,""))</f>
        <v/>
      </c>
      <c r="O178" s="30" t="str">
        <f aca="false">IF($H178="","",IFERROR(H178/K178,"—"))</f>
        <v/>
      </c>
      <c r="P178" s="30" t="str">
        <f aca="false">IF($H178="","",IFERROR(INDEX('Гео-калькулятор'!$K$7:$K$13,MATCH($D178,'Гео-калькулятор'!$B$7:$B$13,0)),""))</f>
        <v/>
      </c>
      <c r="Q178" s="38" t="str">
        <f aca="false">IF($H178="","",IFERROR(O178/P178,""))</f>
        <v/>
      </c>
      <c r="R178" s="38" t="str">
        <f aca="false">IF(OR($H178="",P178=""),"",POISSON(N(K178),H178/P178,TRUE()))</f>
        <v/>
      </c>
      <c r="S178" s="51" t="str">
        <f aca="false">IF(R178="","",IF(AND(N(K178)&gt;=$H$5,H178/MAX(N(K178),1)&lt;=P178*$E$5),"Масштабувати",IF(AND(N(K178)&gt;0,H178/MAX(N(K178),1)&lt;=P178),"В цілі",IF(R178&gt;='Спенд без лідів'!$H$5,"Рано судити",IF(R178&gt;='Спенд без лідів'!$H$6,"Під питанням",IF(R178&gt;='Спенд без лідів'!$H$7,"Вимикати","Давно треба було"))))))</f>
        <v/>
      </c>
      <c r="T178" s="26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8" hidden="false" customHeight="true" outlineLevel="0" collapsed="false">
      <c r="A179" s="1"/>
      <c r="B179" s="26"/>
      <c r="C179" s="35"/>
      <c r="D179" s="8"/>
      <c r="E179" s="26"/>
      <c r="F179" s="8"/>
      <c r="G179" s="26"/>
      <c r="H179" s="27"/>
      <c r="I179" s="36"/>
      <c r="J179" s="36"/>
      <c r="K179" s="36"/>
      <c r="L179" s="37" t="str">
        <f aca="false">IF($H179="","",IFERROR(J179/I179,""))</f>
        <v/>
      </c>
      <c r="M179" s="30" t="str">
        <f aca="false">IF($H179="","",IFERROR(H179/J179,""))</f>
        <v/>
      </c>
      <c r="N179" s="30" t="str">
        <f aca="false">IF($H179="","",IFERROR(H179/I179*1000,""))</f>
        <v/>
      </c>
      <c r="O179" s="30" t="str">
        <f aca="false">IF($H179="","",IFERROR(H179/K179,"—"))</f>
        <v/>
      </c>
      <c r="P179" s="30" t="str">
        <f aca="false">IF($H179="","",IFERROR(INDEX('Гео-калькулятор'!$K$7:$K$13,MATCH($D179,'Гео-калькулятор'!$B$7:$B$13,0)),""))</f>
        <v/>
      </c>
      <c r="Q179" s="38" t="str">
        <f aca="false">IF($H179="","",IFERROR(O179/P179,""))</f>
        <v/>
      </c>
      <c r="R179" s="38" t="str">
        <f aca="false">IF(OR($H179="",P179=""),"",POISSON(N(K179),H179/P179,TRUE()))</f>
        <v/>
      </c>
      <c r="S179" s="51" t="str">
        <f aca="false">IF(R179="","",IF(AND(N(K179)&gt;=$H$5,H179/MAX(N(K179),1)&lt;=P179*$E$5),"Масштабувати",IF(AND(N(K179)&gt;0,H179/MAX(N(K179),1)&lt;=P179),"В цілі",IF(R179&gt;='Спенд без лідів'!$H$5,"Рано судити",IF(R179&gt;='Спенд без лідів'!$H$6,"Під питанням",IF(R179&gt;='Спенд без лідів'!$H$7,"Вимикати","Давно треба було"))))))</f>
        <v/>
      </c>
      <c r="T179" s="26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8" hidden="false" customHeight="true" outlineLevel="0" collapsed="false">
      <c r="A180" s="1"/>
      <c r="B180" s="26"/>
      <c r="C180" s="35"/>
      <c r="D180" s="8"/>
      <c r="E180" s="26"/>
      <c r="F180" s="8"/>
      <c r="G180" s="26"/>
      <c r="H180" s="27"/>
      <c r="I180" s="36"/>
      <c r="J180" s="36"/>
      <c r="K180" s="36"/>
      <c r="L180" s="37" t="str">
        <f aca="false">IF($H180="","",IFERROR(J180/I180,""))</f>
        <v/>
      </c>
      <c r="M180" s="30" t="str">
        <f aca="false">IF($H180="","",IFERROR(H180/J180,""))</f>
        <v/>
      </c>
      <c r="N180" s="30" t="str">
        <f aca="false">IF($H180="","",IFERROR(H180/I180*1000,""))</f>
        <v/>
      </c>
      <c r="O180" s="30" t="str">
        <f aca="false">IF($H180="","",IFERROR(H180/K180,"—"))</f>
        <v/>
      </c>
      <c r="P180" s="30" t="str">
        <f aca="false">IF($H180="","",IFERROR(INDEX('Гео-калькулятор'!$K$7:$K$13,MATCH($D180,'Гео-калькулятор'!$B$7:$B$13,0)),""))</f>
        <v/>
      </c>
      <c r="Q180" s="38" t="str">
        <f aca="false">IF($H180="","",IFERROR(O180/P180,""))</f>
        <v/>
      </c>
      <c r="R180" s="38" t="str">
        <f aca="false">IF(OR($H180="",P180=""),"",POISSON(N(K180),H180/P180,TRUE()))</f>
        <v/>
      </c>
      <c r="S180" s="51" t="str">
        <f aca="false">IF(R180="","",IF(AND(N(K180)&gt;=$H$5,H180/MAX(N(K180),1)&lt;=P180*$E$5),"Масштабувати",IF(AND(N(K180)&gt;0,H180/MAX(N(K180),1)&lt;=P180),"В цілі",IF(R180&gt;='Спенд без лідів'!$H$5,"Рано судити",IF(R180&gt;='Спенд без лідів'!$H$6,"Під питанням",IF(R180&gt;='Спенд без лідів'!$H$7,"Вимикати","Давно треба було"))))))</f>
        <v/>
      </c>
      <c r="T180" s="26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8" hidden="false" customHeight="true" outlineLevel="0" collapsed="false">
      <c r="A181" s="1"/>
      <c r="B181" s="26"/>
      <c r="C181" s="35"/>
      <c r="D181" s="8"/>
      <c r="E181" s="26"/>
      <c r="F181" s="8"/>
      <c r="G181" s="26"/>
      <c r="H181" s="27"/>
      <c r="I181" s="36"/>
      <c r="J181" s="36"/>
      <c r="K181" s="36"/>
      <c r="L181" s="37" t="str">
        <f aca="false">IF($H181="","",IFERROR(J181/I181,""))</f>
        <v/>
      </c>
      <c r="M181" s="30" t="str">
        <f aca="false">IF($H181="","",IFERROR(H181/J181,""))</f>
        <v/>
      </c>
      <c r="N181" s="30" t="str">
        <f aca="false">IF($H181="","",IFERROR(H181/I181*1000,""))</f>
        <v/>
      </c>
      <c r="O181" s="30" t="str">
        <f aca="false">IF($H181="","",IFERROR(H181/K181,"—"))</f>
        <v/>
      </c>
      <c r="P181" s="30" t="str">
        <f aca="false">IF($H181="","",IFERROR(INDEX('Гео-калькулятор'!$K$7:$K$13,MATCH($D181,'Гео-калькулятор'!$B$7:$B$13,0)),""))</f>
        <v/>
      </c>
      <c r="Q181" s="38" t="str">
        <f aca="false">IF($H181="","",IFERROR(O181/P181,""))</f>
        <v/>
      </c>
      <c r="R181" s="38" t="str">
        <f aca="false">IF(OR($H181="",P181=""),"",POISSON(N(K181),H181/P181,TRUE()))</f>
        <v/>
      </c>
      <c r="S181" s="51" t="str">
        <f aca="false">IF(R181="","",IF(AND(N(K181)&gt;=$H$5,H181/MAX(N(K181),1)&lt;=P181*$E$5),"Масштабувати",IF(AND(N(K181)&gt;0,H181/MAX(N(K181),1)&lt;=P181),"В цілі",IF(R181&gt;='Спенд без лідів'!$H$5,"Рано судити",IF(R181&gt;='Спенд без лідів'!$H$6,"Під питанням",IF(R181&gt;='Спенд без лідів'!$H$7,"Вимикати","Давно треба було"))))))</f>
        <v/>
      </c>
      <c r="T181" s="26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8" hidden="false" customHeight="true" outlineLevel="0" collapsed="false">
      <c r="A182" s="1"/>
      <c r="B182" s="26"/>
      <c r="C182" s="35"/>
      <c r="D182" s="8"/>
      <c r="E182" s="26"/>
      <c r="F182" s="8"/>
      <c r="G182" s="26"/>
      <c r="H182" s="27"/>
      <c r="I182" s="36"/>
      <c r="J182" s="36"/>
      <c r="K182" s="36"/>
      <c r="L182" s="37" t="str">
        <f aca="false">IF($H182="","",IFERROR(J182/I182,""))</f>
        <v/>
      </c>
      <c r="M182" s="30" t="str">
        <f aca="false">IF($H182="","",IFERROR(H182/J182,""))</f>
        <v/>
      </c>
      <c r="N182" s="30" t="str">
        <f aca="false">IF($H182="","",IFERROR(H182/I182*1000,""))</f>
        <v/>
      </c>
      <c r="O182" s="30" t="str">
        <f aca="false">IF($H182="","",IFERROR(H182/K182,"—"))</f>
        <v/>
      </c>
      <c r="P182" s="30" t="str">
        <f aca="false">IF($H182="","",IFERROR(INDEX('Гео-калькулятор'!$K$7:$K$13,MATCH($D182,'Гео-калькулятор'!$B$7:$B$13,0)),""))</f>
        <v/>
      </c>
      <c r="Q182" s="38" t="str">
        <f aca="false">IF($H182="","",IFERROR(O182/P182,""))</f>
        <v/>
      </c>
      <c r="R182" s="38" t="str">
        <f aca="false">IF(OR($H182="",P182=""),"",POISSON(N(K182),H182/P182,TRUE()))</f>
        <v/>
      </c>
      <c r="S182" s="51" t="str">
        <f aca="false">IF(R182="","",IF(AND(N(K182)&gt;=$H$5,H182/MAX(N(K182),1)&lt;=P182*$E$5),"Масштабувати",IF(AND(N(K182)&gt;0,H182/MAX(N(K182),1)&lt;=P182),"В цілі",IF(R182&gt;='Спенд без лідів'!$H$5,"Рано судити",IF(R182&gt;='Спенд без лідів'!$H$6,"Під питанням",IF(R182&gt;='Спенд без лідів'!$H$7,"Вимикати","Давно треба було"))))))</f>
        <v/>
      </c>
      <c r="T182" s="26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8" hidden="false" customHeight="true" outlineLevel="0" collapsed="false">
      <c r="A183" s="1"/>
      <c r="B183" s="26"/>
      <c r="C183" s="35"/>
      <c r="D183" s="8"/>
      <c r="E183" s="26"/>
      <c r="F183" s="8"/>
      <c r="G183" s="26"/>
      <c r="H183" s="27"/>
      <c r="I183" s="36"/>
      <c r="J183" s="36"/>
      <c r="K183" s="36"/>
      <c r="L183" s="37" t="str">
        <f aca="false">IF($H183="","",IFERROR(J183/I183,""))</f>
        <v/>
      </c>
      <c r="M183" s="30" t="str">
        <f aca="false">IF($H183="","",IFERROR(H183/J183,""))</f>
        <v/>
      </c>
      <c r="N183" s="30" t="str">
        <f aca="false">IF($H183="","",IFERROR(H183/I183*1000,""))</f>
        <v/>
      </c>
      <c r="O183" s="30" t="str">
        <f aca="false">IF($H183="","",IFERROR(H183/K183,"—"))</f>
        <v/>
      </c>
      <c r="P183" s="30" t="str">
        <f aca="false">IF($H183="","",IFERROR(INDEX('Гео-калькулятор'!$K$7:$K$13,MATCH($D183,'Гео-калькулятор'!$B$7:$B$13,0)),""))</f>
        <v/>
      </c>
      <c r="Q183" s="38" t="str">
        <f aca="false">IF($H183="","",IFERROR(O183/P183,""))</f>
        <v/>
      </c>
      <c r="R183" s="38" t="str">
        <f aca="false">IF(OR($H183="",P183=""),"",POISSON(N(K183),H183/P183,TRUE()))</f>
        <v/>
      </c>
      <c r="S183" s="51" t="str">
        <f aca="false">IF(R183="","",IF(AND(N(K183)&gt;=$H$5,H183/MAX(N(K183),1)&lt;=P183*$E$5),"Масштабувати",IF(AND(N(K183)&gt;0,H183/MAX(N(K183),1)&lt;=P183),"В цілі",IF(R183&gt;='Спенд без лідів'!$H$5,"Рано судити",IF(R183&gt;='Спенд без лідів'!$H$6,"Під питанням",IF(R183&gt;='Спенд без лідів'!$H$7,"Вимикати","Давно треба було"))))))</f>
        <v/>
      </c>
      <c r="T183" s="26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8" hidden="false" customHeight="true" outlineLevel="0" collapsed="false">
      <c r="A184" s="1"/>
      <c r="B184" s="26"/>
      <c r="C184" s="35"/>
      <c r="D184" s="8"/>
      <c r="E184" s="26"/>
      <c r="F184" s="8"/>
      <c r="G184" s="26"/>
      <c r="H184" s="27"/>
      <c r="I184" s="36"/>
      <c r="J184" s="36"/>
      <c r="K184" s="36"/>
      <c r="L184" s="37" t="str">
        <f aca="false">IF($H184="","",IFERROR(J184/I184,""))</f>
        <v/>
      </c>
      <c r="M184" s="30" t="str">
        <f aca="false">IF($H184="","",IFERROR(H184/J184,""))</f>
        <v/>
      </c>
      <c r="N184" s="30" t="str">
        <f aca="false">IF($H184="","",IFERROR(H184/I184*1000,""))</f>
        <v/>
      </c>
      <c r="O184" s="30" t="str">
        <f aca="false">IF($H184="","",IFERROR(H184/K184,"—"))</f>
        <v/>
      </c>
      <c r="P184" s="30" t="str">
        <f aca="false">IF($H184="","",IFERROR(INDEX('Гео-калькулятор'!$K$7:$K$13,MATCH($D184,'Гео-калькулятор'!$B$7:$B$13,0)),""))</f>
        <v/>
      </c>
      <c r="Q184" s="38" t="str">
        <f aca="false">IF($H184="","",IFERROR(O184/P184,""))</f>
        <v/>
      </c>
      <c r="R184" s="38" t="str">
        <f aca="false">IF(OR($H184="",P184=""),"",POISSON(N(K184),H184/P184,TRUE()))</f>
        <v/>
      </c>
      <c r="S184" s="51" t="str">
        <f aca="false">IF(R184="","",IF(AND(N(K184)&gt;=$H$5,H184/MAX(N(K184),1)&lt;=P184*$E$5),"Масштабувати",IF(AND(N(K184)&gt;0,H184/MAX(N(K184),1)&lt;=P184),"В цілі",IF(R184&gt;='Спенд без лідів'!$H$5,"Рано судити",IF(R184&gt;='Спенд без лідів'!$H$6,"Під питанням",IF(R184&gt;='Спенд без лідів'!$H$7,"Вимикати","Давно треба було"))))))</f>
        <v/>
      </c>
      <c r="T184" s="26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8" hidden="false" customHeight="true" outlineLevel="0" collapsed="false">
      <c r="A185" s="1"/>
      <c r="B185" s="26"/>
      <c r="C185" s="35"/>
      <c r="D185" s="8"/>
      <c r="E185" s="26"/>
      <c r="F185" s="8"/>
      <c r="G185" s="26"/>
      <c r="H185" s="27"/>
      <c r="I185" s="36"/>
      <c r="J185" s="36"/>
      <c r="K185" s="36"/>
      <c r="L185" s="37" t="str">
        <f aca="false">IF($H185="","",IFERROR(J185/I185,""))</f>
        <v/>
      </c>
      <c r="M185" s="30" t="str">
        <f aca="false">IF($H185="","",IFERROR(H185/J185,""))</f>
        <v/>
      </c>
      <c r="N185" s="30" t="str">
        <f aca="false">IF($H185="","",IFERROR(H185/I185*1000,""))</f>
        <v/>
      </c>
      <c r="O185" s="30" t="str">
        <f aca="false">IF($H185="","",IFERROR(H185/K185,"—"))</f>
        <v/>
      </c>
      <c r="P185" s="30" t="str">
        <f aca="false">IF($H185="","",IFERROR(INDEX('Гео-калькулятор'!$K$7:$K$13,MATCH($D185,'Гео-калькулятор'!$B$7:$B$13,0)),""))</f>
        <v/>
      </c>
      <c r="Q185" s="38" t="str">
        <f aca="false">IF($H185="","",IFERROR(O185/P185,""))</f>
        <v/>
      </c>
      <c r="R185" s="38" t="str">
        <f aca="false">IF(OR($H185="",P185=""),"",POISSON(N(K185),H185/P185,TRUE()))</f>
        <v/>
      </c>
      <c r="S185" s="51" t="str">
        <f aca="false">IF(R185="","",IF(AND(N(K185)&gt;=$H$5,H185/MAX(N(K185),1)&lt;=P185*$E$5),"Масштабувати",IF(AND(N(K185)&gt;0,H185/MAX(N(K185),1)&lt;=P185),"В цілі",IF(R185&gt;='Спенд без лідів'!$H$5,"Рано судити",IF(R185&gt;='Спенд без лідів'!$H$6,"Під питанням",IF(R185&gt;='Спенд без лідів'!$H$7,"Вимикати","Давно треба було"))))))</f>
        <v/>
      </c>
      <c r="T185" s="26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8" hidden="false" customHeight="true" outlineLevel="0" collapsed="false">
      <c r="A186" s="1"/>
      <c r="B186" s="26"/>
      <c r="C186" s="35"/>
      <c r="D186" s="8"/>
      <c r="E186" s="26"/>
      <c r="F186" s="8"/>
      <c r="G186" s="26"/>
      <c r="H186" s="27"/>
      <c r="I186" s="36"/>
      <c r="J186" s="36"/>
      <c r="K186" s="36"/>
      <c r="L186" s="37" t="str">
        <f aca="false">IF($H186="","",IFERROR(J186/I186,""))</f>
        <v/>
      </c>
      <c r="M186" s="30" t="str">
        <f aca="false">IF($H186="","",IFERROR(H186/J186,""))</f>
        <v/>
      </c>
      <c r="N186" s="30" t="str">
        <f aca="false">IF($H186="","",IFERROR(H186/I186*1000,""))</f>
        <v/>
      </c>
      <c r="O186" s="30" t="str">
        <f aca="false">IF($H186="","",IFERROR(H186/K186,"—"))</f>
        <v/>
      </c>
      <c r="P186" s="30" t="str">
        <f aca="false">IF($H186="","",IFERROR(INDEX('Гео-калькулятор'!$K$7:$K$13,MATCH($D186,'Гео-калькулятор'!$B$7:$B$13,0)),""))</f>
        <v/>
      </c>
      <c r="Q186" s="38" t="str">
        <f aca="false">IF($H186="","",IFERROR(O186/P186,""))</f>
        <v/>
      </c>
      <c r="R186" s="38" t="str">
        <f aca="false">IF(OR($H186="",P186=""),"",POISSON(N(K186),H186/P186,TRUE()))</f>
        <v/>
      </c>
      <c r="S186" s="51" t="str">
        <f aca="false">IF(R186="","",IF(AND(N(K186)&gt;=$H$5,H186/MAX(N(K186),1)&lt;=P186*$E$5),"Масштабувати",IF(AND(N(K186)&gt;0,H186/MAX(N(K186),1)&lt;=P186),"В цілі",IF(R186&gt;='Спенд без лідів'!$H$5,"Рано судити",IF(R186&gt;='Спенд без лідів'!$H$6,"Під питанням",IF(R186&gt;='Спенд без лідів'!$H$7,"Вимикати","Давно треба було"))))))</f>
        <v/>
      </c>
      <c r="T186" s="26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8" hidden="false" customHeight="true" outlineLevel="0" collapsed="false">
      <c r="A187" s="1"/>
      <c r="B187" s="26"/>
      <c r="C187" s="35"/>
      <c r="D187" s="8"/>
      <c r="E187" s="26"/>
      <c r="F187" s="8"/>
      <c r="G187" s="26"/>
      <c r="H187" s="27"/>
      <c r="I187" s="36"/>
      <c r="J187" s="36"/>
      <c r="K187" s="36"/>
      <c r="L187" s="37" t="str">
        <f aca="false">IF($H187="","",IFERROR(J187/I187,""))</f>
        <v/>
      </c>
      <c r="M187" s="30" t="str">
        <f aca="false">IF($H187="","",IFERROR(H187/J187,""))</f>
        <v/>
      </c>
      <c r="N187" s="30" t="str">
        <f aca="false">IF($H187="","",IFERROR(H187/I187*1000,""))</f>
        <v/>
      </c>
      <c r="O187" s="30" t="str">
        <f aca="false">IF($H187="","",IFERROR(H187/K187,"—"))</f>
        <v/>
      </c>
      <c r="P187" s="30" t="str">
        <f aca="false">IF($H187="","",IFERROR(INDEX('Гео-калькулятор'!$K$7:$K$13,MATCH($D187,'Гео-калькулятор'!$B$7:$B$13,0)),""))</f>
        <v/>
      </c>
      <c r="Q187" s="38" t="str">
        <f aca="false">IF($H187="","",IFERROR(O187/P187,""))</f>
        <v/>
      </c>
      <c r="R187" s="38" t="str">
        <f aca="false">IF(OR($H187="",P187=""),"",POISSON(N(K187),H187/P187,TRUE()))</f>
        <v/>
      </c>
      <c r="S187" s="51" t="str">
        <f aca="false">IF(R187="","",IF(AND(N(K187)&gt;=$H$5,H187/MAX(N(K187),1)&lt;=P187*$E$5),"Масштабувати",IF(AND(N(K187)&gt;0,H187/MAX(N(K187),1)&lt;=P187),"В цілі",IF(R187&gt;='Спенд без лідів'!$H$5,"Рано судити",IF(R187&gt;='Спенд без лідів'!$H$6,"Під питанням",IF(R187&gt;='Спенд без лідів'!$H$7,"Вимикати","Давно треба було"))))))</f>
        <v/>
      </c>
      <c r="T187" s="26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8" hidden="false" customHeight="true" outlineLevel="0" collapsed="false">
      <c r="A188" s="1"/>
      <c r="B188" s="26"/>
      <c r="C188" s="35"/>
      <c r="D188" s="8"/>
      <c r="E188" s="26"/>
      <c r="F188" s="8"/>
      <c r="G188" s="26"/>
      <c r="H188" s="27"/>
      <c r="I188" s="36"/>
      <c r="J188" s="36"/>
      <c r="K188" s="36"/>
      <c r="L188" s="37" t="str">
        <f aca="false">IF($H188="","",IFERROR(J188/I188,""))</f>
        <v/>
      </c>
      <c r="M188" s="30" t="str">
        <f aca="false">IF($H188="","",IFERROR(H188/J188,""))</f>
        <v/>
      </c>
      <c r="N188" s="30" t="str">
        <f aca="false">IF($H188="","",IFERROR(H188/I188*1000,""))</f>
        <v/>
      </c>
      <c r="O188" s="30" t="str">
        <f aca="false">IF($H188="","",IFERROR(H188/K188,"—"))</f>
        <v/>
      </c>
      <c r="P188" s="30" t="str">
        <f aca="false">IF($H188="","",IFERROR(INDEX('Гео-калькулятор'!$K$7:$K$13,MATCH($D188,'Гео-калькулятор'!$B$7:$B$13,0)),""))</f>
        <v/>
      </c>
      <c r="Q188" s="38" t="str">
        <f aca="false">IF($H188="","",IFERROR(O188/P188,""))</f>
        <v/>
      </c>
      <c r="R188" s="38" t="str">
        <f aca="false">IF(OR($H188="",P188=""),"",POISSON(N(K188),H188/P188,TRUE()))</f>
        <v/>
      </c>
      <c r="S188" s="51" t="str">
        <f aca="false">IF(R188="","",IF(AND(N(K188)&gt;=$H$5,H188/MAX(N(K188),1)&lt;=P188*$E$5),"Масштабувати",IF(AND(N(K188)&gt;0,H188/MAX(N(K188),1)&lt;=P188),"В цілі",IF(R188&gt;='Спенд без лідів'!$H$5,"Рано судити",IF(R188&gt;='Спенд без лідів'!$H$6,"Під питанням",IF(R188&gt;='Спенд без лідів'!$H$7,"Вимикати","Давно треба було"))))))</f>
        <v/>
      </c>
      <c r="T188" s="26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8" hidden="false" customHeight="true" outlineLevel="0" collapsed="false">
      <c r="A189" s="1"/>
      <c r="B189" s="26"/>
      <c r="C189" s="35"/>
      <c r="D189" s="8"/>
      <c r="E189" s="26"/>
      <c r="F189" s="8"/>
      <c r="G189" s="26"/>
      <c r="H189" s="27"/>
      <c r="I189" s="36"/>
      <c r="J189" s="36"/>
      <c r="K189" s="36"/>
      <c r="L189" s="37" t="str">
        <f aca="false">IF($H189="","",IFERROR(J189/I189,""))</f>
        <v/>
      </c>
      <c r="M189" s="30" t="str">
        <f aca="false">IF($H189="","",IFERROR(H189/J189,""))</f>
        <v/>
      </c>
      <c r="N189" s="30" t="str">
        <f aca="false">IF($H189="","",IFERROR(H189/I189*1000,""))</f>
        <v/>
      </c>
      <c r="O189" s="30" t="str">
        <f aca="false">IF($H189="","",IFERROR(H189/K189,"—"))</f>
        <v/>
      </c>
      <c r="P189" s="30" t="str">
        <f aca="false">IF($H189="","",IFERROR(INDEX('Гео-калькулятор'!$K$7:$K$13,MATCH($D189,'Гео-калькулятор'!$B$7:$B$13,0)),""))</f>
        <v/>
      </c>
      <c r="Q189" s="38" t="str">
        <f aca="false">IF($H189="","",IFERROR(O189/P189,""))</f>
        <v/>
      </c>
      <c r="R189" s="38" t="str">
        <f aca="false">IF(OR($H189="",P189=""),"",POISSON(N(K189),H189/P189,TRUE()))</f>
        <v/>
      </c>
      <c r="S189" s="51" t="str">
        <f aca="false">IF(R189="","",IF(AND(N(K189)&gt;=$H$5,H189/MAX(N(K189),1)&lt;=P189*$E$5),"Масштабувати",IF(AND(N(K189)&gt;0,H189/MAX(N(K189),1)&lt;=P189),"В цілі",IF(R189&gt;='Спенд без лідів'!$H$5,"Рано судити",IF(R189&gt;='Спенд без лідів'!$H$6,"Під питанням",IF(R189&gt;='Спенд без лідів'!$H$7,"Вимикати","Давно треба було"))))))</f>
        <v/>
      </c>
      <c r="T189" s="26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8" hidden="false" customHeight="true" outlineLevel="0" collapsed="false">
      <c r="A190" s="1"/>
      <c r="B190" s="26"/>
      <c r="C190" s="35"/>
      <c r="D190" s="8"/>
      <c r="E190" s="26"/>
      <c r="F190" s="8"/>
      <c r="G190" s="26"/>
      <c r="H190" s="27"/>
      <c r="I190" s="36"/>
      <c r="J190" s="36"/>
      <c r="K190" s="36"/>
      <c r="L190" s="37" t="str">
        <f aca="false">IF($H190="","",IFERROR(J190/I190,""))</f>
        <v/>
      </c>
      <c r="M190" s="30" t="str">
        <f aca="false">IF($H190="","",IFERROR(H190/J190,""))</f>
        <v/>
      </c>
      <c r="N190" s="30" t="str">
        <f aca="false">IF($H190="","",IFERROR(H190/I190*1000,""))</f>
        <v/>
      </c>
      <c r="O190" s="30" t="str">
        <f aca="false">IF($H190="","",IFERROR(H190/K190,"—"))</f>
        <v/>
      </c>
      <c r="P190" s="30" t="str">
        <f aca="false">IF($H190="","",IFERROR(INDEX('Гео-калькулятор'!$K$7:$K$13,MATCH($D190,'Гео-калькулятор'!$B$7:$B$13,0)),""))</f>
        <v/>
      </c>
      <c r="Q190" s="38" t="str">
        <f aca="false">IF($H190="","",IFERROR(O190/P190,""))</f>
        <v/>
      </c>
      <c r="R190" s="38" t="str">
        <f aca="false">IF(OR($H190="",P190=""),"",POISSON(N(K190),H190/P190,TRUE()))</f>
        <v/>
      </c>
      <c r="S190" s="51" t="str">
        <f aca="false">IF(R190="","",IF(AND(N(K190)&gt;=$H$5,H190/MAX(N(K190),1)&lt;=P190*$E$5),"Масштабувати",IF(AND(N(K190)&gt;0,H190/MAX(N(K190),1)&lt;=P190),"В цілі",IF(R190&gt;='Спенд без лідів'!$H$5,"Рано судити",IF(R190&gt;='Спенд без лідів'!$H$6,"Під питанням",IF(R190&gt;='Спенд без лідів'!$H$7,"Вимикати","Давно треба було"))))))</f>
        <v/>
      </c>
      <c r="T190" s="26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8" hidden="false" customHeight="true" outlineLevel="0" collapsed="false">
      <c r="A191" s="1"/>
      <c r="B191" s="26"/>
      <c r="C191" s="35"/>
      <c r="D191" s="8"/>
      <c r="E191" s="26"/>
      <c r="F191" s="8"/>
      <c r="G191" s="26"/>
      <c r="H191" s="27"/>
      <c r="I191" s="36"/>
      <c r="J191" s="36"/>
      <c r="K191" s="36"/>
      <c r="L191" s="37" t="str">
        <f aca="false">IF($H191="","",IFERROR(J191/I191,""))</f>
        <v/>
      </c>
      <c r="M191" s="30" t="str">
        <f aca="false">IF($H191="","",IFERROR(H191/J191,""))</f>
        <v/>
      </c>
      <c r="N191" s="30" t="str">
        <f aca="false">IF($H191="","",IFERROR(H191/I191*1000,""))</f>
        <v/>
      </c>
      <c r="O191" s="30" t="str">
        <f aca="false">IF($H191="","",IFERROR(H191/K191,"—"))</f>
        <v/>
      </c>
      <c r="P191" s="30" t="str">
        <f aca="false">IF($H191="","",IFERROR(INDEX('Гео-калькулятор'!$K$7:$K$13,MATCH($D191,'Гео-калькулятор'!$B$7:$B$13,0)),""))</f>
        <v/>
      </c>
      <c r="Q191" s="38" t="str">
        <f aca="false">IF($H191="","",IFERROR(O191/P191,""))</f>
        <v/>
      </c>
      <c r="R191" s="38" t="str">
        <f aca="false">IF(OR($H191="",P191=""),"",POISSON(N(K191),H191/P191,TRUE()))</f>
        <v/>
      </c>
      <c r="S191" s="51" t="str">
        <f aca="false">IF(R191="","",IF(AND(N(K191)&gt;=$H$5,H191/MAX(N(K191),1)&lt;=P191*$E$5),"Масштабувати",IF(AND(N(K191)&gt;0,H191/MAX(N(K191),1)&lt;=P191),"В цілі",IF(R191&gt;='Спенд без лідів'!$H$5,"Рано судити",IF(R191&gt;='Спенд без лідів'!$H$6,"Під питанням",IF(R191&gt;='Спенд без лідів'!$H$7,"Вимикати","Давно треба було"))))))</f>
        <v/>
      </c>
      <c r="T191" s="26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8" hidden="false" customHeight="true" outlineLevel="0" collapsed="false">
      <c r="A192" s="1"/>
      <c r="B192" s="26"/>
      <c r="C192" s="35"/>
      <c r="D192" s="8"/>
      <c r="E192" s="26"/>
      <c r="F192" s="8"/>
      <c r="G192" s="26"/>
      <c r="H192" s="27"/>
      <c r="I192" s="36"/>
      <c r="J192" s="36"/>
      <c r="K192" s="36"/>
      <c r="L192" s="37" t="str">
        <f aca="false">IF($H192="","",IFERROR(J192/I192,""))</f>
        <v/>
      </c>
      <c r="M192" s="30" t="str">
        <f aca="false">IF($H192="","",IFERROR(H192/J192,""))</f>
        <v/>
      </c>
      <c r="N192" s="30" t="str">
        <f aca="false">IF($H192="","",IFERROR(H192/I192*1000,""))</f>
        <v/>
      </c>
      <c r="O192" s="30" t="str">
        <f aca="false">IF($H192="","",IFERROR(H192/K192,"—"))</f>
        <v/>
      </c>
      <c r="P192" s="30" t="str">
        <f aca="false">IF($H192="","",IFERROR(INDEX('Гео-калькулятор'!$K$7:$K$13,MATCH($D192,'Гео-калькулятор'!$B$7:$B$13,0)),""))</f>
        <v/>
      </c>
      <c r="Q192" s="38" t="str">
        <f aca="false">IF($H192="","",IFERROR(O192/P192,""))</f>
        <v/>
      </c>
      <c r="R192" s="38" t="str">
        <f aca="false">IF(OR($H192="",P192=""),"",POISSON(N(K192),H192/P192,TRUE()))</f>
        <v/>
      </c>
      <c r="S192" s="51" t="str">
        <f aca="false">IF(R192="","",IF(AND(N(K192)&gt;=$H$5,H192/MAX(N(K192),1)&lt;=P192*$E$5),"Масштабувати",IF(AND(N(K192)&gt;0,H192/MAX(N(K192),1)&lt;=P192),"В цілі",IF(R192&gt;='Спенд без лідів'!$H$5,"Рано судити",IF(R192&gt;='Спенд без лідів'!$H$6,"Під питанням",IF(R192&gt;='Спенд без лідів'!$H$7,"Вимикати","Давно треба було"))))))</f>
        <v/>
      </c>
      <c r="T192" s="26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8" hidden="false" customHeight="true" outlineLevel="0" collapsed="false">
      <c r="A193" s="1"/>
      <c r="B193" s="26"/>
      <c r="C193" s="35"/>
      <c r="D193" s="8"/>
      <c r="E193" s="26"/>
      <c r="F193" s="8"/>
      <c r="G193" s="26"/>
      <c r="H193" s="27"/>
      <c r="I193" s="36"/>
      <c r="J193" s="36"/>
      <c r="K193" s="36"/>
      <c r="L193" s="37" t="str">
        <f aca="false">IF($H193="","",IFERROR(J193/I193,""))</f>
        <v/>
      </c>
      <c r="M193" s="30" t="str">
        <f aca="false">IF($H193="","",IFERROR(H193/J193,""))</f>
        <v/>
      </c>
      <c r="N193" s="30" t="str">
        <f aca="false">IF($H193="","",IFERROR(H193/I193*1000,""))</f>
        <v/>
      </c>
      <c r="O193" s="30" t="str">
        <f aca="false">IF($H193="","",IFERROR(H193/K193,"—"))</f>
        <v/>
      </c>
      <c r="P193" s="30" t="str">
        <f aca="false">IF($H193="","",IFERROR(INDEX('Гео-калькулятор'!$K$7:$K$13,MATCH($D193,'Гео-калькулятор'!$B$7:$B$13,0)),""))</f>
        <v/>
      </c>
      <c r="Q193" s="38" t="str">
        <f aca="false">IF($H193="","",IFERROR(O193/P193,""))</f>
        <v/>
      </c>
      <c r="R193" s="38" t="str">
        <f aca="false">IF(OR($H193="",P193=""),"",POISSON(N(K193),H193/P193,TRUE()))</f>
        <v/>
      </c>
      <c r="S193" s="51" t="str">
        <f aca="false">IF(R193="","",IF(AND(N(K193)&gt;=$H$5,H193/MAX(N(K193),1)&lt;=P193*$E$5),"Масштабувати",IF(AND(N(K193)&gt;0,H193/MAX(N(K193),1)&lt;=P193),"В цілі",IF(R193&gt;='Спенд без лідів'!$H$5,"Рано судити",IF(R193&gt;='Спенд без лідів'!$H$6,"Під питанням",IF(R193&gt;='Спенд без лідів'!$H$7,"Вимикати","Давно треба було"))))))</f>
        <v/>
      </c>
      <c r="T193" s="26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8" hidden="false" customHeight="true" outlineLevel="0" collapsed="false">
      <c r="A194" s="1"/>
      <c r="B194" s="26"/>
      <c r="C194" s="35"/>
      <c r="D194" s="8"/>
      <c r="E194" s="26"/>
      <c r="F194" s="8"/>
      <c r="G194" s="26"/>
      <c r="H194" s="27"/>
      <c r="I194" s="36"/>
      <c r="J194" s="36"/>
      <c r="K194" s="36"/>
      <c r="L194" s="37" t="str">
        <f aca="false">IF($H194="","",IFERROR(J194/I194,""))</f>
        <v/>
      </c>
      <c r="M194" s="30" t="str">
        <f aca="false">IF($H194="","",IFERROR(H194/J194,""))</f>
        <v/>
      </c>
      <c r="N194" s="30" t="str">
        <f aca="false">IF($H194="","",IFERROR(H194/I194*1000,""))</f>
        <v/>
      </c>
      <c r="O194" s="30" t="str">
        <f aca="false">IF($H194="","",IFERROR(H194/K194,"—"))</f>
        <v/>
      </c>
      <c r="P194" s="30" t="str">
        <f aca="false">IF($H194="","",IFERROR(INDEX('Гео-калькулятор'!$K$7:$K$13,MATCH($D194,'Гео-калькулятор'!$B$7:$B$13,0)),""))</f>
        <v/>
      </c>
      <c r="Q194" s="38" t="str">
        <f aca="false">IF($H194="","",IFERROR(O194/P194,""))</f>
        <v/>
      </c>
      <c r="R194" s="38" t="str">
        <f aca="false">IF(OR($H194="",P194=""),"",POISSON(N(K194),H194/P194,TRUE()))</f>
        <v/>
      </c>
      <c r="S194" s="51" t="str">
        <f aca="false">IF(R194="","",IF(AND(N(K194)&gt;=$H$5,H194/MAX(N(K194),1)&lt;=P194*$E$5),"Масштабувати",IF(AND(N(K194)&gt;0,H194/MAX(N(K194),1)&lt;=P194),"В цілі",IF(R194&gt;='Спенд без лідів'!$H$5,"Рано судити",IF(R194&gt;='Спенд без лідів'!$H$6,"Під питанням",IF(R194&gt;='Спенд без лідів'!$H$7,"Вимикати","Давно треба було"))))))</f>
        <v/>
      </c>
      <c r="T194" s="26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8" hidden="false" customHeight="true" outlineLevel="0" collapsed="false">
      <c r="A195" s="1"/>
      <c r="B195" s="26"/>
      <c r="C195" s="35"/>
      <c r="D195" s="8"/>
      <c r="E195" s="26"/>
      <c r="F195" s="8"/>
      <c r="G195" s="26"/>
      <c r="H195" s="27"/>
      <c r="I195" s="36"/>
      <c r="J195" s="36"/>
      <c r="K195" s="36"/>
      <c r="L195" s="37" t="str">
        <f aca="false">IF($H195="","",IFERROR(J195/I195,""))</f>
        <v/>
      </c>
      <c r="M195" s="30" t="str">
        <f aca="false">IF($H195="","",IFERROR(H195/J195,""))</f>
        <v/>
      </c>
      <c r="N195" s="30" t="str">
        <f aca="false">IF($H195="","",IFERROR(H195/I195*1000,""))</f>
        <v/>
      </c>
      <c r="O195" s="30" t="str">
        <f aca="false">IF($H195="","",IFERROR(H195/K195,"—"))</f>
        <v/>
      </c>
      <c r="P195" s="30" t="str">
        <f aca="false">IF($H195="","",IFERROR(INDEX('Гео-калькулятор'!$K$7:$K$13,MATCH($D195,'Гео-калькулятор'!$B$7:$B$13,0)),""))</f>
        <v/>
      </c>
      <c r="Q195" s="38" t="str">
        <f aca="false">IF($H195="","",IFERROR(O195/P195,""))</f>
        <v/>
      </c>
      <c r="R195" s="38" t="str">
        <f aca="false">IF(OR($H195="",P195=""),"",POISSON(N(K195),H195/P195,TRUE()))</f>
        <v/>
      </c>
      <c r="S195" s="51" t="str">
        <f aca="false">IF(R195="","",IF(AND(N(K195)&gt;=$H$5,H195/MAX(N(K195),1)&lt;=P195*$E$5),"Масштабувати",IF(AND(N(K195)&gt;0,H195/MAX(N(K195),1)&lt;=P195),"В цілі",IF(R195&gt;='Спенд без лідів'!$H$5,"Рано судити",IF(R195&gt;='Спенд без лідів'!$H$6,"Під питанням",IF(R195&gt;='Спенд без лідів'!$H$7,"Вимикати","Давно треба було"))))))</f>
        <v/>
      </c>
      <c r="T195" s="26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8" hidden="false" customHeight="true" outlineLevel="0" collapsed="false">
      <c r="A196" s="1"/>
      <c r="B196" s="26"/>
      <c r="C196" s="35"/>
      <c r="D196" s="8"/>
      <c r="E196" s="26"/>
      <c r="F196" s="8"/>
      <c r="G196" s="26"/>
      <c r="H196" s="27"/>
      <c r="I196" s="36"/>
      <c r="J196" s="36"/>
      <c r="K196" s="36"/>
      <c r="L196" s="37" t="str">
        <f aca="false">IF($H196="","",IFERROR(J196/I196,""))</f>
        <v/>
      </c>
      <c r="M196" s="30" t="str">
        <f aca="false">IF($H196="","",IFERROR(H196/J196,""))</f>
        <v/>
      </c>
      <c r="N196" s="30" t="str">
        <f aca="false">IF($H196="","",IFERROR(H196/I196*1000,""))</f>
        <v/>
      </c>
      <c r="O196" s="30" t="str">
        <f aca="false">IF($H196="","",IFERROR(H196/K196,"—"))</f>
        <v/>
      </c>
      <c r="P196" s="30" t="str">
        <f aca="false">IF($H196="","",IFERROR(INDEX('Гео-калькулятор'!$K$7:$K$13,MATCH($D196,'Гео-калькулятор'!$B$7:$B$13,0)),""))</f>
        <v/>
      </c>
      <c r="Q196" s="38" t="str">
        <f aca="false">IF($H196="","",IFERROR(O196/P196,""))</f>
        <v/>
      </c>
      <c r="R196" s="38" t="str">
        <f aca="false">IF(OR($H196="",P196=""),"",POISSON(N(K196),H196/P196,TRUE()))</f>
        <v/>
      </c>
      <c r="S196" s="51" t="str">
        <f aca="false">IF(R196="","",IF(AND(N(K196)&gt;=$H$5,H196/MAX(N(K196),1)&lt;=P196*$E$5),"Масштабувати",IF(AND(N(K196)&gt;0,H196/MAX(N(K196),1)&lt;=P196),"В цілі",IF(R196&gt;='Спенд без лідів'!$H$5,"Рано судити",IF(R196&gt;='Спенд без лідів'!$H$6,"Під питанням",IF(R196&gt;='Спенд без лідів'!$H$7,"Вимикати","Давно треба було"))))))</f>
        <v/>
      </c>
      <c r="T196" s="26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8" hidden="false" customHeight="true" outlineLevel="0" collapsed="false">
      <c r="A197" s="1"/>
      <c r="B197" s="26"/>
      <c r="C197" s="35"/>
      <c r="D197" s="8"/>
      <c r="E197" s="26"/>
      <c r="F197" s="8"/>
      <c r="G197" s="26"/>
      <c r="H197" s="27"/>
      <c r="I197" s="36"/>
      <c r="J197" s="36"/>
      <c r="K197" s="36"/>
      <c r="L197" s="37" t="str">
        <f aca="false">IF($H197="","",IFERROR(J197/I197,""))</f>
        <v/>
      </c>
      <c r="M197" s="30" t="str">
        <f aca="false">IF($H197="","",IFERROR(H197/J197,""))</f>
        <v/>
      </c>
      <c r="N197" s="30" t="str">
        <f aca="false">IF($H197="","",IFERROR(H197/I197*1000,""))</f>
        <v/>
      </c>
      <c r="O197" s="30" t="str">
        <f aca="false">IF($H197="","",IFERROR(H197/K197,"—"))</f>
        <v/>
      </c>
      <c r="P197" s="30" t="str">
        <f aca="false">IF($H197="","",IFERROR(INDEX('Гео-калькулятор'!$K$7:$K$13,MATCH($D197,'Гео-калькулятор'!$B$7:$B$13,0)),""))</f>
        <v/>
      </c>
      <c r="Q197" s="38" t="str">
        <f aca="false">IF($H197="","",IFERROR(O197/P197,""))</f>
        <v/>
      </c>
      <c r="R197" s="38" t="str">
        <f aca="false">IF(OR($H197="",P197=""),"",POISSON(N(K197),H197/P197,TRUE()))</f>
        <v/>
      </c>
      <c r="S197" s="51" t="str">
        <f aca="false">IF(R197="","",IF(AND(N(K197)&gt;=$H$5,H197/MAX(N(K197),1)&lt;=P197*$E$5),"Масштабувати",IF(AND(N(K197)&gt;0,H197/MAX(N(K197),1)&lt;=P197),"В цілі",IF(R197&gt;='Спенд без лідів'!$H$5,"Рано судити",IF(R197&gt;='Спенд без лідів'!$H$6,"Під питанням",IF(R197&gt;='Спенд без лідів'!$H$7,"Вимикати","Давно треба було"))))))</f>
        <v/>
      </c>
      <c r="T197" s="26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8" hidden="false" customHeight="true" outlineLevel="0" collapsed="false">
      <c r="A198" s="1"/>
      <c r="B198" s="26"/>
      <c r="C198" s="35"/>
      <c r="D198" s="8"/>
      <c r="E198" s="26"/>
      <c r="F198" s="8"/>
      <c r="G198" s="26"/>
      <c r="H198" s="27"/>
      <c r="I198" s="36"/>
      <c r="J198" s="36"/>
      <c r="K198" s="36"/>
      <c r="L198" s="37" t="str">
        <f aca="false">IF($H198="","",IFERROR(J198/I198,""))</f>
        <v/>
      </c>
      <c r="M198" s="30" t="str">
        <f aca="false">IF($H198="","",IFERROR(H198/J198,""))</f>
        <v/>
      </c>
      <c r="N198" s="30" t="str">
        <f aca="false">IF($H198="","",IFERROR(H198/I198*1000,""))</f>
        <v/>
      </c>
      <c r="O198" s="30" t="str">
        <f aca="false">IF($H198="","",IFERROR(H198/K198,"—"))</f>
        <v/>
      </c>
      <c r="P198" s="30" t="str">
        <f aca="false">IF($H198="","",IFERROR(INDEX('Гео-калькулятор'!$K$7:$K$13,MATCH($D198,'Гео-калькулятор'!$B$7:$B$13,0)),""))</f>
        <v/>
      </c>
      <c r="Q198" s="38" t="str">
        <f aca="false">IF($H198="","",IFERROR(O198/P198,""))</f>
        <v/>
      </c>
      <c r="R198" s="38" t="str">
        <f aca="false">IF(OR($H198="",P198=""),"",POISSON(N(K198),H198/P198,TRUE()))</f>
        <v/>
      </c>
      <c r="S198" s="51" t="str">
        <f aca="false">IF(R198="","",IF(AND(N(K198)&gt;=$H$5,H198/MAX(N(K198),1)&lt;=P198*$E$5),"Масштабувати",IF(AND(N(K198)&gt;0,H198/MAX(N(K198),1)&lt;=P198),"В цілі",IF(R198&gt;='Спенд без лідів'!$H$5,"Рано судити",IF(R198&gt;='Спенд без лідів'!$H$6,"Під питанням",IF(R198&gt;='Спенд без лідів'!$H$7,"Вимикати","Давно треба було"))))))</f>
        <v/>
      </c>
      <c r="T198" s="26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8" hidden="false" customHeight="true" outlineLevel="0" collapsed="false">
      <c r="A199" s="1"/>
      <c r="B199" s="26"/>
      <c r="C199" s="35"/>
      <c r="D199" s="8"/>
      <c r="E199" s="26"/>
      <c r="F199" s="8"/>
      <c r="G199" s="26"/>
      <c r="H199" s="27"/>
      <c r="I199" s="36"/>
      <c r="J199" s="36"/>
      <c r="K199" s="36"/>
      <c r="L199" s="37" t="str">
        <f aca="false">IF($H199="","",IFERROR(J199/I199,""))</f>
        <v/>
      </c>
      <c r="M199" s="30" t="str">
        <f aca="false">IF($H199="","",IFERROR(H199/J199,""))</f>
        <v/>
      </c>
      <c r="N199" s="30" t="str">
        <f aca="false">IF($H199="","",IFERROR(H199/I199*1000,""))</f>
        <v/>
      </c>
      <c r="O199" s="30" t="str">
        <f aca="false">IF($H199="","",IFERROR(H199/K199,"—"))</f>
        <v/>
      </c>
      <c r="P199" s="30" t="str">
        <f aca="false">IF($H199="","",IFERROR(INDEX('Гео-калькулятор'!$K$7:$K$13,MATCH($D199,'Гео-калькулятор'!$B$7:$B$13,0)),""))</f>
        <v/>
      </c>
      <c r="Q199" s="38" t="str">
        <f aca="false">IF($H199="","",IFERROR(O199/P199,""))</f>
        <v/>
      </c>
      <c r="R199" s="38" t="str">
        <f aca="false">IF(OR($H199="",P199=""),"",POISSON(N(K199),H199/P199,TRUE()))</f>
        <v/>
      </c>
      <c r="S199" s="51" t="str">
        <f aca="false">IF(R199="","",IF(AND(N(K199)&gt;=$H$5,H199/MAX(N(K199),1)&lt;=P199*$E$5),"Масштабувати",IF(AND(N(K199)&gt;0,H199/MAX(N(K199),1)&lt;=P199),"В цілі",IF(R199&gt;='Спенд без лідів'!$H$5,"Рано судити",IF(R199&gt;='Спенд без лідів'!$H$6,"Під питанням",IF(R199&gt;='Спенд без лідів'!$H$7,"Вимикати","Давно треба було"))))))</f>
        <v/>
      </c>
      <c r="T199" s="26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8" hidden="false" customHeight="true" outlineLevel="0" collapsed="false">
      <c r="A200" s="1"/>
      <c r="B200" s="26"/>
      <c r="C200" s="35"/>
      <c r="D200" s="8"/>
      <c r="E200" s="26"/>
      <c r="F200" s="8"/>
      <c r="G200" s="26"/>
      <c r="H200" s="27"/>
      <c r="I200" s="36"/>
      <c r="J200" s="36"/>
      <c r="K200" s="36"/>
      <c r="L200" s="37" t="str">
        <f aca="false">IF($H200="","",IFERROR(J200/I200,""))</f>
        <v/>
      </c>
      <c r="M200" s="30" t="str">
        <f aca="false">IF($H200="","",IFERROR(H200/J200,""))</f>
        <v/>
      </c>
      <c r="N200" s="30" t="str">
        <f aca="false">IF($H200="","",IFERROR(H200/I200*1000,""))</f>
        <v/>
      </c>
      <c r="O200" s="30" t="str">
        <f aca="false">IF($H200="","",IFERROR(H200/K200,"—"))</f>
        <v/>
      </c>
      <c r="P200" s="30" t="str">
        <f aca="false">IF($H200="","",IFERROR(INDEX('Гео-калькулятор'!$K$7:$K$13,MATCH($D200,'Гео-калькулятор'!$B$7:$B$13,0)),""))</f>
        <v/>
      </c>
      <c r="Q200" s="38" t="str">
        <f aca="false">IF($H200="","",IFERROR(O200/P200,""))</f>
        <v/>
      </c>
      <c r="R200" s="38" t="str">
        <f aca="false">IF(OR($H200="",P200=""),"",POISSON(N(K200),H200/P200,TRUE()))</f>
        <v/>
      </c>
      <c r="S200" s="51" t="str">
        <f aca="false">IF(R200="","",IF(AND(N(K200)&gt;=$H$5,H200/MAX(N(K200),1)&lt;=P200*$E$5),"Масштабувати",IF(AND(N(K200)&gt;0,H200/MAX(N(K200),1)&lt;=P200),"В цілі",IF(R200&gt;='Спенд без лідів'!$H$5,"Рано судити",IF(R200&gt;='Спенд без лідів'!$H$6,"Під питанням",IF(R200&gt;='Спенд без лідів'!$H$7,"Вимикати","Давно треба було"))))))</f>
        <v/>
      </c>
      <c r="T200" s="26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8" hidden="false" customHeight="true" outlineLevel="0" collapsed="false">
      <c r="A201" s="1"/>
      <c r="B201" s="26"/>
      <c r="C201" s="35"/>
      <c r="D201" s="8"/>
      <c r="E201" s="26"/>
      <c r="F201" s="8"/>
      <c r="G201" s="26"/>
      <c r="H201" s="27"/>
      <c r="I201" s="36"/>
      <c r="J201" s="36"/>
      <c r="K201" s="36"/>
      <c r="L201" s="37" t="str">
        <f aca="false">IF($H201="","",IFERROR(J201/I201,""))</f>
        <v/>
      </c>
      <c r="M201" s="30" t="str">
        <f aca="false">IF($H201="","",IFERROR(H201/J201,""))</f>
        <v/>
      </c>
      <c r="N201" s="30" t="str">
        <f aca="false">IF($H201="","",IFERROR(H201/I201*1000,""))</f>
        <v/>
      </c>
      <c r="O201" s="30" t="str">
        <f aca="false">IF($H201="","",IFERROR(H201/K201,"—"))</f>
        <v/>
      </c>
      <c r="P201" s="30" t="str">
        <f aca="false">IF($H201="","",IFERROR(INDEX('Гео-калькулятор'!$K$7:$K$13,MATCH($D201,'Гео-калькулятор'!$B$7:$B$13,0)),""))</f>
        <v/>
      </c>
      <c r="Q201" s="38" t="str">
        <f aca="false">IF($H201="","",IFERROR(O201/P201,""))</f>
        <v/>
      </c>
      <c r="R201" s="38" t="str">
        <f aca="false">IF(OR($H201="",P201=""),"",POISSON(N(K201),H201/P201,TRUE()))</f>
        <v/>
      </c>
      <c r="S201" s="51" t="str">
        <f aca="false">IF(R201="","",IF(AND(N(K201)&gt;=$H$5,H201/MAX(N(K201),1)&lt;=P201*$E$5),"Масштабувати",IF(AND(N(K201)&gt;0,H201/MAX(N(K201),1)&lt;=P201),"В цілі",IF(R201&gt;='Спенд без лідів'!$H$5,"Рано судити",IF(R201&gt;='Спенд без лідів'!$H$6,"Під питанням",IF(R201&gt;='Спенд без лідів'!$H$7,"Вимикати","Давно треба було"))))))</f>
        <v/>
      </c>
      <c r="T201" s="26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8" hidden="false" customHeight="true" outlineLevel="0" collapsed="false">
      <c r="A202" s="1"/>
      <c r="B202" s="26"/>
      <c r="C202" s="35"/>
      <c r="D202" s="8"/>
      <c r="E202" s="26"/>
      <c r="F202" s="8"/>
      <c r="G202" s="26"/>
      <c r="H202" s="27"/>
      <c r="I202" s="36"/>
      <c r="J202" s="36"/>
      <c r="K202" s="36"/>
      <c r="L202" s="37" t="str">
        <f aca="false">IF($H202="","",IFERROR(J202/I202,""))</f>
        <v/>
      </c>
      <c r="M202" s="30" t="str">
        <f aca="false">IF($H202="","",IFERROR(H202/J202,""))</f>
        <v/>
      </c>
      <c r="N202" s="30" t="str">
        <f aca="false">IF($H202="","",IFERROR(H202/I202*1000,""))</f>
        <v/>
      </c>
      <c r="O202" s="30" t="str">
        <f aca="false">IF($H202="","",IFERROR(H202/K202,"—"))</f>
        <v/>
      </c>
      <c r="P202" s="30" t="str">
        <f aca="false">IF($H202="","",IFERROR(INDEX('Гео-калькулятор'!$K$7:$K$13,MATCH($D202,'Гео-калькулятор'!$B$7:$B$13,0)),""))</f>
        <v/>
      </c>
      <c r="Q202" s="38" t="str">
        <f aca="false">IF($H202="","",IFERROR(O202/P202,""))</f>
        <v/>
      </c>
      <c r="R202" s="38" t="str">
        <f aca="false">IF(OR($H202="",P202=""),"",POISSON(N(K202),H202/P202,TRUE()))</f>
        <v/>
      </c>
      <c r="S202" s="51" t="str">
        <f aca="false">IF(R202="","",IF(AND(N(K202)&gt;=$H$5,H202/MAX(N(K202),1)&lt;=P202*$E$5),"Масштабувати",IF(AND(N(K202)&gt;0,H202/MAX(N(K202),1)&lt;=P202),"В цілі",IF(R202&gt;='Спенд без лідів'!$H$5,"Рано судити",IF(R202&gt;='Спенд без лідів'!$H$6,"Під питанням",IF(R202&gt;='Спенд без лідів'!$H$7,"Вимикати","Давно треба було"))))))</f>
        <v/>
      </c>
      <c r="T202" s="26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8" hidden="false" customHeight="true" outlineLevel="0" collapsed="false">
      <c r="A203" s="1"/>
      <c r="B203" s="26"/>
      <c r="C203" s="35"/>
      <c r="D203" s="8"/>
      <c r="E203" s="26"/>
      <c r="F203" s="8"/>
      <c r="G203" s="26"/>
      <c r="H203" s="27"/>
      <c r="I203" s="36"/>
      <c r="J203" s="36"/>
      <c r="K203" s="36"/>
      <c r="L203" s="37" t="str">
        <f aca="false">IF($H203="","",IFERROR(J203/I203,""))</f>
        <v/>
      </c>
      <c r="M203" s="30" t="str">
        <f aca="false">IF($H203="","",IFERROR(H203/J203,""))</f>
        <v/>
      </c>
      <c r="N203" s="30" t="str">
        <f aca="false">IF($H203="","",IFERROR(H203/I203*1000,""))</f>
        <v/>
      </c>
      <c r="O203" s="30" t="str">
        <f aca="false">IF($H203="","",IFERROR(H203/K203,"—"))</f>
        <v/>
      </c>
      <c r="P203" s="30" t="str">
        <f aca="false">IF($H203="","",IFERROR(INDEX('Гео-калькулятор'!$K$7:$K$13,MATCH($D203,'Гео-калькулятор'!$B$7:$B$13,0)),""))</f>
        <v/>
      </c>
      <c r="Q203" s="38" t="str">
        <f aca="false">IF($H203="","",IFERROR(O203/P203,""))</f>
        <v/>
      </c>
      <c r="R203" s="38" t="str">
        <f aca="false">IF(OR($H203="",P203=""),"",POISSON(N(K203),H203/P203,TRUE()))</f>
        <v/>
      </c>
      <c r="S203" s="51" t="str">
        <f aca="false">IF(R203="","",IF(AND(N(K203)&gt;=$H$5,H203/MAX(N(K203),1)&lt;=P203*$E$5),"Масштабувати",IF(AND(N(K203)&gt;0,H203/MAX(N(K203),1)&lt;=P203),"В цілі",IF(R203&gt;='Спенд без лідів'!$H$5,"Рано судити",IF(R203&gt;='Спенд без лідів'!$H$6,"Під питанням",IF(R203&gt;='Спенд без лідів'!$H$7,"Вимикати","Давно треба було"))))))</f>
        <v/>
      </c>
      <c r="T203" s="26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8" hidden="false" customHeight="true" outlineLevel="0" collapsed="false">
      <c r="A204" s="1"/>
      <c r="B204" s="26"/>
      <c r="C204" s="35"/>
      <c r="D204" s="8"/>
      <c r="E204" s="26"/>
      <c r="F204" s="8"/>
      <c r="G204" s="26"/>
      <c r="H204" s="27"/>
      <c r="I204" s="36"/>
      <c r="J204" s="36"/>
      <c r="K204" s="36"/>
      <c r="L204" s="37" t="str">
        <f aca="false">IF($H204="","",IFERROR(J204/I204,""))</f>
        <v/>
      </c>
      <c r="M204" s="30" t="str">
        <f aca="false">IF($H204="","",IFERROR(H204/J204,""))</f>
        <v/>
      </c>
      <c r="N204" s="30" t="str">
        <f aca="false">IF($H204="","",IFERROR(H204/I204*1000,""))</f>
        <v/>
      </c>
      <c r="O204" s="30" t="str">
        <f aca="false">IF($H204="","",IFERROR(H204/K204,"—"))</f>
        <v/>
      </c>
      <c r="P204" s="30" t="str">
        <f aca="false">IF($H204="","",IFERROR(INDEX('Гео-калькулятор'!$K$7:$K$13,MATCH($D204,'Гео-калькулятор'!$B$7:$B$13,0)),""))</f>
        <v/>
      </c>
      <c r="Q204" s="38" t="str">
        <f aca="false">IF($H204="","",IFERROR(O204/P204,""))</f>
        <v/>
      </c>
      <c r="R204" s="38" t="str">
        <f aca="false">IF(OR($H204="",P204=""),"",POISSON(N(K204),H204/P204,TRUE()))</f>
        <v/>
      </c>
      <c r="S204" s="51" t="str">
        <f aca="false">IF(R204="","",IF(AND(N(K204)&gt;=$H$5,H204/MAX(N(K204),1)&lt;=P204*$E$5),"Масштабувати",IF(AND(N(K204)&gt;0,H204/MAX(N(K204),1)&lt;=P204),"В цілі",IF(R204&gt;='Спенд без лідів'!$H$5,"Рано судити",IF(R204&gt;='Спенд без лідів'!$H$6,"Під питанням",IF(R204&gt;='Спенд без лідів'!$H$7,"Вимикати","Давно треба було"))))))</f>
        <v/>
      </c>
      <c r="T204" s="26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8" hidden="false" customHeight="true" outlineLevel="0" collapsed="false">
      <c r="A205" s="1"/>
      <c r="B205" s="26"/>
      <c r="C205" s="35"/>
      <c r="D205" s="8"/>
      <c r="E205" s="26"/>
      <c r="F205" s="8"/>
      <c r="G205" s="26"/>
      <c r="H205" s="27"/>
      <c r="I205" s="36"/>
      <c r="J205" s="36"/>
      <c r="K205" s="36"/>
      <c r="L205" s="37" t="str">
        <f aca="false">IF($H205="","",IFERROR(J205/I205,""))</f>
        <v/>
      </c>
      <c r="M205" s="30" t="str">
        <f aca="false">IF($H205="","",IFERROR(H205/J205,""))</f>
        <v/>
      </c>
      <c r="N205" s="30" t="str">
        <f aca="false">IF($H205="","",IFERROR(H205/I205*1000,""))</f>
        <v/>
      </c>
      <c r="O205" s="30" t="str">
        <f aca="false">IF($H205="","",IFERROR(H205/K205,"—"))</f>
        <v/>
      </c>
      <c r="P205" s="30" t="str">
        <f aca="false">IF($H205="","",IFERROR(INDEX('Гео-калькулятор'!$K$7:$K$13,MATCH($D205,'Гео-калькулятор'!$B$7:$B$13,0)),""))</f>
        <v/>
      </c>
      <c r="Q205" s="38" t="str">
        <f aca="false">IF($H205="","",IFERROR(O205/P205,""))</f>
        <v/>
      </c>
      <c r="R205" s="38" t="str">
        <f aca="false">IF(OR($H205="",P205=""),"",POISSON(N(K205),H205/P205,TRUE()))</f>
        <v/>
      </c>
      <c r="S205" s="51" t="str">
        <f aca="false">IF(R205="","",IF(AND(N(K205)&gt;=$H$5,H205/MAX(N(K205),1)&lt;=P205*$E$5),"Масштабувати",IF(AND(N(K205)&gt;0,H205/MAX(N(K205),1)&lt;=P205),"В цілі",IF(R205&gt;='Спенд без лідів'!$H$5,"Рано судити",IF(R205&gt;='Спенд без лідів'!$H$6,"Під питанням",IF(R205&gt;='Спенд без лідів'!$H$7,"Вимикати","Давно треба було"))))))</f>
        <v/>
      </c>
      <c r="T205" s="26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8" hidden="false" customHeight="true" outlineLevel="0" collapsed="false">
      <c r="A206" s="1"/>
      <c r="B206" s="26"/>
      <c r="C206" s="35"/>
      <c r="D206" s="8"/>
      <c r="E206" s="26"/>
      <c r="F206" s="8"/>
      <c r="G206" s="26"/>
      <c r="H206" s="27"/>
      <c r="I206" s="36"/>
      <c r="J206" s="36"/>
      <c r="K206" s="36"/>
      <c r="L206" s="37" t="str">
        <f aca="false">IF($H206="","",IFERROR(J206/I206,""))</f>
        <v/>
      </c>
      <c r="M206" s="30" t="str">
        <f aca="false">IF($H206="","",IFERROR(H206/J206,""))</f>
        <v/>
      </c>
      <c r="N206" s="30" t="str">
        <f aca="false">IF($H206="","",IFERROR(H206/I206*1000,""))</f>
        <v/>
      </c>
      <c r="O206" s="30" t="str">
        <f aca="false">IF($H206="","",IFERROR(H206/K206,"—"))</f>
        <v/>
      </c>
      <c r="P206" s="30" t="str">
        <f aca="false">IF($H206="","",IFERROR(INDEX('Гео-калькулятор'!$K$7:$K$13,MATCH($D206,'Гео-калькулятор'!$B$7:$B$13,0)),""))</f>
        <v/>
      </c>
      <c r="Q206" s="38" t="str">
        <f aca="false">IF($H206="","",IFERROR(O206/P206,""))</f>
        <v/>
      </c>
      <c r="R206" s="38" t="str">
        <f aca="false">IF(OR($H206="",P206=""),"",POISSON(N(K206),H206/P206,TRUE()))</f>
        <v/>
      </c>
      <c r="S206" s="51" t="str">
        <f aca="false">IF(R206="","",IF(AND(N(K206)&gt;=$H$5,H206/MAX(N(K206),1)&lt;=P206*$E$5),"Масштабувати",IF(AND(N(K206)&gt;0,H206/MAX(N(K206),1)&lt;=P206),"В цілі",IF(R206&gt;='Спенд без лідів'!$H$5,"Рано судити",IF(R206&gt;='Спенд без лідів'!$H$6,"Під питанням",IF(R206&gt;='Спенд без лідів'!$H$7,"Вимикати","Давно треба було"))))))</f>
        <v/>
      </c>
      <c r="T206" s="26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8" hidden="false" customHeight="true" outlineLevel="0" collapsed="false">
      <c r="A207" s="1"/>
      <c r="B207" s="26"/>
      <c r="C207" s="35"/>
      <c r="D207" s="8"/>
      <c r="E207" s="26"/>
      <c r="F207" s="8"/>
      <c r="G207" s="26"/>
      <c r="H207" s="27"/>
      <c r="I207" s="36"/>
      <c r="J207" s="36"/>
      <c r="K207" s="36"/>
      <c r="L207" s="37" t="str">
        <f aca="false">IF($H207="","",IFERROR(J207/I207,""))</f>
        <v/>
      </c>
      <c r="M207" s="30" t="str">
        <f aca="false">IF($H207="","",IFERROR(H207/J207,""))</f>
        <v/>
      </c>
      <c r="N207" s="30" t="str">
        <f aca="false">IF($H207="","",IFERROR(H207/I207*1000,""))</f>
        <v/>
      </c>
      <c r="O207" s="30" t="str">
        <f aca="false">IF($H207="","",IFERROR(H207/K207,"—"))</f>
        <v/>
      </c>
      <c r="P207" s="30" t="str">
        <f aca="false">IF($H207="","",IFERROR(INDEX('Гео-калькулятор'!$K$7:$K$13,MATCH($D207,'Гео-калькулятор'!$B$7:$B$13,0)),""))</f>
        <v/>
      </c>
      <c r="Q207" s="38" t="str">
        <f aca="false">IF($H207="","",IFERROR(O207/P207,""))</f>
        <v/>
      </c>
      <c r="R207" s="38" t="str">
        <f aca="false">IF(OR($H207="",P207=""),"",POISSON(N(K207),H207/P207,TRUE()))</f>
        <v/>
      </c>
      <c r="S207" s="51" t="str">
        <f aca="false">IF(R207="","",IF(AND(N(K207)&gt;=$H$5,H207/MAX(N(K207),1)&lt;=P207*$E$5),"Масштабувати",IF(AND(N(K207)&gt;0,H207/MAX(N(K207),1)&lt;=P207),"В цілі",IF(R207&gt;='Спенд без лідів'!$H$5,"Рано судити",IF(R207&gt;='Спенд без лідів'!$H$6,"Під питанням",IF(R207&gt;='Спенд без лідів'!$H$7,"Вимикати","Давно треба було"))))))</f>
        <v/>
      </c>
      <c r="T207" s="26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</sheetData>
  <mergeCells count="4">
    <mergeCell ref="B5:D5"/>
    <mergeCell ref="F5:G5"/>
    <mergeCell ref="B6:K6"/>
    <mergeCell ref="L6:S6"/>
  </mergeCells>
  <conditionalFormatting sqref="Q8:Q207">
    <cfRule type="expression" priority="2" aboveAverage="0" equalAverage="0" bottom="0" percent="0" rank="0" text="" dxfId="0">
      <formula>AND(ISNUMBER($Q8),$Q8&lt;=1)</formula>
    </cfRule>
    <cfRule type="expression" priority="3" aboveAverage="0" equalAverage="0" bottom="0" percent="0" rank="0" text="" dxfId="1">
      <formula>AND(ISNUMBER($Q8),$Q8&lt;=1.3)</formula>
    </cfRule>
    <cfRule type="expression" priority="4" aboveAverage="0" equalAverage="0" bottom="0" percent="0" rank="0" text="" dxfId="2">
      <formula>ISNUMBER($Q8)</formula>
    </cfRule>
  </conditionalFormatting>
  <conditionalFormatting sqref="S8:S207">
    <cfRule type="expression" priority="5" aboveAverage="0" equalAverage="0" bottom="0" percent="0" rank="0" text="" dxfId="13">
      <formula>$S8="Масштабувати"</formula>
    </cfRule>
    <cfRule type="expression" priority="6" aboveAverage="0" equalAverage="0" bottom="0" percent="0" rank="0" text="" dxfId="0">
      <formula>$S8="В цілі"</formula>
    </cfRule>
    <cfRule type="expression" priority="7" aboveAverage="0" equalAverage="0" bottom="0" percent="0" rank="0" text="" dxfId="8">
      <formula>$S8="Рано судити"</formula>
    </cfRule>
    <cfRule type="expression" priority="8" aboveAverage="0" equalAverage="0" bottom="0" percent="0" rank="0" text="" dxfId="1">
      <formula>$S8="Під питанням"</formula>
    </cfRule>
    <cfRule type="expression" priority="9" aboveAverage="0" equalAverage="0" bottom="0" percent="0" rank="0" text="" dxfId="2">
      <formula>$S8="Вимикати"</formula>
    </cfRule>
    <cfRule type="expression" priority="10" aboveAverage="0" equalAverage="0" bottom="0" percent="0" rank="0" text="" dxfId="15">
      <formula>$S8="Давно треба було"</formula>
    </cfRule>
  </conditionalFormatting>
  <dataValidations count="2">
    <dataValidation allowBlank="true" error="Такого гео немає в «Гео-калькулятор». Додайте його туди, інакше Max CPL не підтягнеться." errorStyle="warning" errorTitle="Немає в списку" operator="between" showDropDown="false" showErrorMessage="true" showInputMessage="false" sqref="D8:D207" type="list">
      <formula1>'Гео-калькулятор'!$B$7:$B$13</formula1>
      <formula2>0</formula2>
    </dataValidation>
    <dataValidation allowBlank="true" error="Оберіть значення зі списку (список редагується на аркуші «Списки»)." errorStyle="warning" errorTitle="Немає в списку" operator="between" showDropDown="false" showErrorMessage="true" showInputMessage="false" sqref="F8:F207" type="list">
      <formula1>Списки!$D$4:$D$15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272"/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3"/>
    <col collapsed="false" customWidth="true" hidden="false" outlineLevel="0" max="4" min="4" style="0" width="2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"/>
      <c r="B2" s="22" t="s">
        <v>66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1"/>
      <c r="B3" s="25" t="s">
        <v>242</v>
      </c>
      <c r="C3" s="1"/>
      <c r="D3" s="25" t="s">
        <v>243</v>
      </c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26" t="s">
        <v>233</v>
      </c>
      <c r="C4" s="1"/>
      <c r="D4" s="26" t="s">
        <v>244</v>
      </c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"/>
      <c r="B5" s="26" t="s">
        <v>245</v>
      </c>
      <c r="C5" s="1"/>
      <c r="D5" s="26" t="s">
        <v>246</v>
      </c>
      <c r="E5" s="1"/>
      <c r="F5" s="1"/>
      <c r="G5" s="1"/>
      <c r="H5" s="1"/>
      <c r="I5" s="1"/>
      <c r="J5" s="1"/>
    </row>
    <row r="6" customFormat="false" ht="15" hidden="false" customHeight="false" outlineLevel="0" collapsed="false">
      <c r="A6" s="1"/>
      <c r="B6" s="26" t="s">
        <v>247</v>
      </c>
      <c r="C6" s="1"/>
      <c r="D6" s="26" t="s">
        <v>240</v>
      </c>
      <c r="E6" s="1"/>
      <c r="F6" s="1"/>
      <c r="G6" s="1"/>
      <c r="H6" s="1"/>
      <c r="I6" s="1"/>
      <c r="J6" s="1"/>
    </row>
    <row r="7" customFormat="false" ht="15" hidden="false" customHeight="false" outlineLevel="0" collapsed="false">
      <c r="A7" s="1"/>
      <c r="B7" s="26" t="s">
        <v>248</v>
      </c>
      <c r="C7" s="1"/>
      <c r="D7" s="26" t="s">
        <v>249</v>
      </c>
      <c r="E7" s="1"/>
      <c r="F7" s="1"/>
      <c r="G7" s="1"/>
      <c r="H7" s="1"/>
      <c r="I7" s="1"/>
      <c r="J7" s="1"/>
    </row>
    <row r="8" customFormat="false" ht="15" hidden="false" customHeight="false" outlineLevel="0" collapsed="false">
      <c r="A8" s="1"/>
      <c r="B8" s="26" t="s">
        <v>250</v>
      </c>
      <c r="C8" s="1"/>
      <c r="D8" s="26" t="s">
        <v>251</v>
      </c>
      <c r="E8" s="1"/>
      <c r="F8" s="1"/>
      <c r="G8" s="1"/>
      <c r="H8" s="1"/>
      <c r="I8" s="1"/>
      <c r="J8" s="1"/>
    </row>
    <row r="9" customFormat="false" ht="15" hidden="false" customHeight="false" outlineLevel="0" collapsed="false">
      <c r="A9" s="1"/>
      <c r="B9" s="26" t="s">
        <v>166</v>
      </c>
      <c r="C9" s="1"/>
      <c r="D9" s="26" t="s">
        <v>252</v>
      </c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"/>
      <c r="B10" s="26" t="s">
        <v>253</v>
      </c>
      <c r="C10" s="1"/>
      <c r="D10" s="26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26" t="s">
        <v>254</v>
      </c>
      <c r="C11" s="1"/>
      <c r="D11" s="26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26" t="s">
        <v>255</v>
      </c>
      <c r="C12" s="1"/>
      <c r="D12" s="26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26" t="s">
        <v>256</v>
      </c>
      <c r="C13" s="1"/>
      <c r="D13" s="26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26" t="s">
        <v>257</v>
      </c>
      <c r="C14" s="1"/>
      <c r="D14" s="26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"/>
      <c r="B15" s="26" t="s">
        <v>252</v>
      </c>
      <c r="C15" s="1"/>
      <c r="D15" s="26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26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26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26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26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26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26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26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26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26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26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2026-10-13T10:02:35Z</dcterms:created>
  <dc:creator>openpyxl</dc:creator>
  <dc:description/>
  <dc:language>en-US</dc:language>
  <cp:lastModifiedBy/>
  <dcterms:modified xsi:type="dcterms:W3CDTF">2026-10-13T10:02:48Z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